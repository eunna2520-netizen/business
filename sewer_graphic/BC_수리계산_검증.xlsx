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입력" sheetId="3" state="visible" r:id="rId5"/>
    <sheet name="수심반복" sheetId="4" state="visible" r:id="rId6"/>
    <sheet name="계산" sheetId="5" state="visible" r:id="rId7"/>
    <sheet name="검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<sst xmlns="http://schemas.openxmlformats.org/spreadsheetml/2006/main" count="405" uniqueCount="249">
  <si>
    <r>
      <rPr>
        <b val="true"/>
        <sz val="14"/>
        <rFont val="WenQuanYi Zen Hei"/>
        <family val="2"/>
      </rPr>
      <t xml:space="preserve">오수관로 수리계산 검증 시트 </t>
    </r>
    <r>
      <rPr>
        <b val="true"/>
        <sz val="14"/>
        <rFont val="Malgun Gothic"/>
        <family val="0"/>
        <charset val="1"/>
      </rPr>
      <t xml:space="preserve">(BC </t>
    </r>
    <r>
      <rPr>
        <b val="true"/>
        <sz val="14"/>
        <rFont val="WenQuanYi Zen Hei"/>
        <family val="2"/>
      </rPr>
      <t xml:space="preserve">노선 </t>
    </r>
    <r>
      <rPr>
        <b val="true"/>
        <sz val="14"/>
        <rFont val="Malgun Gothic"/>
        <family val="0"/>
        <charset val="1"/>
      </rPr>
      <t xml:space="preserve">30</t>
    </r>
    <r>
      <rPr>
        <b val="true"/>
        <sz val="14"/>
        <rFont val="WenQuanYi Zen Hei"/>
        <family val="2"/>
      </rPr>
      <t xml:space="preserve">개 관로</t>
    </r>
    <r>
      <rPr>
        <b val="true"/>
        <sz val="14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</si>
  <si>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목적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종단 편집기가 하는 수리계산을 엑셀 함수로 그대로 풀어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계산이 제대로 되는지 눈으로 확인합니다</t>
    </r>
    <r>
      <rPr>
        <sz val="10"/>
        <rFont val="Malgun Gothic"/>
        <family val="0"/>
        <charset val="1"/>
      </rPr>
      <t xml:space="preserve">.</t>
    </r>
  </si>
  <si>
    <t xml:space="preserve">시트 구성</t>
  </si>
  <si>
    <r>
      <rPr>
        <sz val="10"/>
        <rFont val="WenQuanYi Zen Hei"/>
        <family val="2"/>
      </rPr>
      <t xml:space="preserve">  설정 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판정 기준값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최소유속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토피 등</t>
    </r>
    <r>
      <rPr>
        <sz val="10"/>
        <rFont val="Malgun Gothic"/>
        <family val="0"/>
        <charset val="1"/>
      </rPr>
      <t xml:space="preserve">). </t>
    </r>
    <r>
      <rPr>
        <sz val="10"/>
        <rFont val="WenQuanYi Zen Hei"/>
        <family val="2"/>
      </rPr>
      <t xml:space="preserve">파란 글씨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직접 바꿀 수 있는 입력값</t>
    </r>
  </si>
  <si>
    <r>
      <rPr>
        <sz val="10"/>
        <rFont val="WenQuanYi Zen Hei"/>
        <family val="2"/>
      </rPr>
      <t xml:space="preserve">  입력 </t>
    </r>
    <r>
      <rPr>
        <sz val="10"/>
        <rFont val="Malgun Gothic"/>
        <family val="0"/>
        <charset val="1"/>
      </rPr>
      <t xml:space="preserve">: BC </t>
    </r>
    <r>
      <rPr>
        <sz val="10"/>
        <rFont val="WenQuanYi Zen Hei"/>
        <family val="2"/>
      </rPr>
      <t xml:space="preserve">노선 입력자료 </t>
    </r>
    <r>
      <rPr>
        <sz val="10"/>
        <rFont val="Malgun Gothic"/>
        <family val="0"/>
        <charset val="1"/>
      </rPr>
      <t xml:space="preserve">(PipeTools </t>
    </r>
    <r>
      <rPr>
        <sz val="10"/>
        <rFont val="WenQuanYi Zen Hei"/>
        <family val="2"/>
      </rPr>
      <t xml:space="preserve">수리계산 시트와 같은 값</t>
    </r>
    <r>
      <rPr>
        <sz val="10"/>
        <rFont val="Malgun Gothic"/>
        <family val="0"/>
        <charset val="1"/>
      </rPr>
      <t xml:space="preserve">). </t>
    </r>
    <r>
      <rPr>
        <sz val="10"/>
        <rFont val="WenQuanYi Zen Hei"/>
        <family val="2"/>
      </rPr>
      <t xml:space="preserve">파란 글씨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입력값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바꾸면 전체가 다시 계산됨</t>
    </r>
  </si>
  <si>
    <r>
      <rPr>
        <sz val="10"/>
        <rFont val="WenQuanYi Zen Hei"/>
        <family val="2"/>
      </rPr>
      <t xml:space="preserve">  계산 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유량 누가 → 만관 유량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유속 → 등류수심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실유속 → 여유율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유속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토피 판정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모두 함수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</si>
  <si>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수심반복 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등류수심을 구하는 이분법 </t>
    </r>
    <r>
      <rPr>
        <sz val="10"/>
        <rFont val="Malgun Gothic"/>
        <family val="0"/>
        <charset val="1"/>
      </rPr>
      <t xml:space="preserve">40</t>
    </r>
    <r>
      <rPr>
        <sz val="10"/>
        <rFont val="WenQuanYi Zen Hei"/>
        <family val="2"/>
      </rPr>
      <t xml:space="preserve">회를 칸마다 풀어 쓴 시트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엑셀에는 반복 계산 함수가 없어서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</si>
  <si>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검증 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엑셀 계산값 </t>
    </r>
    <r>
      <rPr>
        <sz val="10"/>
        <rFont val="Malgun Gothic"/>
        <family val="0"/>
        <charset val="1"/>
      </rPr>
      <t xml:space="preserve">· PipeTools </t>
    </r>
    <r>
      <rPr>
        <sz val="10"/>
        <rFont val="WenQuanYi Zen Hei"/>
        <family val="2"/>
      </rPr>
      <t xml:space="preserve">결과</t>
    </r>
    <r>
      <rPr>
        <sz val="10"/>
        <rFont val="Malgun Gothic"/>
        <family val="0"/>
        <charset val="1"/>
      </rPr>
      <t xml:space="preserve">(rpt) · </t>
    </r>
    <r>
      <rPr>
        <sz val="10"/>
        <rFont val="WenQuanYi Zen Hei"/>
        <family val="2"/>
      </rPr>
      <t xml:space="preserve">종단 편집기 계산값을 나란히 놓고 차이를 표시</t>
    </r>
  </si>
  <si>
    <t xml:space="preserve">계산 순서와 식</t>
  </si>
  <si>
    <r>
      <rPr>
        <sz val="10"/>
        <rFont val="Malgun Gothic"/>
        <family val="0"/>
        <charset val="1"/>
      </rPr>
      <t xml:space="preserve">  1. </t>
    </r>
    <r>
      <rPr>
        <sz val="10"/>
        <rFont val="WenQuanYi Zen Hei"/>
        <family val="2"/>
      </rPr>
      <t xml:space="preserve">자체 인구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유역면적 </t>
    </r>
    <r>
      <rPr>
        <sz val="10"/>
        <rFont val="Malgun Gothic"/>
        <family val="0"/>
        <charset val="1"/>
      </rPr>
      <t xml:space="preserve">× </t>
    </r>
    <r>
      <rPr>
        <sz val="10"/>
        <rFont val="WenQuanYi Zen Hei"/>
        <family val="2"/>
      </rPr>
      <t xml:space="preserve">인구밀도</t>
    </r>
    <r>
      <rPr>
        <sz val="10"/>
        <rFont val="Malgun Gothic"/>
        <family val="0"/>
        <charset val="1"/>
      </rPr>
      <t xml:space="preserve">,  </t>
    </r>
    <r>
      <rPr>
        <sz val="10"/>
        <rFont val="WenQuanYi Zen Hei"/>
        <family val="2"/>
      </rPr>
      <t xml:space="preserve">누가 인구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자체 인구 </t>
    </r>
    <r>
      <rPr>
        <sz val="10"/>
        <rFont val="Malgun Gothic"/>
        <family val="0"/>
        <charset val="1"/>
      </rPr>
      <t xml:space="preserve">+ </t>
    </r>
    <r>
      <rPr>
        <sz val="10"/>
        <rFont val="WenQuanYi Zen Hei"/>
        <family val="2"/>
      </rPr>
      <t xml:space="preserve">바로 윗 관로의 누가 인구</t>
    </r>
  </si>
  <si>
    <r>
      <rPr>
        <sz val="10"/>
        <rFont val="Malgun Gothic"/>
        <family val="0"/>
        <charset val="1"/>
      </rPr>
      <t xml:space="preserve">  2. </t>
    </r>
    <r>
      <rPr>
        <sz val="10"/>
        <rFont val="WenQuanYi Zen Hei"/>
        <family val="2"/>
      </rPr>
      <t xml:space="preserve">자체 오수량 </t>
    </r>
    <r>
      <rPr>
        <sz val="10"/>
        <rFont val="Malgun Gothic"/>
        <family val="0"/>
        <charset val="1"/>
      </rPr>
      <t xml:space="preserve">[m³/s] = (</t>
    </r>
    <r>
      <rPr>
        <sz val="10"/>
        <rFont val="WenQuanYi Zen Hei"/>
        <family val="2"/>
      </rPr>
      <t xml:space="preserve">오수원단위 </t>
    </r>
    <r>
      <rPr>
        <sz val="10"/>
        <rFont val="Malgun Gothic"/>
        <family val="0"/>
        <charset val="1"/>
      </rPr>
      <t xml:space="preserve">× P.F + </t>
    </r>
    <r>
      <rPr>
        <sz val="10"/>
        <rFont val="WenQuanYi Zen Hei"/>
        <family val="2"/>
      </rPr>
      <t xml:space="preserve">지하수원단위</t>
    </r>
    <r>
      <rPr>
        <sz val="10"/>
        <rFont val="Malgun Gothic"/>
        <family val="0"/>
        <charset val="1"/>
      </rPr>
      <t xml:space="preserve">) × </t>
    </r>
    <r>
      <rPr>
        <sz val="10"/>
        <rFont val="WenQuanYi Zen Hei"/>
        <family val="2"/>
      </rPr>
      <t xml:space="preserve">자체 인구 </t>
    </r>
    <r>
      <rPr>
        <sz val="10"/>
        <rFont val="Malgun Gothic"/>
        <family val="0"/>
        <charset val="1"/>
      </rPr>
      <t xml:space="preserve">/ 86,400,000 + </t>
    </r>
    <r>
      <rPr>
        <sz val="10"/>
        <rFont val="WenQuanYi Zen Hei"/>
        <family val="2"/>
      </rPr>
      <t xml:space="preserve">직접 유입</t>
    </r>
  </si>
  <si>
    <r>
      <rPr>
        <sz val="10"/>
        <rFont val="WenQuanYi Zen Hei"/>
        <family val="2"/>
      </rPr>
      <t xml:space="preserve">     누가 유량 </t>
    </r>
    <r>
      <rPr>
        <sz val="10"/>
        <rFont val="Malgun Gothic"/>
        <family val="0"/>
        <charset val="1"/>
      </rPr>
      <t xml:space="preserve">Q = </t>
    </r>
    <r>
      <rPr>
        <sz val="10"/>
        <rFont val="WenQuanYi Zen Hei"/>
        <family val="2"/>
      </rPr>
      <t xml:space="preserve">자체 오수량 </t>
    </r>
    <r>
      <rPr>
        <sz val="10"/>
        <rFont val="Malgun Gothic"/>
        <family val="0"/>
        <charset val="1"/>
      </rPr>
      <t xml:space="preserve">+ </t>
    </r>
    <r>
      <rPr>
        <sz val="10"/>
        <rFont val="WenQuanYi Zen Hei"/>
        <family val="2"/>
      </rPr>
      <t xml:space="preserve">바로 윗 관로의 누가 유량</t>
    </r>
  </si>
  <si>
    <r>
      <rPr>
        <sz val="10"/>
        <rFont val="Malgun Gothic"/>
        <family val="0"/>
        <charset val="1"/>
      </rPr>
      <t xml:space="preserve">  3. </t>
    </r>
    <r>
      <rPr>
        <sz val="10"/>
        <rFont val="WenQuanYi Zen Hei"/>
        <family val="2"/>
      </rPr>
      <t xml:space="preserve">만관</t>
    </r>
    <r>
      <rPr>
        <sz val="10"/>
        <rFont val="Malgun Gothic"/>
        <family val="0"/>
        <charset val="1"/>
      </rPr>
      <t xml:space="preserve">: A = πD²/4,  R = D/4,  Qfull = (1/n)·A·R^(2/3)·S^(1/2),  Vfull = Qfull / A   (Manning)</t>
    </r>
  </si>
  <si>
    <r>
      <rPr>
        <sz val="10"/>
        <rFont val="Malgun Gothic"/>
        <family val="0"/>
        <charset val="1"/>
      </rPr>
      <t xml:space="preserve">  4. </t>
    </r>
    <r>
      <rPr>
        <sz val="10"/>
        <rFont val="WenQuanYi Zen Hei"/>
        <family val="2"/>
      </rPr>
      <t xml:space="preserve">등류수심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중심각 </t>
    </r>
    <r>
      <rPr>
        <sz val="10"/>
        <rFont val="Malgun Gothic"/>
        <family val="0"/>
        <charset val="1"/>
      </rPr>
      <t xml:space="preserve">θ</t>
    </r>
    <r>
      <rPr>
        <sz val="10"/>
        <rFont val="WenQuanYi Zen Hei"/>
        <family val="2"/>
      </rPr>
      <t xml:space="preserve">를 </t>
    </r>
    <r>
      <rPr>
        <sz val="10"/>
        <rFont val="Malgun Gothic"/>
        <family val="0"/>
        <charset val="1"/>
      </rPr>
      <t xml:space="preserve">0 ~ θmax </t>
    </r>
    <r>
      <rPr>
        <sz val="10"/>
        <rFont val="WenQuanYi Zen Hei"/>
        <family val="2"/>
      </rPr>
      <t xml:space="preserve">에서 이분법으로 찾아 </t>
    </r>
    <r>
      <rPr>
        <sz val="10"/>
        <rFont val="Malgun Gothic"/>
        <family val="0"/>
        <charset val="1"/>
      </rPr>
      <t xml:space="preserve">Q(θ) = </t>
    </r>
    <r>
      <rPr>
        <sz val="10"/>
        <rFont val="WenQuanYi Zen Hei"/>
        <family val="2"/>
      </rPr>
      <t xml:space="preserve">누가 유량이 되는 </t>
    </r>
    <r>
      <rPr>
        <sz val="10"/>
        <rFont val="Malgun Gothic"/>
        <family val="0"/>
        <charset val="1"/>
      </rPr>
      <t xml:space="preserve">θ </t>
    </r>
    <r>
      <rPr>
        <sz val="10"/>
        <rFont val="WenQuanYi Zen Hei"/>
        <family val="2"/>
      </rPr>
      <t xml:space="preserve">를 구함</t>
    </r>
    <r>
      <rPr>
        <sz val="10"/>
        <rFont val="Malgun Gothic"/>
        <family val="0"/>
        <charset val="1"/>
      </rPr>
      <t xml:space="preserve">. θmax = </t>
    </r>
    <r>
      <rPr>
        <sz val="10"/>
        <rFont val="WenQuanYi Zen Hei"/>
        <family val="2"/>
      </rPr>
      <t xml:space="preserve">수심비 </t>
    </r>
    <r>
      <rPr>
        <sz val="10"/>
        <rFont val="Malgun Gothic"/>
        <family val="0"/>
        <charset val="1"/>
      </rPr>
      <t xml:space="preserve">0.938 </t>
    </r>
    <r>
      <rPr>
        <sz val="10"/>
        <rFont val="WenQuanYi Zen Hei"/>
        <family val="2"/>
      </rPr>
      <t xml:space="preserve">의 중심각</t>
    </r>
  </si>
  <si>
    <r>
      <rPr>
        <sz val="10"/>
        <rFont val="Malgun Gothic"/>
        <family val="0"/>
        <charset val="1"/>
      </rPr>
      <t xml:space="preserve">     A = D²/8·(θ − sinθ),  P = D·θ/2,  </t>
    </r>
    <r>
      <rPr>
        <sz val="10"/>
        <rFont val="WenQuanYi Zen Hei"/>
        <family val="2"/>
      </rPr>
      <t xml:space="preserve">수심 </t>
    </r>
    <r>
      <rPr>
        <sz val="10"/>
        <rFont val="Malgun Gothic"/>
        <family val="0"/>
        <charset val="1"/>
      </rPr>
      <t xml:space="preserve">h = D/2·(1 − cos(θ/2)),  </t>
    </r>
    <r>
      <rPr>
        <sz val="10"/>
        <rFont val="WenQuanYi Zen Hei"/>
        <family val="2"/>
      </rPr>
      <t xml:space="preserve">실유속 </t>
    </r>
    <r>
      <rPr>
        <sz val="10"/>
        <rFont val="Malgun Gothic"/>
        <family val="0"/>
        <charset val="1"/>
      </rPr>
      <t xml:space="preserve">V = Q / A</t>
    </r>
  </si>
  <si>
    <r>
      <rPr>
        <sz val="10"/>
        <rFont val="Malgun Gothic"/>
        <family val="0"/>
        <charset val="1"/>
      </rPr>
      <t xml:space="preserve">     Q &gt; Qmax(θmax) </t>
    </r>
    <r>
      <rPr>
        <sz val="10"/>
        <rFont val="WenQuanYi Zen Hei"/>
        <family val="2"/>
      </rPr>
      <t xml:space="preserve">이면 관이 가득 찬 것으로 보고 </t>
    </r>
    <r>
      <rPr>
        <sz val="10"/>
        <rFont val="Malgun Gothic"/>
        <family val="0"/>
        <charset val="1"/>
      </rPr>
      <t xml:space="preserve">V = Q / A_full</t>
    </r>
  </si>
  <si>
    <r>
      <rPr>
        <sz val="10"/>
        <rFont val="Malgun Gothic"/>
        <family val="0"/>
        <charset val="1"/>
      </rPr>
      <t xml:space="preserve">  5. </t>
    </r>
    <r>
      <rPr>
        <sz val="10"/>
        <rFont val="WenQuanYi Zen Hei"/>
        <family val="2"/>
      </rPr>
      <t xml:space="preserve">여유율</t>
    </r>
    <r>
      <rPr>
        <sz val="10"/>
        <rFont val="Malgun Gothic"/>
        <family val="0"/>
        <charset val="1"/>
      </rPr>
      <t xml:space="preserve">: </t>
    </r>
    <r>
      <rPr>
        <sz val="10"/>
        <rFont val="WenQuanYi Zen Hei"/>
        <family val="2"/>
      </rPr>
      <t xml:space="preserve">관경 </t>
    </r>
    <r>
      <rPr>
        <sz val="10"/>
        <rFont val="Malgun Gothic"/>
        <family val="0"/>
        <charset val="1"/>
      </rPr>
      <t xml:space="preserve">600 </t>
    </r>
    <r>
      <rPr>
        <sz val="10"/>
        <rFont val="WenQuanYi Zen Hei"/>
        <family val="2"/>
      </rPr>
      <t xml:space="preserve">이하 </t>
    </r>
    <r>
      <rPr>
        <sz val="10"/>
        <rFont val="Malgun Gothic"/>
        <family val="0"/>
        <charset val="1"/>
      </rPr>
      <t xml:space="preserve">100%, 700~1500 50%, 1650 </t>
    </r>
    <r>
      <rPr>
        <sz val="10"/>
        <rFont val="WenQuanYi Zen Hei"/>
        <family val="2"/>
      </rPr>
      <t xml:space="preserve">이상 </t>
    </r>
    <r>
      <rPr>
        <sz val="10"/>
        <rFont val="Malgun Gothic"/>
        <family val="0"/>
        <charset val="1"/>
      </rPr>
      <t xml:space="preserve">25%.  Q × (1 + </t>
    </r>
    <r>
      <rPr>
        <sz val="10"/>
        <rFont val="WenQuanYi Zen Hei"/>
        <family val="2"/>
      </rPr>
      <t xml:space="preserve">여유율</t>
    </r>
    <r>
      <rPr>
        <sz val="10"/>
        <rFont val="Malgun Gothic"/>
        <family val="0"/>
        <charset val="1"/>
      </rPr>
      <t xml:space="preserve">) ≤ </t>
    </r>
    <r>
      <rPr>
        <sz val="10"/>
        <rFont val="WenQuanYi Zen Hei"/>
        <family val="2"/>
      </rPr>
      <t xml:space="preserve">허용유량</t>
    </r>
    <r>
      <rPr>
        <sz val="10"/>
        <rFont val="Malgun Gothic"/>
        <family val="0"/>
        <charset val="1"/>
      </rPr>
      <t xml:space="preserve">(= </t>
    </r>
    <r>
      <rPr>
        <sz val="10"/>
        <rFont val="WenQuanYi Zen Hei"/>
        <family val="2"/>
      </rPr>
      <t xml:space="preserve">만관유량</t>
    </r>
    <r>
      <rPr>
        <sz val="10"/>
        <rFont val="Malgun Gothic"/>
        <family val="0"/>
        <charset val="1"/>
      </rPr>
      <t xml:space="preserve">) </t>
    </r>
    <r>
      <rPr>
        <sz val="10"/>
        <rFont val="WenQuanYi Zen Hei"/>
        <family val="2"/>
      </rPr>
      <t xml:space="preserve">이면 </t>
    </r>
    <r>
      <rPr>
        <sz val="10"/>
        <rFont val="Malgun Gothic"/>
        <family val="0"/>
        <charset val="1"/>
      </rPr>
      <t xml:space="preserve">GOOD</t>
    </r>
  </si>
  <si>
    <r>
      <rPr>
        <sz val="10"/>
        <rFont val="Malgun Gothic"/>
        <family val="0"/>
        <charset val="1"/>
      </rPr>
      <t xml:space="preserve">  6. </t>
    </r>
    <r>
      <rPr>
        <sz val="10"/>
        <rFont val="WenQuanYi Zen Hei"/>
        <family val="2"/>
      </rPr>
      <t xml:space="preserve">유속 판정</t>
    </r>
    <r>
      <rPr>
        <sz val="10"/>
        <rFont val="Malgun Gothic"/>
        <family val="0"/>
        <charset val="1"/>
      </rPr>
      <t xml:space="preserve">: Q = 0 </t>
    </r>
    <r>
      <rPr>
        <sz val="10"/>
        <rFont val="WenQuanYi Zen Hei"/>
        <family val="2"/>
      </rPr>
      <t xml:space="preserve">이면 만관유속으로 판정</t>
    </r>
    <r>
      <rPr>
        <sz val="10"/>
        <rFont val="Malgun Gothic"/>
        <family val="0"/>
        <charset val="1"/>
      </rPr>
      <t xml:space="preserve">. 0.3 </t>
    </r>
    <r>
      <rPr>
        <sz val="10"/>
        <rFont val="WenQuanYi Zen Hei"/>
        <family val="2"/>
      </rPr>
      <t xml:space="preserve">미만 </t>
    </r>
    <r>
      <rPr>
        <sz val="10"/>
        <rFont val="Malgun Gothic"/>
        <family val="0"/>
        <charset val="1"/>
      </rPr>
      <t xml:space="preserve">NG, 0.3~0.6 </t>
    </r>
    <r>
      <rPr>
        <sz val="10"/>
        <rFont val="WenQuanYi Zen Hei"/>
        <family val="2"/>
      </rPr>
      <t xml:space="preserve">유지관리</t>
    </r>
    <r>
      <rPr>
        <sz val="10"/>
        <rFont val="Malgun Gothic"/>
        <family val="0"/>
        <charset val="1"/>
      </rPr>
      <t xml:space="preserve">, 0.6~3.0 GOOD, 3.0 </t>
    </r>
    <r>
      <rPr>
        <sz val="10"/>
        <rFont val="WenQuanYi Zen Hei"/>
        <family val="2"/>
      </rPr>
      <t xml:space="preserve">초과 </t>
    </r>
    <r>
      <rPr>
        <sz val="10"/>
        <rFont val="Malgun Gothic"/>
        <family val="0"/>
        <charset val="1"/>
      </rPr>
      <t xml:space="preserve">NG,</t>
    </r>
  </si>
  <si>
    <r>
      <rPr>
        <sz val="10"/>
        <rFont val="WenQuanYi Zen Hei"/>
        <family val="2"/>
      </rPr>
      <t xml:space="preserve">     경사 </t>
    </r>
    <r>
      <rPr>
        <sz val="10"/>
        <rFont val="Malgun Gothic"/>
        <family val="0"/>
        <charset val="1"/>
      </rPr>
      <t xml:space="preserve">100‰ </t>
    </r>
    <r>
      <rPr>
        <sz val="10"/>
        <rFont val="WenQuanYi Zen Hei"/>
        <family val="2"/>
      </rPr>
      <t xml:space="preserve">이상에서 </t>
    </r>
    <r>
      <rPr>
        <sz val="10"/>
        <rFont val="Malgun Gothic"/>
        <family val="0"/>
        <charset val="1"/>
      </rPr>
      <t xml:space="preserve">NG </t>
    </r>
    <r>
      <rPr>
        <sz val="10"/>
        <rFont val="WenQuanYi Zen Hei"/>
        <family val="2"/>
      </rPr>
      <t xml:space="preserve">이면 구배</t>
    </r>
    <r>
      <rPr>
        <sz val="10"/>
        <rFont val="Malgun Gothic"/>
        <family val="0"/>
        <charset val="1"/>
      </rPr>
      <t xml:space="preserve">10.0%</t>
    </r>
    <r>
      <rPr>
        <sz val="10"/>
        <rFont val="WenQuanYi Zen Hei"/>
        <family val="2"/>
      </rPr>
      <t xml:space="preserve">이상 으로 표시</t>
    </r>
  </si>
  <si>
    <r>
      <rPr>
        <sz val="10"/>
        <rFont val="Malgun Gothic"/>
        <family val="0"/>
        <charset val="1"/>
      </rPr>
      <t xml:space="preserve">  7. </t>
    </r>
    <r>
      <rPr>
        <sz val="10"/>
        <rFont val="WenQuanYi Zen Hei"/>
        <family val="2"/>
      </rPr>
      <t xml:space="preserve">토피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상류 지반고 − 상류 관저고 − 관경</t>
    </r>
    <r>
      <rPr>
        <sz val="10"/>
        <rFont val="Malgun Gothic"/>
        <family val="0"/>
        <charset val="1"/>
      </rPr>
      <t xml:space="preserve">.  </t>
    </r>
    <r>
      <rPr>
        <sz val="10"/>
        <rFont val="WenQuanYi Zen Hei"/>
        <family val="2"/>
      </rPr>
      <t xml:space="preserve">최소 토피 미만이면 </t>
    </r>
    <r>
      <rPr>
        <sz val="10"/>
        <rFont val="Malgun Gothic"/>
        <family val="0"/>
        <charset val="1"/>
      </rPr>
      <t xml:space="preserve">NG (</t>
    </r>
    <r>
      <rPr>
        <sz val="10"/>
        <rFont val="WenQuanYi Zen Hei"/>
        <family val="2"/>
      </rPr>
      <t xml:space="preserve">종합판정과 따로 표시</t>
    </r>
    <r>
      <rPr>
        <sz val="10"/>
        <rFont val="Malgun Gothic"/>
        <family val="0"/>
        <charset val="1"/>
      </rPr>
      <t xml:space="preserve">)</t>
    </r>
  </si>
  <si>
    <t xml:space="preserve">가정과 한계</t>
  </si>
  <si>
    <r>
      <rPr>
        <sz val="10"/>
        <rFont val="Malgun Gothic"/>
        <family val="0"/>
        <charset val="1"/>
      </rPr>
      <t xml:space="preserve">  · BC </t>
    </r>
    <r>
      <rPr>
        <sz val="10"/>
        <rFont val="WenQuanYi Zen Hei"/>
        <family val="2"/>
      </rPr>
      <t xml:space="preserve">노선은 단일 노선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합류 관로 없음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이라 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바로 윗 관로</t>
    </r>
    <r>
      <rPr>
        <sz val="10"/>
        <rFont val="Malgun Gothic"/>
        <family val="0"/>
        <charset val="1"/>
      </rPr>
      <t xml:space="preserve">"</t>
    </r>
    <r>
      <rPr>
        <sz val="10"/>
        <rFont val="WenQuanYi Zen Hei"/>
        <family val="2"/>
      </rPr>
      <t xml:space="preserve">의 값만 더합니다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합류가 있는 관망이면 누가 식을 </t>
    </r>
    <r>
      <rPr>
        <sz val="10"/>
        <rFont val="Malgun Gothic"/>
        <family val="0"/>
        <charset val="1"/>
      </rPr>
      <t xml:space="preserve">SUMIF </t>
    </r>
    <r>
      <rPr>
        <sz val="10"/>
        <rFont val="WenQuanYi Zen Hei"/>
        <family val="2"/>
      </rPr>
      <t xml:space="preserve">로 바꿔야 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</si>
  <si>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  · </t>
    </r>
    <r>
      <rPr>
        <sz val="10"/>
        <rFont val="WenQuanYi Zen Hei"/>
        <family val="2"/>
      </rPr>
      <t xml:space="preserve">허용 수심비는 </t>
    </r>
    <r>
      <rPr>
        <sz val="10"/>
        <rFont val="Malgun Gothic"/>
        <family val="0"/>
        <charset val="1"/>
      </rPr>
      <t xml:space="preserve">1.0(</t>
    </r>
    <r>
      <rPr>
        <sz val="10"/>
        <rFont val="WenQuanYi Zen Hei"/>
        <family val="2"/>
      </rPr>
      <t xml:space="preserve">만관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만 지원합니다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원형관 기준</t>
    </r>
    <r>
      <rPr>
        <sz val="10"/>
        <rFont val="Malgun Gothic"/>
        <family val="0"/>
        <charset val="1"/>
      </rPr>
      <t xml:space="preserve">). </t>
    </r>
    <r>
      <rPr>
        <sz val="10"/>
        <rFont val="WenQuanYi Zen Hei"/>
        <family val="2"/>
      </rPr>
      <t xml:space="preserve">암거</t>
    </r>
    <r>
      <rPr>
        <sz val="10"/>
        <rFont val="Malgun Gothic"/>
        <family val="0"/>
        <charset val="1"/>
      </rPr>
      <t xml:space="preserve">(BOX)·</t>
    </r>
    <r>
      <rPr>
        <sz val="10"/>
        <rFont val="WenQuanYi Zen Hei"/>
        <family val="2"/>
      </rPr>
      <t xml:space="preserve">압송관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역구배 관로는 이 시트에서 다루지 않습니다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</si>
  <si>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  · PipeTools </t>
    </r>
    <r>
      <rPr>
        <sz val="10"/>
        <rFont val="WenQuanYi Zen Hei"/>
        <family val="2"/>
      </rPr>
      <t xml:space="preserve">결과</t>
    </r>
    <r>
      <rPr>
        <sz val="10"/>
        <rFont val="Malgun Gothic"/>
        <family val="0"/>
        <charset val="1"/>
      </rPr>
      <t xml:space="preserve">(rpt)</t>
    </r>
    <r>
      <rPr>
        <sz val="10"/>
        <rFont val="WenQuanYi Zen Hei"/>
        <family val="2"/>
      </rPr>
      <t xml:space="preserve">와 숫자가 완전히 같지는 않습니다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만관유량이 약 </t>
    </r>
    <r>
      <rPr>
        <sz val="10"/>
        <rFont val="Malgun Gothic"/>
        <family val="0"/>
        <charset val="1"/>
      </rPr>
      <t xml:space="preserve">0.02% </t>
    </r>
    <r>
      <rPr>
        <sz val="10"/>
        <rFont val="WenQuanYi Zen Hei"/>
        <family val="2"/>
      </rPr>
      <t xml:space="preserve">크고 유속은 최대 </t>
    </r>
    <r>
      <rPr>
        <sz val="10"/>
        <rFont val="Malgun Gothic"/>
        <family val="0"/>
        <charset val="1"/>
      </rPr>
      <t xml:space="preserve">0.004 m/s </t>
    </r>
    <r>
      <rPr>
        <sz val="10"/>
        <rFont val="WenQuanYi Zen Hei"/>
        <family val="2"/>
      </rPr>
      <t xml:space="preserve">정도 차이납니다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원인</t>
    </r>
    <r>
      <rPr>
        <sz val="10"/>
        <rFont val="Malgun Gothic"/>
        <family val="0"/>
        <charset val="1"/>
      </rPr>
      <t xml:space="preserve">(PipeTools </t>
    </r>
    <r>
      <rPr>
        <sz val="10"/>
        <rFont val="WenQuanYi Zen Hei"/>
        <family val="2"/>
      </rPr>
      <t xml:space="preserve">내부 식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은 확인하지 못했고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판정 </t>
    </r>
    <r>
      <rPr>
        <sz val="10"/>
        <rFont val="Malgun Gothic"/>
        <family val="0"/>
        <charset val="1"/>
      </rPr>
      <t xml:space="preserve">30/30 </t>
    </r>
    <r>
      <rPr>
        <sz val="10"/>
        <rFont val="WenQuanYi Zen Hei"/>
        <family val="2"/>
      </rPr>
      <t xml:space="preserve">은 일치합니다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경사를 </t>
    </r>
    <r>
      <rPr>
        <sz val="10"/>
        <rFont val="Malgun Gothic"/>
        <family val="0"/>
        <charset val="1"/>
      </rPr>
      <t xml:space="preserve">0.1‰</t>
    </r>
    <r>
      <rPr>
        <sz val="10"/>
        <rFont val="WenQuanYi Zen Hei"/>
        <family val="2"/>
      </rPr>
      <t xml:space="preserve">로 반올림해 계산해 보았지만 차이가 줄지 않았습니다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</si>
  <si>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  · </t>
    </r>
    <r>
      <rPr>
        <sz val="10"/>
        <rFont val="WenQuanYi Zen Hei"/>
        <family val="2"/>
      </rPr>
      <t xml:space="preserve">입력값은 사용자가 올린 </t>
    </r>
    <r>
      <rPr>
        <sz val="10"/>
        <rFont val="Malgun Gothic"/>
        <family val="0"/>
        <charset val="1"/>
      </rPr>
      <t xml:space="preserve">PipeTools BC </t>
    </r>
    <r>
      <rPr>
        <sz val="10"/>
        <rFont val="WenQuanYi Zen Hei"/>
        <family val="2"/>
      </rPr>
      <t xml:space="preserve">노선 자료에서 읽은 값입니다</t>
    </r>
    <r>
      <rPr>
        <sz val="10"/>
        <rFont val="Malgun Gothic"/>
        <family val="0"/>
        <charset val="1"/>
      </rPr>
      <t xml:space="preserve">.</t>
    </r>
  </si>
  <si>
    <t xml:space="preserve">판정 기준 설정</t>
  </si>
  <si>
    <t xml:space="preserve">항목</t>
  </si>
  <si>
    <t xml:space="preserve">값</t>
  </si>
  <si>
    <t xml:space="preserve">설명</t>
  </si>
  <si>
    <r>
      <rPr>
        <sz val="10"/>
        <rFont val="WenQuanYi Zen Hei"/>
        <family val="2"/>
      </rPr>
      <t xml:space="preserve">최소 유속 </t>
    </r>
    <r>
      <rPr>
        <sz val="10"/>
        <rFont val="Malgun Gothic"/>
        <family val="0"/>
        <charset val="1"/>
      </rPr>
      <t xml:space="preserve">[m/s]</t>
    </r>
  </si>
  <si>
    <r>
      <rPr>
        <sz val="10"/>
        <rFont val="WenQuanYi Zen Hei"/>
        <family val="2"/>
      </rPr>
      <t xml:space="preserve">이 값 미만이면 유지관리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주의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</si>
  <si>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최대 유속 </t>
    </r>
    <r>
      <rPr>
        <sz val="10"/>
        <rFont val="Malgun Gothic"/>
        <family val="0"/>
        <charset val="1"/>
      </rPr>
      <t xml:space="preserve">[m/s]</t>
    </r>
  </si>
  <si>
    <r>
      <rPr>
        <sz val="10"/>
        <rFont val="WenQuanYi Zen Hei"/>
        <family val="2"/>
      </rPr>
      <t xml:space="preserve">초과하면 </t>
    </r>
    <r>
      <rPr>
        <sz val="10"/>
        <rFont val="Malgun Gothic"/>
        <family val="0"/>
        <charset val="1"/>
      </rPr>
      <t xml:space="preserve">NG</t>
    </r>
  </si>
  <si>
    <r>
      <rPr>
        <sz val="10"/>
        <rFont val="WenQuanYi Zen Hei"/>
        <family val="2"/>
      </rPr>
      <t xml:space="preserve">유지관리 하한 유속 </t>
    </r>
    <r>
      <rPr>
        <sz val="10"/>
        <rFont val="Malgun Gothic"/>
        <family val="0"/>
        <charset val="1"/>
      </rPr>
      <t xml:space="preserve">[m/s]</t>
    </r>
  </si>
  <si>
    <r>
      <rPr>
        <sz val="10"/>
        <rFont val="WenQuanYi Zen Hei"/>
        <family val="2"/>
      </rPr>
      <t xml:space="preserve">미만이면 </t>
    </r>
    <r>
      <rPr>
        <sz val="10"/>
        <rFont val="Malgun Gothic"/>
        <family val="0"/>
        <charset val="1"/>
      </rPr>
      <t xml:space="preserve">NG (</t>
    </r>
    <r>
      <rPr>
        <sz val="10"/>
        <rFont val="WenQuanYi Zen Hei"/>
        <family val="2"/>
      </rPr>
      <t xml:space="preserve">불량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</si>
  <si>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최소 토피 </t>
    </r>
    <r>
      <rPr>
        <sz val="10"/>
        <rFont val="Malgun Gothic"/>
        <family val="0"/>
        <charset val="1"/>
      </rPr>
      <t xml:space="preserve">[m]</t>
    </r>
  </si>
  <si>
    <r>
      <rPr>
        <sz val="10"/>
        <rFont val="WenQuanYi Zen Hei"/>
        <family val="2"/>
      </rPr>
      <t xml:space="preserve">상류단 기준 </t>
    </r>
    <r>
      <rPr>
        <sz val="10"/>
        <rFont val="Malgun Gothic"/>
        <family val="0"/>
        <charset val="1"/>
      </rPr>
      <t xml:space="preserve">(PipeTools rpt </t>
    </r>
    <r>
      <rPr>
        <sz val="10"/>
        <rFont val="WenQuanYi Zen Hei"/>
        <family val="2"/>
      </rPr>
      <t xml:space="preserve">와 같음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</si>
  <si>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급경사 기준 </t>
    </r>
    <r>
      <rPr>
        <sz val="10"/>
        <rFont val="Malgun Gothic"/>
        <family val="0"/>
        <charset val="1"/>
      </rPr>
      <t xml:space="preserve">[‰]</t>
    </r>
  </si>
  <si>
    <r>
      <rPr>
        <sz val="10"/>
        <rFont val="WenQuanYi Zen Hei"/>
        <family val="2"/>
      </rPr>
      <t xml:space="preserve">이 경사 이상에서 유속 </t>
    </r>
    <r>
      <rPr>
        <sz val="10"/>
        <rFont val="Malgun Gothic"/>
        <family val="0"/>
        <charset val="1"/>
      </rPr>
      <t xml:space="preserve">NG </t>
    </r>
    <r>
      <rPr>
        <sz val="10"/>
        <rFont val="WenQuanYi Zen Hei"/>
        <family val="2"/>
      </rPr>
      <t xml:space="preserve">는 구배</t>
    </r>
    <r>
      <rPr>
        <sz val="10"/>
        <rFont val="Malgun Gothic"/>
        <family val="0"/>
        <charset val="1"/>
      </rPr>
      <t xml:space="preserve">10.0%</t>
    </r>
    <r>
      <rPr>
        <sz val="10"/>
        <rFont val="WenQuanYi Zen Hei"/>
        <family val="2"/>
      </rPr>
      <t xml:space="preserve">이상 으로 표시</t>
    </r>
  </si>
  <si>
    <r>
      <rPr>
        <sz val="10"/>
        <rFont val="WenQuanYi Zen Hei"/>
        <family val="2"/>
      </rPr>
      <t xml:space="preserve">허용 수심비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원형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</si>
  <si>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1.0 = </t>
    </r>
    <r>
      <rPr>
        <sz val="10"/>
        <rFont val="WenQuanYi Zen Hei"/>
        <family val="2"/>
      </rPr>
      <t xml:space="preserve">만관유량이 허용유량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이 시트는 </t>
    </r>
    <r>
      <rPr>
        <sz val="10"/>
        <rFont val="Malgun Gothic"/>
        <family val="0"/>
        <charset val="1"/>
      </rPr>
      <t xml:space="preserve">1.0 </t>
    </r>
    <r>
      <rPr>
        <sz val="10"/>
        <rFont val="WenQuanYi Zen Hei"/>
        <family val="2"/>
      </rPr>
      <t xml:space="preserve">만 지원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</si>
  <si>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θmax (</t>
    </r>
    <r>
      <rPr>
        <sz val="10"/>
        <rFont val="WenQuanYi Zen Hei"/>
        <family val="2"/>
      </rPr>
      <t xml:space="preserve">수심비 </t>
    </r>
    <r>
      <rPr>
        <sz val="10"/>
        <rFont val="Malgun Gothic"/>
        <family val="0"/>
        <charset val="1"/>
      </rPr>
      <t xml:space="preserve">0.938 </t>
    </r>
    <r>
      <rPr>
        <sz val="10"/>
        <rFont val="WenQuanYi Zen Hei"/>
        <family val="2"/>
      </rPr>
      <t xml:space="preserve">의 중심각</t>
    </r>
    <r>
      <rPr>
        <sz val="10"/>
        <rFont val="Malgun Gothic"/>
        <family val="0"/>
        <charset val="1"/>
      </rPr>
      <t xml:space="preserve">) [rad]</t>
    </r>
  </si>
  <si>
    <r>
      <rPr>
        <sz val="10"/>
        <rFont val="WenQuanYi Zen Hei"/>
        <family val="2"/>
      </rPr>
      <t xml:space="preserve">이분법 탐색 범위 상한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이보다 큰 유량은 만관으로 봄 </t>
    </r>
    <r>
      <rPr>
        <sz val="10"/>
        <rFont val="Malgun Gothic"/>
        <family val="0"/>
        <charset val="1"/>
      </rPr>
      <t xml:space="preserve">(PipeTools </t>
    </r>
    <r>
      <rPr>
        <sz val="10"/>
        <rFont val="WenQuanYi Zen Hei"/>
        <family val="2"/>
      </rPr>
      <t xml:space="preserve">와 같은 처리</t>
    </r>
    <r>
      <rPr>
        <sz val="10"/>
        <rFont val="Malgun Gothic"/>
        <family val="0"/>
        <charset val="1"/>
      </rPr>
      <t xml:space="preserve">)</t>
    </r>
  </si>
  <si>
    <t xml:space="preserve">일 환산 상수</t>
  </si>
  <si>
    <r>
      <rPr>
        <sz val="10"/>
        <rFont val="Malgun Gothic"/>
        <family val="0"/>
        <charset val="1"/>
      </rPr>
      <t xml:space="preserve">L/</t>
    </r>
    <r>
      <rPr>
        <sz val="10"/>
        <rFont val="WenQuanYi Zen Hei"/>
        <family val="2"/>
      </rPr>
      <t xml:space="preserve">일 → </t>
    </r>
    <r>
      <rPr>
        <sz val="10"/>
        <rFont val="Malgun Gothic"/>
        <family val="0"/>
        <charset val="1"/>
      </rPr>
      <t xml:space="preserve">m³/s : ÷ 86,400,000</t>
    </r>
  </si>
  <si>
    <r>
      <rPr>
        <b val="true"/>
        <sz val="10"/>
        <rFont val="WenQuanYi Zen Hei"/>
        <family val="2"/>
      </rPr>
      <t xml:space="preserve">여유율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하수도시설기준 오수관거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</si>
  <si>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관경 상한 </t>
    </r>
    <r>
      <rPr>
        <b val="true"/>
        <sz val="10"/>
        <color rgb="FFFFFFFF"/>
        <rFont val="Malgun Gothic"/>
        <family val="0"/>
        <charset val="1"/>
      </rPr>
      <t xml:space="preserve">[mm]</t>
    </r>
  </si>
  <si>
    <t xml:space="preserve">여유율</t>
  </si>
  <si>
    <t xml:space="preserve">비고</t>
  </si>
  <si>
    <r>
      <rPr>
        <sz val="10"/>
        <rFont val="Malgun Gothic"/>
        <family val="0"/>
        <charset val="1"/>
      </rPr>
      <t xml:space="preserve">600 </t>
    </r>
    <r>
      <rPr>
        <sz val="10"/>
        <rFont val="WenQuanYi Zen Hei"/>
        <family val="2"/>
      </rPr>
      <t xml:space="preserve">이하</t>
    </r>
  </si>
  <si>
    <t xml:space="preserve">700 ~ 1500</t>
  </si>
  <si>
    <r>
      <rPr>
        <sz val="10"/>
        <rFont val="Malgun Gothic"/>
        <family val="0"/>
        <charset val="1"/>
      </rPr>
      <t xml:space="preserve">1650 </t>
    </r>
    <r>
      <rPr>
        <sz val="10"/>
        <rFont val="WenQuanYi Zen Hei"/>
        <family val="2"/>
      </rPr>
      <t xml:space="preserve">이상</t>
    </r>
  </si>
  <si>
    <r>
      <rPr>
        <b val="true"/>
        <sz val="14"/>
        <rFont val="WenQuanYi Zen Hei"/>
        <family val="2"/>
      </rPr>
      <t xml:space="preserve">입력 자료 </t>
    </r>
    <r>
      <rPr>
        <b val="true"/>
        <sz val="14"/>
        <rFont val="Malgun Gothic"/>
        <family val="0"/>
        <charset val="1"/>
      </rPr>
      <t xml:space="preserve">(BC </t>
    </r>
    <r>
      <rPr>
        <b val="true"/>
        <sz val="14"/>
        <rFont val="WenQuanYi Zen Hei"/>
        <family val="2"/>
      </rPr>
      <t xml:space="preserve">노선</t>
    </r>
    <r>
      <rPr>
        <b val="true"/>
        <sz val="14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</si>
  <si>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파란 글씨 </t>
    </r>
    <r>
      <rPr>
        <sz val="10"/>
        <rFont val="Malgun Gothic"/>
        <family val="0"/>
        <charset val="1"/>
      </rPr>
      <t xml:space="preserve">= PipeTools </t>
    </r>
    <r>
      <rPr>
        <sz val="10"/>
        <rFont val="WenQuanYi Zen Hei"/>
        <family val="2"/>
      </rPr>
      <t xml:space="preserve">수리계산 시트의 값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직접 바꿔 보면 계산 시트가 따라 바뀝니다</t>
    </r>
    <r>
      <rPr>
        <sz val="10"/>
        <rFont val="Malgun Gothic"/>
        <family val="0"/>
        <charset val="1"/>
      </rPr>
      <t xml:space="preserve">.</t>
    </r>
  </si>
  <si>
    <t xml:space="preserve">관로번호</t>
  </si>
  <si>
    <t xml:space="preserve">상류맨홀</t>
  </si>
  <si>
    <t xml:space="preserve">하류맨홀</t>
  </si>
  <si>
    <r>
      <rPr>
        <b val="true"/>
        <sz val="10"/>
        <color rgb="FFFFFFFF"/>
        <rFont val="WenQuanYi Zen Hei"/>
        <family val="2"/>
      </rPr>
      <t xml:space="preserve">연장 </t>
    </r>
    <r>
      <rPr>
        <b val="true"/>
        <sz val="10"/>
        <color rgb="FFFFFFFF"/>
        <rFont val="Malgun Gothic"/>
        <family val="0"/>
        <charset val="1"/>
      </rPr>
      <t xml:space="preserve">L [m]</t>
    </r>
  </si>
  <si>
    <r>
      <rPr>
        <b val="true"/>
        <sz val="10"/>
        <color rgb="FFFFFFFF"/>
        <rFont val="WenQuanYi Zen Hei"/>
        <family val="2"/>
      </rPr>
      <t xml:space="preserve">관경 </t>
    </r>
    <r>
      <rPr>
        <b val="true"/>
        <sz val="10"/>
        <color rgb="FFFFFFFF"/>
        <rFont val="Malgun Gothic"/>
        <family val="0"/>
        <charset val="1"/>
      </rPr>
      <t xml:space="preserve">D [mm]</t>
    </r>
  </si>
  <si>
    <r>
      <rPr>
        <b val="true"/>
        <sz val="10"/>
        <color rgb="FFFFFFFF"/>
        <rFont val="WenQuanYi Zen Hei"/>
        <family val="2"/>
      </rPr>
      <t xml:space="preserve">상류 관저고 </t>
    </r>
    <r>
      <rPr>
        <b val="true"/>
        <sz val="10"/>
        <color rgb="FFFFFFFF"/>
        <rFont val="Malgun Gothic"/>
        <family val="0"/>
        <charset val="1"/>
      </rPr>
      <t xml:space="preserve">[m]</t>
    </r>
  </si>
  <si>
    <r>
      <rPr>
        <b val="true"/>
        <sz val="10"/>
        <color rgb="FFFFFFFF"/>
        <rFont val="WenQuanYi Zen Hei"/>
        <family val="2"/>
      </rPr>
      <t xml:space="preserve">하류 관저고 </t>
    </r>
    <r>
      <rPr>
        <b val="true"/>
        <sz val="10"/>
        <color rgb="FFFFFFFF"/>
        <rFont val="Malgun Gothic"/>
        <family val="0"/>
        <charset val="1"/>
      </rPr>
      <t xml:space="preserve">[m]</t>
    </r>
  </si>
  <si>
    <r>
      <rPr>
        <b val="true"/>
        <sz val="10"/>
        <color rgb="FFFFFFFF"/>
        <rFont val="WenQuanYi Zen Hei"/>
        <family val="2"/>
      </rPr>
      <t xml:space="preserve">상류 지반고 </t>
    </r>
    <r>
      <rPr>
        <b val="true"/>
        <sz val="10"/>
        <color rgb="FFFFFFFF"/>
        <rFont val="Malgun Gothic"/>
        <family val="0"/>
        <charset val="1"/>
      </rPr>
      <t xml:space="preserve">[m]</t>
    </r>
  </si>
  <si>
    <r>
      <rPr>
        <b val="true"/>
        <sz val="10"/>
        <color rgb="FFFFFFFF"/>
        <rFont val="WenQuanYi Zen Hei"/>
        <family val="2"/>
      </rPr>
      <t xml:space="preserve">하류 지반고 </t>
    </r>
    <r>
      <rPr>
        <b val="true"/>
        <sz val="10"/>
        <color rgb="FFFFFFFF"/>
        <rFont val="Malgun Gothic"/>
        <family val="0"/>
        <charset val="1"/>
      </rPr>
      <t xml:space="preserve">[m]</t>
    </r>
  </si>
  <si>
    <r>
      <rPr>
        <b val="true"/>
        <sz val="10"/>
        <color rgb="FFFFFFFF"/>
        <rFont val="WenQuanYi Zen Hei"/>
        <family val="2"/>
      </rPr>
      <t xml:space="preserve">조도계수 </t>
    </r>
    <r>
      <rPr>
        <b val="true"/>
        <sz val="10"/>
        <color rgb="FFFFFFFF"/>
        <rFont val="Malgun Gothic"/>
        <family val="0"/>
        <charset val="1"/>
      </rPr>
      <t xml:space="preserve">n</t>
    </r>
  </si>
  <si>
    <r>
      <rPr>
        <b val="true"/>
        <sz val="10"/>
        <color rgb="FFFFFFFF"/>
        <rFont val="WenQuanYi Zen Hei"/>
        <family val="2"/>
      </rPr>
      <t xml:space="preserve">유역면적 </t>
    </r>
    <r>
      <rPr>
        <b val="true"/>
        <sz val="10"/>
        <color rgb="FFFFFFFF"/>
        <rFont val="Malgun Gothic"/>
        <family val="0"/>
        <charset val="1"/>
      </rPr>
      <t xml:space="preserve">[ha]</t>
    </r>
  </si>
  <si>
    <r>
      <rPr>
        <b val="true"/>
        <sz val="10"/>
        <color rgb="FFFFFFFF"/>
        <rFont val="WenQuanYi Zen Hei"/>
        <family val="2"/>
      </rPr>
      <t xml:space="preserve">인구밀도 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WenQuanYi Zen Hei"/>
        <family val="2"/>
      </rPr>
      <t xml:space="preserve">인</t>
    </r>
    <r>
      <rPr>
        <b val="true"/>
        <sz val="10"/>
        <color rgb="FFFFFFFF"/>
        <rFont val="Malgun Gothic"/>
        <family val="0"/>
        <charset val="1"/>
      </rPr>
      <t xml:space="preserve">/ha]</t>
    </r>
  </si>
  <si>
    <r>
      <rPr>
        <b val="true"/>
        <sz val="10"/>
        <color rgb="FFFFFFFF"/>
        <rFont val="WenQuanYi Zen Hei"/>
        <family val="2"/>
      </rPr>
      <t xml:space="preserve">오수원단위 </t>
    </r>
    <r>
      <rPr>
        <b val="true"/>
        <sz val="10"/>
        <color rgb="FFFFFFFF"/>
        <rFont val="Malgun Gothic"/>
        <family val="0"/>
        <charset val="1"/>
      </rPr>
      <t xml:space="preserve">[L/</t>
    </r>
    <r>
      <rPr>
        <b val="true"/>
        <sz val="10"/>
        <color rgb="FFFFFFFF"/>
        <rFont val="WenQuanYi Zen Hei"/>
        <family val="2"/>
      </rPr>
      <t xml:space="preserve">인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</si>
  <si>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r>
      <rPr>
        <b val="true"/>
        <sz val="10"/>
        <color rgb="FFFFFFFF"/>
        <rFont val="WenQuanYi Zen Hei"/>
        <family val="2"/>
      </rPr>
      <t xml:space="preserve">지하수원단위 </t>
    </r>
    <r>
      <rPr>
        <b val="true"/>
        <sz val="10"/>
        <color rgb="FFFFFFFF"/>
        <rFont val="Malgun Gothic"/>
        <family val="0"/>
        <charset val="1"/>
      </rPr>
      <t xml:space="preserve">[L/</t>
    </r>
    <r>
      <rPr>
        <b val="true"/>
        <sz val="10"/>
        <color rgb="FFFFFFFF"/>
        <rFont val="WenQuanYi Zen Hei"/>
        <family val="2"/>
      </rPr>
      <t xml:space="preserve">인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</si>
  <si>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t xml:space="preserve">P.F</t>
  </si>
  <si>
    <r>
      <rPr>
        <b val="true"/>
        <sz val="10"/>
        <color rgb="FFFFFFFF"/>
        <rFont val="WenQuanYi Zen Hei"/>
        <family val="2"/>
      </rPr>
      <t xml:space="preserve">직접 유입 </t>
    </r>
    <r>
      <rPr>
        <b val="true"/>
        <sz val="10"/>
        <color rgb="FFFFFFFF"/>
        <rFont val="Malgun Gothic"/>
        <family val="0"/>
        <charset val="1"/>
      </rPr>
      <t xml:space="preserve">[m³/s]</t>
    </r>
  </si>
  <si>
    <t xml:space="preserve">BC-01</t>
  </si>
  <si>
    <t xml:space="preserve">BC-02</t>
  </si>
  <si>
    <t xml:space="preserve">BC-03</t>
  </si>
  <si>
    <t xml:space="preserve">BC-04</t>
  </si>
  <si>
    <t xml:space="preserve">BC-05</t>
  </si>
  <si>
    <t xml:space="preserve">BC-06</t>
  </si>
  <si>
    <t xml:space="preserve">BC-07</t>
  </si>
  <si>
    <t xml:space="preserve">BC-08</t>
  </si>
  <si>
    <t xml:space="preserve">BC-09</t>
  </si>
  <si>
    <t xml:space="preserve">BC-10</t>
  </si>
  <si>
    <t xml:space="preserve">BC-11</t>
  </si>
  <si>
    <t xml:space="preserve">BC-12</t>
  </si>
  <si>
    <t xml:space="preserve">BC-13</t>
  </si>
  <si>
    <t xml:space="preserve">BC-14</t>
  </si>
  <si>
    <t xml:space="preserve">BC-15</t>
  </si>
  <si>
    <t xml:space="preserve">BC-16</t>
  </si>
  <si>
    <t xml:space="preserve">BC-17</t>
  </si>
  <si>
    <t xml:space="preserve">BC-18</t>
  </si>
  <si>
    <t xml:space="preserve">BC-19</t>
  </si>
  <si>
    <t xml:space="preserve">BC-20</t>
  </si>
  <si>
    <t xml:space="preserve">BC-21</t>
  </si>
  <si>
    <t xml:space="preserve">BC-22</t>
  </si>
  <si>
    <t xml:space="preserve">BC-23</t>
  </si>
  <si>
    <t xml:space="preserve">BC-24</t>
  </si>
  <si>
    <t xml:space="preserve">BC-25</t>
  </si>
  <si>
    <t xml:space="preserve">BC-26</t>
  </si>
  <si>
    <t xml:space="preserve">BC-27</t>
  </si>
  <si>
    <t xml:space="preserve">BC-28</t>
  </si>
  <si>
    <t xml:space="preserve">BC-29</t>
  </si>
  <si>
    <t xml:space="preserve">BC-30</t>
  </si>
  <si>
    <t xml:space="preserve">BC-31</t>
  </si>
  <si>
    <r>
      <rPr>
        <b val="true"/>
        <sz val="14"/>
        <rFont val="WenQuanYi Zen Hei"/>
        <family val="2"/>
      </rPr>
      <t xml:space="preserve">등류수심 이분법 </t>
    </r>
    <r>
      <rPr>
        <b val="true"/>
        <sz val="14"/>
        <rFont val="Malgun Gothic"/>
        <family val="0"/>
        <charset val="1"/>
      </rPr>
      <t xml:space="preserve">(40</t>
    </r>
    <r>
      <rPr>
        <b val="true"/>
        <sz val="14"/>
        <rFont val="WenQuanYi Zen Hei"/>
        <family val="2"/>
      </rPr>
      <t xml:space="preserve">회</t>
    </r>
    <r>
      <rPr>
        <b val="true"/>
        <sz val="14"/>
        <rFont val="Malgun Gothic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중심각 </t>
    </r>
    <r>
      <rPr>
        <b val="true"/>
        <sz val="14"/>
        <rFont val="Malgun Gothic"/>
        <family val="0"/>
        <charset val="1"/>
      </rPr>
      <t xml:space="preserve">θ </t>
    </r>
    <r>
      <rPr>
        <b val="true"/>
        <sz val="14"/>
        <rFont val="WenQuanYi Zen Hei"/>
        <family val="2"/>
      </rPr>
      <t xml:space="preserve">를 </t>
    </r>
    <r>
      <rPr>
        <b val="true"/>
        <sz val="14"/>
        <rFont val="Malgun Gothic"/>
        <family val="0"/>
        <charset val="1"/>
      </rPr>
      <t xml:space="preserve">0 ~ θmax </t>
    </r>
    <r>
      <rPr>
        <b val="true"/>
        <sz val="14"/>
        <rFont val="WenQuanYi Zen Hei"/>
        <family val="2"/>
      </rPr>
      <t xml:space="preserve">에서 반씩 줄여 </t>
    </r>
    <r>
      <rPr>
        <b val="true"/>
        <sz val="14"/>
        <rFont val="Malgun Gothic"/>
        <family val="0"/>
        <charset val="1"/>
      </rPr>
      <t xml:space="preserve">Q(θ) = Q </t>
    </r>
    <r>
      <rPr>
        <b val="true"/>
        <sz val="14"/>
        <rFont val="WenQuanYi Zen Hei"/>
        <family val="2"/>
      </rPr>
      <t xml:space="preserve">가 되는 값을 찾음</t>
    </r>
  </si>
  <si>
    <r>
      <rPr>
        <sz val="10"/>
        <rFont val="Malgun Gothic"/>
        <family val="0"/>
        <charset val="1"/>
      </rPr>
      <t xml:space="preserve">θ[k] = θ[k-1] ± θmax / 2^(k+1)   (Q(θ[k-1]) &lt; Q </t>
    </r>
    <r>
      <rPr>
        <sz val="10"/>
        <rFont val="WenQuanYi Zen Hei"/>
        <family val="2"/>
      </rPr>
      <t xml:space="preserve">이면 </t>
    </r>
    <r>
      <rPr>
        <sz val="10"/>
        <rFont val="Malgun Gothic"/>
        <family val="0"/>
        <charset val="1"/>
      </rPr>
      <t xml:space="preserve">+, </t>
    </r>
    <r>
      <rPr>
        <sz val="10"/>
        <rFont val="WenQuanYi Zen Hei"/>
        <family val="2"/>
      </rPr>
      <t xml:space="preserve">아니면 −</t>
    </r>
    <r>
      <rPr>
        <sz val="10"/>
        <rFont val="Malgun Gothic"/>
        <family val="0"/>
        <charset val="1"/>
      </rPr>
      <t xml:space="preserve">).  </t>
    </r>
    <r>
      <rPr>
        <sz val="10"/>
        <rFont val="WenQuanYi Zen Hei"/>
        <family val="2"/>
      </rPr>
      <t xml:space="preserve">마지막 </t>
    </r>
    <r>
      <rPr>
        <sz val="10"/>
        <rFont val="Malgun Gothic"/>
        <family val="0"/>
        <charset val="1"/>
      </rPr>
      <t xml:space="preserve">θ </t>
    </r>
    <r>
      <rPr>
        <sz val="10"/>
        <rFont val="WenQuanYi Zen Hei"/>
        <family val="2"/>
      </rPr>
      <t xml:space="preserve">를 계산 시트가 가져감</t>
    </r>
  </si>
  <si>
    <t xml:space="preserve">관로</t>
  </si>
  <si>
    <r>
      <rPr>
        <b val="true"/>
        <sz val="10"/>
        <color rgb="FFFFFFFF"/>
        <rFont val="WenQuanYi Zen Hei"/>
        <family val="2"/>
      </rPr>
      <t xml:space="preserve">목표 </t>
    </r>
    <r>
      <rPr>
        <b val="true"/>
        <sz val="10"/>
        <color rgb="FFFFFFFF"/>
        <rFont val="Malgun Gothic"/>
        <family val="0"/>
        <charset val="1"/>
      </rPr>
      <t xml:space="preserve">Q [m³/s]</t>
    </r>
  </si>
  <si>
    <t xml:space="preserve">D [m]</t>
  </si>
  <si>
    <t xml:space="preserve">S [m/m]</t>
  </si>
  <si>
    <t xml:space="preserve">n</t>
  </si>
  <si>
    <t xml:space="preserve">θ0</t>
  </si>
  <si>
    <t xml:space="preserve">Q(θ0)</t>
  </si>
  <si>
    <t xml:space="preserve">θ1</t>
  </si>
  <si>
    <t xml:space="preserve">Q(θ1)</t>
  </si>
  <si>
    <t xml:space="preserve">θ2</t>
  </si>
  <si>
    <t xml:space="preserve">Q(θ2)</t>
  </si>
  <si>
    <t xml:space="preserve">θ3</t>
  </si>
  <si>
    <t xml:space="preserve">Q(θ3)</t>
  </si>
  <si>
    <t xml:space="preserve">θ4</t>
  </si>
  <si>
    <t xml:space="preserve">Q(θ4)</t>
  </si>
  <si>
    <t xml:space="preserve">θ5</t>
  </si>
  <si>
    <t xml:space="preserve">Q(θ5)</t>
  </si>
  <si>
    <t xml:space="preserve">θ6</t>
  </si>
  <si>
    <t xml:space="preserve">Q(θ6)</t>
  </si>
  <si>
    <t xml:space="preserve">θ7</t>
  </si>
  <si>
    <t xml:space="preserve">Q(θ7)</t>
  </si>
  <si>
    <t xml:space="preserve">θ8</t>
  </si>
  <si>
    <t xml:space="preserve">Q(θ8)</t>
  </si>
  <si>
    <t xml:space="preserve">θ9</t>
  </si>
  <si>
    <t xml:space="preserve">Q(θ9)</t>
  </si>
  <si>
    <t xml:space="preserve">θ10</t>
  </si>
  <si>
    <t xml:space="preserve">Q(θ10)</t>
  </si>
  <si>
    <t xml:space="preserve">θ11</t>
  </si>
  <si>
    <t xml:space="preserve">Q(θ11)</t>
  </si>
  <si>
    <t xml:space="preserve">θ12</t>
  </si>
  <si>
    <t xml:space="preserve">Q(θ12)</t>
  </si>
  <si>
    <t xml:space="preserve">θ13</t>
  </si>
  <si>
    <t xml:space="preserve">Q(θ13)</t>
  </si>
  <si>
    <t xml:space="preserve">θ14</t>
  </si>
  <si>
    <t xml:space="preserve">Q(θ14)</t>
  </si>
  <si>
    <t xml:space="preserve">θ15</t>
  </si>
  <si>
    <t xml:space="preserve">Q(θ15)</t>
  </si>
  <si>
    <t xml:space="preserve">θ16</t>
  </si>
  <si>
    <t xml:space="preserve">Q(θ16)</t>
  </si>
  <si>
    <t xml:space="preserve">θ17</t>
  </si>
  <si>
    <t xml:space="preserve">Q(θ17)</t>
  </si>
  <si>
    <t xml:space="preserve">θ18</t>
  </si>
  <si>
    <t xml:space="preserve">Q(θ18)</t>
  </si>
  <si>
    <t xml:space="preserve">θ19</t>
  </si>
  <si>
    <t xml:space="preserve">Q(θ19)</t>
  </si>
  <si>
    <t xml:space="preserve">θ20</t>
  </si>
  <si>
    <t xml:space="preserve">Q(θ20)</t>
  </si>
  <si>
    <t xml:space="preserve">θ21</t>
  </si>
  <si>
    <t xml:space="preserve">Q(θ21)</t>
  </si>
  <si>
    <t xml:space="preserve">θ22</t>
  </si>
  <si>
    <t xml:space="preserve">Q(θ22)</t>
  </si>
  <si>
    <t xml:space="preserve">θ23</t>
  </si>
  <si>
    <t xml:space="preserve">Q(θ23)</t>
  </si>
  <si>
    <t xml:space="preserve">θ24</t>
  </si>
  <si>
    <t xml:space="preserve">Q(θ24)</t>
  </si>
  <si>
    <t xml:space="preserve">θ25</t>
  </si>
  <si>
    <t xml:space="preserve">Q(θ25)</t>
  </si>
  <si>
    <t xml:space="preserve">θ26</t>
  </si>
  <si>
    <t xml:space="preserve">Q(θ26)</t>
  </si>
  <si>
    <t xml:space="preserve">θ27</t>
  </si>
  <si>
    <t xml:space="preserve">Q(θ27)</t>
  </si>
  <si>
    <t xml:space="preserve">θ28</t>
  </si>
  <si>
    <t xml:space="preserve">Q(θ28)</t>
  </si>
  <si>
    <t xml:space="preserve">θ29</t>
  </si>
  <si>
    <t xml:space="preserve">Q(θ29)</t>
  </si>
  <si>
    <t xml:space="preserve">θ30</t>
  </si>
  <si>
    <t xml:space="preserve">Q(θ30)</t>
  </si>
  <si>
    <t xml:space="preserve">θ31</t>
  </si>
  <si>
    <t xml:space="preserve">Q(θ31)</t>
  </si>
  <si>
    <t xml:space="preserve">θ32</t>
  </si>
  <si>
    <t xml:space="preserve">Q(θ32)</t>
  </si>
  <si>
    <t xml:space="preserve">θ33</t>
  </si>
  <si>
    <t xml:space="preserve">Q(θ33)</t>
  </si>
  <si>
    <t xml:space="preserve">θ34</t>
  </si>
  <si>
    <t xml:space="preserve">Q(θ34)</t>
  </si>
  <si>
    <t xml:space="preserve">θ35</t>
  </si>
  <si>
    <t xml:space="preserve">Q(θ35)</t>
  </si>
  <si>
    <t xml:space="preserve">θ36</t>
  </si>
  <si>
    <t xml:space="preserve">Q(θ36)</t>
  </si>
  <si>
    <t xml:space="preserve">θ37</t>
  </si>
  <si>
    <t xml:space="preserve">Q(θ37)</t>
  </si>
  <si>
    <t xml:space="preserve">θ38</t>
  </si>
  <si>
    <t xml:space="preserve">Q(θ38)</t>
  </si>
  <si>
    <t xml:space="preserve">θ39</t>
  </si>
  <si>
    <t xml:space="preserve">Q(θ39)</t>
  </si>
  <si>
    <t xml:space="preserve">θ40</t>
  </si>
  <si>
    <r>
      <rPr>
        <b val="true"/>
        <sz val="14"/>
        <rFont val="WenQuanYi Zen Hei"/>
        <family val="2"/>
      </rPr>
      <t xml:space="preserve">수리계산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함수</t>
    </r>
    <r>
      <rPr>
        <b val="true"/>
        <sz val="14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</si>
  <si>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모든 칸이 함수입니다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입력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설정 시트의 값을 바꾸면 자동으로 다시 계산됩니다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</si>
  <si>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자체 인구 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WenQuanYi Zen Hei"/>
        <family val="2"/>
      </rPr>
      <t xml:space="preserve">인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</si>
  <si>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r>
      <rPr>
        <b val="true"/>
        <sz val="10"/>
        <color rgb="FFFFFFFF"/>
        <rFont val="WenQuanYi Zen Hei"/>
        <family val="2"/>
      </rPr>
      <t xml:space="preserve">누가 인구 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WenQuanYi Zen Hei"/>
        <family val="2"/>
      </rPr>
      <t xml:space="preserve">인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</si>
  <si>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r>
      <rPr>
        <b val="true"/>
        <sz val="10"/>
        <color rgb="FFFFFFFF"/>
        <rFont val="WenQuanYi Zen Hei"/>
        <family val="2"/>
      </rPr>
      <t xml:space="preserve">자체 오수량 </t>
    </r>
    <r>
      <rPr>
        <b val="true"/>
        <sz val="10"/>
        <color rgb="FFFFFFFF"/>
        <rFont val="Malgun Gothic"/>
        <family val="0"/>
        <charset val="1"/>
      </rPr>
      <t xml:space="preserve">[m³/s]</t>
    </r>
  </si>
  <si>
    <r>
      <rPr>
        <b val="true"/>
        <sz val="10"/>
        <color rgb="FFFFFFFF"/>
        <rFont val="WenQuanYi Zen Hei"/>
        <family val="2"/>
      </rPr>
      <t xml:space="preserve">누가 유량 </t>
    </r>
    <r>
      <rPr>
        <b val="true"/>
        <sz val="10"/>
        <color rgb="FFFFFFFF"/>
        <rFont val="Malgun Gothic"/>
        <family val="0"/>
        <charset val="1"/>
      </rPr>
      <t xml:space="preserve">Q [m³/s]</t>
    </r>
  </si>
  <si>
    <r>
      <rPr>
        <b val="true"/>
        <sz val="10"/>
        <color rgb="FFFFFFFF"/>
        <rFont val="WenQuanYi Zen Hei"/>
        <family val="2"/>
      </rPr>
      <t xml:space="preserve">경사 </t>
    </r>
    <r>
      <rPr>
        <b val="true"/>
        <sz val="10"/>
        <color rgb="FFFFFFFF"/>
        <rFont val="Malgun Gothic"/>
        <family val="0"/>
        <charset val="1"/>
      </rPr>
      <t xml:space="preserve">S [‰]</t>
    </r>
  </si>
  <si>
    <r>
      <rPr>
        <b val="true"/>
        <sz val="10"/>
        <color rgb="FFFFFFFF"/>
        <rFont val="WenQuanYi Zen Hei"/>
        <family val="2"/>
      </rPr>
      <t xml:space="preserve">만관 단면적 </t>
    </r>
    <r>
      <rPr>
        <b val="true"/>
        <sz val="10"/>
        <color rgb="FFFFFFFF"/>
        <rFont val="Malgun Gothic"/>
        <family val="0"/>
        <charset val="1"/>
      </rPr>
      <t xml:space="preserve">[m²]</t>
    </r>
  </si>
  <si>
    <r>
      <rPr>
        <b val="true"/>
        <sz val="10"/>
        <color rgb="FFFFFFFF"/>
        <rFont val="WenQuanYi Zen Hei"/>
        <family val="2"/>
      </rPr>
      <t xml:space="preserve">만관유량 </t>
    </r>
    <r>
      <rPr>
        <b val="true"/>
        <sz val="10"/>
        <color rgb="FFFFFFFF"/>
        <rFont val="Malgun Gothic"/>
        <family val="0"/>
        <charset val="1"/>
      </rPr>
      <t xml:space="preserve">Qfull [m³/s]</t>
    </r>
  </si>
  <si>
    <r>
      <rPr>
        <b val="true"/>
        <sz val="10"/>
        <color rgb="FFFFFFFF"/>
        <rFont val="WenQuanYi Zen Hei"/>
        <family val="2"/>
      </rPr>
      <t xml:space="preserve">만관유속 </t>
    </r>
    <r>
      <rPr>
        <b val="true"/>
        <sz val="10"/>
        <color rgb="FFFFFFFF"/>
        <rFont val="Malgun Gothic"/>
        <family val="0"/>
        <charset val="1"/>
      </rPr>
      <t xml:space="preserve">Vfull [m/s]</t>
    </r>
  </si>
  <si>
    <r>
      <rPr>
        <b val="true"/>
        <sz val="10"/>
        <color rgb="FFFFFFFF"/>
        <rFont val="WenQuanYi Zen Hei"/>
        <family val="2"/>
      </rPr>
      <t xml:space="preserve">최대유량 </t>
    </r>
    <r>
      <rPr>
        <b val="true"/>
        <sz val="10"/>
        <color rgb="FFFFFFFF"/>
        <rFont val="Malgun Gothic"/>
        <family val="0"/>
        <charset val="1"/>
      </rPr>
      <t xml:space="preserve">Qmax [m³/s]</t>
    </r>
  </si>
  <si>
    <r>
      <rPr>
        <b val="true"/>
        <sz val="10"/>
        <color rgb="FFFFFFFF"/>
        <rFont val="WenQuanYi Zen Hei"/>
        <family val="2"/>
      </rPr>
      <t xml:space="preserve">중심각 </t>
    </r>
    <r>
      <rPr>
        <b val="true"/>
        <sz val="10"/>
        <color rgb="FFFFFFFF"/>
        <rFont val="Malgun Gothic"/>
        <family val="0"/>
        <charset val="1"/>
      </rPr>
      <t xml:space="preserve">θ [rad]</t>
    </r>
  </si>
  <si>
    <r>
      <rPr>
        <b val="true"/>
        <sz val="10"/>
        <color rgb="FFFFFFFF"/>
        <rFont val="WenQuanYi Zen Hei"/>
        <family val="2"/>
      </rPr>
      <t xml:space="preserve">수심 </t>
    </r>
    <r>
      <rPr>
        <b val="true"/>
        <sz val="10"/>
        <color rgb="FFFFFFFF"/>
        <rFont val="Malgun Gothic"/>
        <family val="0"/>
        <charset val="1"/>
      </rPr>
      <t xml:space="preserve">h [m]</t>
    </r>
  </si>
  <si>
    <r>
      <rPr>
        <b val="true"/>
        <sz val="10"/>
        <color rgb="FFFFFFFF"/>
        <rFont val="WenQuanYi Zen Hei"/>
        <family val="2"/>
      </rPr>
      <t xml:space="preserve">실유속 </t>
    </r>
    <r>
      <rPr>
        <b val="true"/>
        <sz val="10"/>
        <color rgb="FFFFFFFF"/>
        <rFont val="Malgun Gothic"/>
        <family val="0"/>
        <charset val="1"/>
      </rPr>
      <t xml:space="preserve">V [m/s]</t>
    </r>
  </si>
  <si>
    <r>
      <rPr>
        <b val="true"/>
        <sz val="10"/>
        <color rgb="FFFFFFFF"/>
        <rFont val="WenQuanYi Zen Hei"/>
        <family val="2"/>
      </rPr>
      <t xml:space="preserve">수심비 </t>
    </r>
    <r>
      <rPr>
        <b val="true"/>
        <sz val="10"/>
        <color rgb="FFFFFFFF"/>
        <rFont val="Malgun Gothic"/>
        <family val="0"/>
        <charset val="1"/>
      </rPr>
      <t xml:space="preserve">h/D [%]</t>
    </r>
  </si>
  <si>
    <r>
      <rPr>
        <b val="true"/>
        <sz val="10"/>
        <color rgb="FFFFFFFF"/>
        <rFont val="WenQuanYi Zen Hei"/>
        <family val="2"/>
      </rPr>
      <t xml:space="preserve">유량비 </t>
    </r>
    <r>
      <rPr>
        <b val="true"/>
        <sz val="10"/>
        <color rgb="FFFFFFFF"/>
        <rFont val="Malgun Gothic"/>
        <family val="0"/>
        <charset val="1"/>
      </rPr>
      <t xml:space="preserve">Q/Qfull [%]</t>
    </r>
  </si>
  <si>
    <r>
      <rPr>
        <b val="true"/>
        <sz val="10"/>
        <color rgb="FFFFFFFF"/>
        <rFont val="WenQuanYi Zen Hei"/>
        <family val="2"/>
      </rPr>
      <t xml:space="preserve">허용유량 </t>
    </r>
    <r>
      <rPr>
        <b val="true"/>
        <sz val="10"/>
        <color rgb="FFFFFFFF"/>
        <rFont val="Malgun Gothic"/>
        <family val="0"/>
        <charset val="1"/>
      </rPr>
      <t xml:space="preserve">[m³/s]</t>
    </r>
  </si>
  <si>
    <r>
      <rPr>
        <b val="true"/>
        <sz val="10"/>
        <color rgb="FFFFFFFF"/>
        <rFont val="WenQuanYi Zen Hei"/>
        <family val="2"/>
      </rPr>
      <t xml:space="preserve">사용률 </t>
    </r>
    <r>
      <rPr>
        <b val="true"/>
        <sz val="10"/>
        <color rgb="FFFFFFFF"/>
        <rFont val="Malgun Gothic"/>
        <family val="0"/>
        <charset val="1"/>
      </rPr>
      <t xml:space="preserve">Q(1+</t>
    </r>
    <r>
      <rPr>
        <b val="true"/>
        <sz val="10"/>
        <color rgb="FFFFFFFF"/>
        <rFont val="WenQuanYi Zen Hei"/>
        <family val="2"/>
      </rPr>
      <t xml:space="preserve">여유율</t>
    </r>
    <r>
      <rPr>
        <b val="true"/>
        <sz val="10"/>
        <color rgb="FFFFFFFF"/>
        <rFont val="Malgun Gothic"/>
        <family val="0"/>
        <charset val="1"/>
      </rPr>
      <t xml:space="preserve">)/</t>
    </r>
    <r>
      <rPr>
        <b val="true"/>
        <sz val="10"/>
        <color rgb="FFFFFFFF"/>
        <rFont val="WenQuanYi Zen Hei"/>
        <family val="2"/>
      </rPr>
      <t xml:space="preserve">허용</t>
    </r>
  </si>
  <si>
    <t xml:space="preserve">여유율 판정</t>
  </si>
  <si>
    <r>
      <rPr>
        <b val="true"/>
        <sz val="10"/>
        <color rgb="FFFFFFFF"/>
        <rFont val="WenQuanYi Zen Hei"/>
        <family val="2"/>
      </rPr>
      <t xml:space="preserve">판정용 유속 </t>
    </r>
    <r>
      <rPr>
        <b val="true"/>
        <sz val="10"/>
        <color rgb="FFFFFFFF"/>
        <rFont val="Malgun Gothic"/>
        <family val="0"/>
        <charset val="1"/>
      </rPr>
      <t xml:space="preserve">[m/s]</t>
    </r>
  </si>
  <si>
    <r>
      <rPr>
        <b val="true"/>
        <sz val="10"/>
        <color rgb="FFFFFFFF"/>
        <rFont val="WenQuanYi Zen Hei"/>
        <family val="2"/>
      </rPr>
      <t xml:space="preserve">유속 라벨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경사 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</si>
  <si>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유속 판정</t>
  </si>
  <si>
    <r>
      <rPr>
        <b val="true"/>
        <sz val="10"/>
        <color rgb="FFFFFFFF"/>
        <rFont val="WenQuanYi Zen Hei"/>
        <family val="2"/>
      </rPr>
      <t xml:space="preserve">토피 상류 </t>
    </r>
    <r>
      <rPr>
        <b val="true"/>
        <sz val="10"/>
        <color rgb="FFFFFFFF"/>
        <rFont val="Malgun Gothic"/>
        <family val="0"/>
        <charset val="1"/>
      </rPr>
      <t xml:space="preserve">[m]</t>
    </r>
  </si>
  <si>
    <t xml:space="preserve">토피 판정</t>
  </si>
  <si>
    <r>
      <rPr>
        <b val="true"/>
        <sz val="14"/>
        <rFont val="WenQuanYi Zen Hei"/>
        <family val="2"/>
      </rPr>
      <t xml:space="preserve">검증</t>
    </r>
    <r>
      <rPr>
        <b val="true"/>
        <sz val="14"/>
        <rFont val="Malgun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엑셀 계산 </t>
    </r>
    <r>
      <rPr>
        <b val="true"/>
        <sz val="14"/>
        <rFont val="Malgun Gothic"/>
        <family val="0"/>
        <charset val="1"/>
      </rPr>
      <t xml:space="preserve">vs PipeTools </t>
    </r>
    <r>
      <rPr>
        <b val="true"/>
        <sz val="14"/>
        <rFont val="WenQuanYi Zen Hei"/>
        <family val="2"/>
      </rPr>
      <t xml:space="preserve">결과</t>
    </r>
    <r>
      <rPr>
        <b val="true"/>
        <sz val="14"/>
        <rFont val="Malgun Gothic"/>
        <family val="0"/>
        <charset val="1"/>
      </rPr>
      <t xml:space="preserve">(rpt) vs </t>
    </r>
    <r>
      <rPr>
        <b val="true"/>
        <sz val="14"/>
        <rFont val="WenQuanYi Zen Hei"/>
        <family val="2"/>
      </rPr>
      <t xml:space="preserve">종단 편집기</t>
    </r>
  </si>
  <si>
    <r>
      <rPr>
        <sz val="10"/>
        <rFont val="Malgun Gothic"/>
        <family val="0"/>
        <charset val="1"/>
      </rPr>
      <t xml:space="preserve">PipeTools </t>
    </r>
    <r>
      <rPr>
        <sz val="10"/>
        <rFont val="WenQuanYi Zen Hei"/>
        <family val="2"/>
      </rPr>
      <t xml:space="preserve">값은 사용자가 올린 </t>
    </r>
    <r>
      <rPr>
        <sz val="10"/>
        <rFont val="Malgun Gothic"/>
        <family val="0"/>
        <charset val="1"/>
      </rPr>
      <t xml:space="preserve">rpt </t>
    </r>
    <r>
      <rPr>
        <sz val="10"/>
        <rFont val="WenQuanYi Zen Hei"/>
        <family val="2"/>
      </rPr>
      <t xml:space="preserve">시트에서 읽은 값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파란 글씨</t>
    </r>
    <r>
      <rPr>
        <sz val="10"/>
        <rFont val="Malgun Gothic"/>
        <family val="0"/>
        <charset val="1"/>
      </rPr>
      <t xml:space="preserve">). </t>
    </r>
    <r>
      <rPr>
        <sz val="10"/>
        <rFont val="WenQuanYi Zen Hei"/>
        <family val="2"/>
      </rPr>
      <t xml:space="preserve">차이 </t>
    </r>
    <r>
      <rPr>
        <sz val="10"/>
        <rFont val="Malgun Gothic"/>
        <family val="0"/>
        <charset val="1"/>
      </rPr>
      <t xml:space="preserve">= </t>
    </r>
    <r>
      <rPr>
        <sz val="10"/>
        <rFont val="WenQuanYi Zen Hei"/>
        <family val="2"/>
      </rPr>
      <t xml:space="preserve">엑셀 − </t>
    </r>
    <r>
      <rPr>
        <sz val="10"/>
        <rFont val="Malgun Gothic"/>
        <family val="0"/>
        <charset val="1"/>
      </rPr>
      <t xml:space="preserve">PipeTools. </t>
    </r>
    <r>
      <rPr>
        <sz val="10"/>
        <rFont val="WenQuanYi Zen Hei"/>
        <family val="2"/>
      </rPr>
      <t xml:space="preserve">아래 허용 오차는 실제 관찰된 차이에 맞춘 값입니다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</si>
  <si>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참고</t>
    </r>
    <r>
      <rPr>
        <sz val="10"/>
        <rFont val="Malgun Gothic"/>
        <family val="0"/>
        <charset val="1"/>
      </rPr>
      <t xml:space="preserve">: PipeTools </t>
    </r>
    <r>
      <rPr>
        <sz val="10"/>
        <rFont val="WenQuanYi Zen Hei"/>
        <family val="2"/>
      </rPr>
      <t xml:space="preserve">만관유량은 이 식보다 약 </t>
    </r>
    <r>
      <rPr>
        <sz val="10"/>
        <rFont val="Malgun Gothic"/>
        <family val="0"/>
        <charset val="1"/>
      </rPr>
      <t xml:space="preserve">0.02% </t>
    </r>
    <r>
      <rPr>
        <sz val="10"/>
        <rFont val="WenQuanYi Zen Hei"/>
        <family val="2"/>
      </rPr>
      <t xml:space="preserve">크게 나오고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Malgun Gothic"/>
        <family val="0"/>
        <charset val="1"/>
      </rPr>
      <t xml:space="preserve">: BC-05 0.061776 → 0.061790), </t>
    </r>
    <r>
      <rPr>
        <sz val="10"/>
        <rFont val="WenQuanYi Zen Hei"/>
        <family val="2"/>
      </rPr>
      <t xml:space="preserve">수심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유속도 소수 몇째 자리 차이가 납니다</t>
    </r>
    <r>
      <rPr>
        <sz val="10"/>
        <rFont val="Malgun Gothic"/>
        <family val="0"/>
        <charset val="1"/>
      </rPr>
      <t xml:space="preserve">. PipeTools </t>
    </r>
    <r>
      <rPr>
        <sz val="10"/>
        <rFont val="WenQuanYi Zen Hei"/>
        <family val="2"/>
      </rPr>
      <t xml:space="preserve">내부 식은 확인하지 못해 원인은 확정하지 못했고</t>
    </r>
    <r>
      <rPr>
        <sz val="10"/>
        <rFont val="Malgun Gothic"/>
        <family val="0"/>
        <charset val="1"/>
      </rPr>
      <t xml:space="preserve">, </t>
    </r>
    <r>
      <rPr>
        <sz val="10"/>
        <rFont val="WenQuanYi Zen Hei"/>
        <family val="2"/>
      </rPr>
      <t xml:space="preserve">판정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여유율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유속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토피</t>
    </r>
    <r>
      <rPr>
        <sz val="10"/>
        <rFont val="Malgun Gothic"/>
        <family val="0"/>
        <charset val="1"/>
      </rPr>
      <t xml:space="preserve">)</t>
    </r>
    <r>
      <rPr>
        <sz val="10"/>
        <rFont val="WenQuanYi Zen Hei"/>
        <family val="2"/>
      </rPr>
      <t xml:space="preserve">에는 영향이 없습니다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</si>
  <si>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경사 </t>
    </r>
    <r>
      <rPr>
        <b val="true"/>
        <sz val="10"/>
        <color rgb="FFFFFFFF"/>
        <rFont val="Malgun Gothic"/>
        <family val="0"/>
        <charset val="1"/>
      </rPr>
      <t xml:space="preserve">[‰]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</si>
  <si>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경사 </t>
    </r>
    <r>
      <rPr>
        <b val="true"/>
        <sz val="10"/>
        <color rgb="FFFFFFFF"/>
        <rFont val="Malgun Gothic"/>
        <family val="0"/>
        <charset val="1"/>
      </rPr>
      <t xml:space="preserve">[‰]
PipeTools</t>
    </r>
  </si>
  <si>
    <t xml:space="preserve">차이</t>
  </si>
  <si>
    <r>
      <rPr>
        <b val="true"/>
        <sz val="10"/>
        <color rgb="FFFFFFFF"/>
        <rFont val="WenQuanYi Zen Hei"/>
        <family val="2"/>
      </rPr>
      <t xml:space="preserve">만관유량 </t>
    </r>
    <r>
      <rPr>
        <b val="true"/>
        <sz val="10"/>
        <color rgb="FFFFFFFF"/>
        <rFont val="Malgun Gothic"/>
        <family val="0"/>
        <charset val="1"/>
      </rPr>
      <t xml:space="preserve">[m³/s]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</si>
  <si>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만관유량 </t>
    </r>
    <r>
      <rPr>
        <b val="true"/>
        <sz val="10"/>
        <color rgb="FFFFFFFF"/>
        <rFont val="Malgun Gothic"/>
        <family val="0"/>
        <charset val="1"/>
      </rPr>
      <t xml:space="preserve">[m³/s]
PipeTools</t>
    </r>
  </si>
  <si>
    <r>
      <rPr>
        <b val="true"/>
        <sz val="10"/>
        <color rgb="FFFFFFFF"/>
        <rFont val="WenQuanYi Zen Hei"/>
        <family val="2"/>
      </rPr>
      <t xml:space="preserve">유량 </t>
    </r>
    <r>
      <rPr>
        <b val="true"/>
        <sz val="10"/>
        <color rgb="FFFFFFFF"/>
        <rFont val="Malgun Gothic"/>
        <family val="0"/>
        <charset val="1"/>
      </rPr>
      <t xml:space="preserve">Q [m³/s]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</si>
  <si>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유량 </t>
    </r>
    <r>
      <rPr>
        <b val="true"/>
        <sz val="10"/>
        <color rgb="FFFFFFFF"/>
        <rFont val="Malgun Gothic"/>
        <family val="0"/>
        <charset val="1"/>
      </rPr>
      <t xml:space="preserve">Q [m³/s]
PipeTools</t>
    </r>
  </si>
  <si>
    <r>
      <rPr>
        <b val="true"/>
        <sz val="10"/>
        <color rgb="FFFFFFFF"/>
        <rFont val="WenQuanYi Zen Hei"/>
        <family val="2"/>
      </rPr>
      <t xml:space="preserve">실유속 </t>
    </r>
    <r>
      <rPr>
        <b val="true"/>
        <sz val="10"/>
        <color rgb="FFFFFFFF"/>
        <rFont val="Malgun Gothic"/>
        <family val="0"/>
        <charset val="1"/>
      </rPr>
      <t xml:space="preserve">[m/s]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</si>
  <si>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실유속 </t>
    </r>
    <r>
      <rPr>
        <b val="true"/>
        <sz val="10"/>
        <color rgb="FFFFFFFF"/>
        <rFont val="Malgun Gothic"/>
        <family val="0"/>
        <charset val="1"/>
      </rPr>
      <t xml:space="preserve">[m/s]
PipeTools</t>
    </r>
  </si>
  <si>
    <r>
      <rPr>
        <b val="true"/>
        <sz val="10"/>
        <color rgb="FFFFFFFF"/>
        <rFont val="WenQuanYi Zen Hei"/>
        <family val="2"/>
      </rPr>
      <t xml:space="preserve">수심 </t>
    </r>
    <r>
      <rPr>
        <b val="true"/>
        <sz val="10"/>
        <color rgb="FFFFFFFF"/>
        <rFont val="Malgun Gothic"/>
        <family val="0"/>
        <charset val="1"/>
      </rPr>
      <t xml:space="preserve">[m]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</si>
  <si>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수심 </t>
    </r>
    <r>
      <rPr>
        <b val="true"/>
        <sz val="10"/>
        <color rgb="FFFFFFFF"/>
        <rFont val="Malgun Gothic"/>
        <family val="0"/>
        <charset val="1"/>
      </rPr>
      <t xml:space="preserve">[m]
PipeTools</t>
    </r>
  </si>
  <si>
    <r>
      <rPr>
        <b val="true"/>
        <sz val="10"/>
        <color rgb="FFFFFFFF"/>
        <rFont val="WenQuanYi Zen Hei"/>
        <family val="2"/>
      </rPr>
      <t xml:space="preserve">유량비 </t>
    </r>
    <r>
      <rPr>
        <b val="true"/>
        <sz val="10"/>
        <color rgb="FFFFFFFF"/>
        <rFont val="Malgun Gothic"/>
        <family val="0"/>
        <charset val="1"/>
      </rPr>
      <t xml:space="preserve">[%]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</si>
  <si>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유량비 </t>
    </r>
    <r>
      <rPr>
        <b val="true"/>
        <sz val="10"/>
        <color rgb="FFFFFFFF"/>
        <rFont val="Malgun Gothic"/>
        <family val="0"/>
        <charset val="1"/>
      </rPr>
      <t xml:space="preserve">[%]
PipeTools</t>
    </r>
  </si>
  <si>
    <r>
      <rPr>
        <b val="true"/>
        <sz val="10"/>
        <color rgb="FFFFFFFF"/>
        <rFont val="WenQuanYi Zen Hei"/>
        <family val="2"/>
      </rPr>
      <t xml:space="preserve">수심비 </t>
    </r>
    <r>
      <rPr>
        <b val="true"/>
        <sz val="10"/>
        <color rgb="FFFFFFFF"/>
        <rFont val="Malgun Gothic"/>
        <family val="0"/>
        <charset val="1"/>
      </rPr>
      <t xml:space="preserve">[%]
</t>
    </r>
    <r>
      <rPr>
        <b val="true"/>
        <sz val="10"/>
        <color rgb="FFFFFFFF"/>
        <rFont val="WenQuanYi Zen Hei"/>
        <family val="2"/>
      </rPr>
      <t xml:space="preserve">엑셀</t>
    </r>
  </si>
  <si>
    <r>
      <rPr>
        <b val="true"/>
        <sz val="10"/>
        <color rgb="FFFFFFFF"/>
        <rFont val="WenQuanYi Zen Hei"/>
        <family val="2"/>
      </rPr>
      <t xml:space="preserve">수심비 </t>
    </r>
    <r>
      <rPr>
        <b val="true"/>
        <sz val="10"/>
        <color rgb="FFFFFFFF"/>
        <rFont val="Malgun Gothic"/>
        <family val="0"/>
        <charset val="1"/>
      </rPr>
      <t xml:space="preserve">[%]
PipeTools</t>
    </r>
  </si>
  <si>
    <t xml:space="preserve">여유율 판정
엑셀</t>
  </si>
  <si>
    <r>
      <rPr>
        <b val="true"/>
        <sz val="10"/>
        <color rgb="FFFFFFFF"/>
        <rFont val="WenQuanYi Zen Hei"/>
        <family val="2"/>
      </rPr>
      <t xml:space="preserve">여유율 판정
</t>
    </r>
    <r>
      <rPr>
        <b val="true"/>
        <sz val="10"/>
        <color rgb="FFFFFFFF"/>
        <rFont val="Malgun Gothic"/>
        <family val="0"/>
        <charset val="1"/>
      </rPr>
      <t xml:space="preserve">PipeTools</t>
    </r>
  </si>
  <si>
    <t xml:space="preserve">일치</t>
  </si>
  <si>
    <t xml:space="preserve">유속 판정
엑셀</t>
  </si>
  <si>
    <r>
      <rPr>
        <b val="true"/>
        <sz val="10"/>
        <color rgb="FFFFFFFF"/>
        <rFont val="WenQuanYi Zen Hei"/>
        <family val="2"/>
      </rPr>
      <t xml:space="preserve">유속 판정
</t>
    </r>
    <r>
      <rPr>
        <b val="true"/>
        <sz val="10"/>
        <color rgb="FFFFFFFF"/>
        <rFont val="Malgun Gothic"/>
        <family val="0"/>
        <charset val="1"/>
      </rPr>
      <t xml:space="preserve">PipeTools</t>
    </r>
  </si>
  <si>
    <t xml:space="preserve">토피 판정
엑셀</t>
  </si>
  <si>
    <r>
      <rPr>
        <b val="true"/>
        <sz val="10"/>
        <color rgb="FFFFFFFF"/>
        <rFont val="WenQuanYi Zen Hei"/>
        <family val="2"/>
      </rPr>
      <t xml:space="preserve">토피 판정
</t>
    </r>
    <r>
      <rPr>
        <b val="true"/>
        <sz val="10"/>
        <color rgb="FFFFFFFF"/>
        <rFont val="Malgun Gothic"/>
        <family val="0"/>
        <charset val="1"/>
      </rPr>
      <t xml:space="preserve">PipeTools</t>
    </r>
  </si>
  <si>
    <r>
      <rPr>
        <b val="true"/>
        <sz val="10"/>
        <color rgb="FFFFFFFF"/>
        <rFont val="WenQuanYi Zen Hei"/>
        <family val="2"/>
      </rPr>
      <t xml:space="preserve">앱 실유속 </t>
    </r>
    <r>
      <rPr>
        <b val="true"/>
        <sz val="10"/>
        <color rgb="FFFFFFFF"/>
        <rFont val="Malgun Gothic"/>
        <family val="0"/>
        <charset val="1"/>
      </rPr>
      <t xml:space="preserve">[m/s]</t>
    </r>
  </si>
  <si>
    <r>
      <rPr>
        <b val="true"/>
        <sz val="10"/>
        <color rgb="FFFFFFFF"/>
        <rFont val="WenQuanYi Zen Hei"/>
        <family val="2"/>
      </rPr>
      <t xml:space="preserve">엑셀−앱 </t>
    </r>
    <r>
      <rPr>
        <b val="true"/>
        <sz val="10"/>
        <color rgb="FFFFFFFF"/>
        <rFont val="Malgun Gothic"/>
        <family val="0"/>
        <charset val="1"/>
      </rPr>
      <t xml:space="preserve">V</t>
    </r>
  </si>
  <si>
    <r>
      <rPr>
        <b val="true"/>
        <sz val="10"/>
        <color rgb="FFFFFFFF"/>
        <rFont val="WenQuanYi Zen Hei"/>
        <family val="2"/>
      </rPr>
      <t xml:space="preserve">앱 </t>
    </r>
    <r>
      <rPr>
        <b val="true"/>
        <sz val="10"/>
        <color rgb="FFFFFFFF"/>
        <rFont val="Malgun Gothic"/>
        <family val="0"/>
        <charset val="1"/>
      </rPr>
      <t xml:space="preserve">Q [m³/s]</t>
    </r>
  </si>
  <si>
    <r>
      <rPr>
        <b val="true"/>
        <sz val="10"/>
        <color rgb="FFFFFFFF"/>
        <rFont val="WenQuanYi Zen Hei"/>
        <family val="2"/>
      </rPr>
      <t xml:space="preserve">엑셀−앱 </t>
    </r>
    <r>
      <rPr>
        <b val="true"/>
        <sz val="10"/>
        <color rgb="FFFFFFFF"/>
        <rFont val="Malgun Gothic"/>
        <family val="0"/>
        <charset val="1"/>
      </rPr>
      <t xml:space="preserve">Q</t>
    </r>
  </si>
  <si>
    <t xml:space="preserve">GOOD</t>
  </si>
  <si>
    <t xml:space="preserve">NG</t>
  </si>
  <si>
    <t xml:space="preserve">유지관리</t>
  </si>
  <si>
    <t xml:space="preserve">NG(V)0.3↓</t>
  </si>
  <si>
    <r>
      <rPr>
        <b val="true"/>
        <sz val="10"/>
        <rFont val="WenQuanYi Zen Hei"/>
        <family val="2"/>
      </rPr>
      <t xml:space="preserve">최대 </t>
    </r>
    <r>
      <rPr>
        <b val="true"/>
        <sz val="10"/>
        <rFont val="Malgun Gothic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차이</t>
    </r>
    <r>
      <rPr>
        <b val="true"/>
        <sz val="10"/>
        <rFont val="Malgun Gothic"/>
        <family val="0"/>
        <charset val="1"/>
      </rPr>
      <t xml:space="preserve">|</t>
    </r>
  </si>
  <si>
    <r>
      <rPr>
        <b val="true"/>
        <sz val="10"/>
        <rFont val="WenQuanYi Zen Hei"/>
        <family val="2"/>
      </rPr>
      <t xml:space="preserve">허용 오차 </t>
    </r>
    <r>
      <rPr>
        <b val="true"/>
        <sz val="10"/>
        <rFont val="Malgun Gothic"/>
        <family val="0"/>
        <charset val="1"/>
      </rPr>
      <t xml:space="preserve">(rpt </t>
    </r>
    <r>
      <rPr>
        <b val="true"/>
        <sz val="10"/>
        <rFont val="WenQuanYi Zen Hei"/>
        <family val="2"/>
      </rPr>
      <t xml:space="preserve">반올림</t>
    </r>
    <r>
      <rPr>
        <b val="true"/>
        <sz val="10"/>
        <rFont val="Malgun Gothic"/>
        <family val="0"/>
        <charset val="1"/>
      </rPr>
      <t xml:space="preserve">)</t>
    </r>
  </si>
  <si>
    <t xml:space="preserve">허용 이내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</si>
</sst>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%"/>
    <numFmt numFmtId="167" formatCode="0.00"/>
    <numFmt numFmtId="168" formatCode="0.000000"/>
    <numFmt numFmtId="169" formatCode="0.0000"/>
    <numFmt numFmtId="170" formatCode="0.0000000"/>
    <numFmt numFmtId="171" formatCode="#,##0.0"/>
    <numFmt numFmtId="172" formatCode="0.00000"/>
    <numFmt numFmtId="173" formatCode="0.0"/>
    <numFmt numFmtId="174" formatCode="0.00000000"/>
    <numFmt numFmtId="175" formatCode="0.00E+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Malgun Gothic"/>
      <family val="0"/>
      <charset val="1"/>
    </font>
    <font>
      <sz val="10"/>
      <name val="Malgun Gothic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00FF"/>
      <name val="Malgun Gothic"/>
      <family val="0"/>
      <charset val="1"/>
    </font>
    <font>
      <b val="true"/>
      <sz val="10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sz val="10"/>
      <color rgb="FF008000"/>
      <name val="Malgun Gothic"/>
      <family val="0"/>
      <charset val="1"/>
    </font>
    <font>
      <sz val="10"/>
      <color rgb="FF0000F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4.15" hidden="false" customHeight="false" outlineLevel="0" collapsed="false">
      <c r="A6" s="3" t="s">
        <v>3</v>
      </c>
    </row>
    <row r="7" customFormat="false" ht="14.15" hidden="false" customHeight="false" outlineLevel="0" collapsed="false">
      <c r="A7" s="3" t="s">
        <v>4</v>
      </c>
    </row>
    <row r="8" customFormat="false" ht="14.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4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</row>
    <row r="13" customFormat="false" ht="14.15" hidden="false" customHeight="false" outlineLevel="0" collapsed="false">
      <c r="A13" s="2" t="s">
        <v>9</v>
      </c>
    </row>
    <row r="14" customFormat="false" ht="14.15" hidden="false" customHeight="false" outlineLevel="0" collapsed="false">
      <c r="A14" s="2" t="s">
        <v>10</v>
      </c>
    </row>
    <row r="15" customFormat="false" ht="14.15" hidden="false" customHeight="false" outlineLevel="0" collapsed="false">
      <c r="A15" s="3" t="s">
        <v>11</v>
      </c>
    </row>
    <row r="16" customFormat="false" ht="14.15" hidden="false" customHeight="false" outlineLevel="0" collapsed="false">
      <c r="A16" s="2" t="s">
        <v>12</v>
      </c>
    </row>
    <row r="17" customFormat="false" ht="14.15" hidden="false" customHeight="false" outlineLevel="0" collapsed="false">
      <c r="A17" s="2" t="s">
        <v>13</v>
      </c>
    </row>
    <row r="18" customFormat="false" ht="14.15" hidden="false" customHeight="false" outlineLevel="0" collapsed="false">
      <c r="A18" s="2" t="s">
        <v>14</v>
      </c>
    </row>
    <row r="19" customFormat="false" ht="14.15" hidden="false" customHeight="false" outlineLevel="0" collapsed="false">
      <c r="A19" s="2" t="s">
        <v>15</v>
      </c>
    </row>
    <row r="20" customFormat="false" ht="14.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2" t="s">
        <v>17</v>
      </c>
    </row>
    <row r="22" customFormat="false" ht="14.15" hidden="false" customHeight="false" outlineLevel="0" collapsed="false">
      <c r="A22" s="3" t="s">
        <v>18</v>
      </c>
    </row>
    <row r="23" customFormat="false" ht="14.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4" t="s">
        <v>20</v>
      </c>
    </row>
    <row r="26" customFormat="false" ht="14.15" hidden="false" customHeight="false" outlineLevel="0" collapsed="false">
      <c r="A26" s="2" t="s">
        <v>21</v>
      </c>
    </row>
    <row r="27" customFormat="false" ht="14.15" hidden="false" customHeight="false" outlineLevel="0" collapsed="false">
      <c r="A27" s="2" t="s">
        <v>22</v>
      </c>
    </row>
    <row r="28" customFormat="false" ht="14.15" hidden="false" customHeight="false" outlineLevel="0" collapsed="false">
      <c r="A28" s="2" t="s">
        <v>23</v>
      </c>
    </row>
    <row r="29" customFormat="false" ht="14.15" hidden="false" customHeight="false" outlineLevel="0" collapsed="false">
      <c r="A2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25</v>
      </c>
    </row>
    <row r="3" customFormat="false" ht="31.5" hidden="false" customHeight="true" outlineLevel="0" collapsed="false">
      <c r="A3" s="5" t="s">
        <v>26</v>
      </c>
      <c r="B3" s="5" t="s">
        <v>27</v>
      </c>
      <c r="C3" s="5" t="s">
        <v>28</v>
      </c>
    </row>
    <row r="4" customFormat="false" ht="15" hidden="false" customHeight="false" outlineLevel="0" collapsed="false">
      <c r="A4" s="3" t="s">
        <v>29</v>
      </c>
      <c r="B4" s="6" t="n">
        <v>0.6</v>
      </c>
      <c r="C4" s="3" t="s">
        <v>30</v>
      </c>
    </row>
    <row r="5" customFormat="false" ht="15" hidden="false" customHeight="false" outlineLevel="0" collapsed="false">
      <c r="A5" s="3" t="s">
        <v>31</v>
      </c>
      <c r="B5" s="6" t="n">
        <v>3</v>
      </c>
      <c r="C5" s="3" t="s">
        <v>32</v>
      </c>
    </row>
    <row r="6" customFormat="false" ht="15" hidden="false" customHeight="false" outlineLevel="0" collapsed="false">
      <c r="A6" s="3" t="s">
        <v>33</v>
      </c>
      <c r="B6" s="6" t="n">
        <v>0.3</v>
      </c>
      <c r="C6" s="3" t="s">
        <v>34</v>
      </c>
    </row>
    <row r="7" customFormat="false" ht="15" hidden="false" customHeight="false" outlineLevel="0" collapsed="false">
      <c r="A7" s="3" t="s">
        <v>35</v>
      </c>
      <c r="B7" s="6" t="n">
        <v>1</v>
      </c>
      <c r="C7" s="3" t="s">
        <v>36</v>
      </c>
    </row>
    <row r="8" customFormat="false" ht="15" hidden="false" customHeight="false" outlineLevel="0" collapsed="false">
      <c r="A8" s="3" t="s">
        <v>37</v>
      </c>
      <c r="B8" s="6" t="n">
        <v>100</v>
      </c>
      <c r="C8" s="3" t="s">
        <v>38</v>
      </c>
    </row>
    <row r="9" customFormat="false" ht="15" hidden="false" customHeight="false" outlineLevel="0" collapsed="false">
      <c r="A9" s="3" t="s">
        <v>39</v>
      </c>
      <c r="B9" s="6" t="n">
        <v>1</v>
      </c>
      <c r="C9" s="2" t="s">
        <v>40</v>
      </c>
    </row>
    <row r="10" customFormat="false" ht="15" hidden="false" customHeight="false" outlineLevel="0" collapsed="false">
      <c r="A10" s="2" t="s">
        <v>41</v>
      </c>
      <c r="B10" s="7" t="n">
        <f aca="false">2*ACOS(1-2*0.938)</f>
        <v>5.27660321227481</v>
      </c>
      <c r="C10" s="3" t="s">
        <v>42</v>
      </c>
    </row>
    <row r="11" customFormat="false" ht="15" hidden="false" customHeight="false" outlineLevel="0" collapsed="false">
      <c r="A11" s="3" t="s">
        <v>43</v>
      </c>
      <c r="B11" s="8" t="n">
        <v>86400000</v>
      </c>
      <c r="C11" s="2" t="s">
        <v>44</v>
      </c>
    </row>
    <row r="13" customFormat="false" ht="15" hidden="false" customHeight="false" outlineLevel="0" collapsed="false">
      <c r="A13" s="4" t="s">
        <v>45</v>
      </c>
    </row>
    <row r="14" customFormat="false" ht="31.5" hidden="false" customHeight="true" outlineLevel="0" collapsed="false">
      <c r="A14" s="5" t="s">
        <v>46</v>
      </c>
      <c r="B14" s="5" t="s">
        <v>47</v>
      </c>
      <c r="C14" s="5" t="s">
        <v>48</v>
      </c>
    </row>
    <row r="15" customFormat="false" ht="15" hidden="false" customHeight="false" outlineLevel="0" collapsed="false">
      <c r="A15" s="6" t="n">
        <v>600</v>
      </c>
      <c r="B15" s="9" t="n">
        <v>1</v>
      </c>
      <c r="C15" s="2" t="s">
        <v>49</v>
      </c>
    </row>
    <row r="16" customFormat="false" ht="15" hidden="false" customHeight="false" outlineLevel="0" collapsed="false">
      <c r="A16" s="6" t="n">
        <v>1500</v>
      </c>
      <c r="B16" s="9" t="n">
        <v>0.5</v>
      </c>
      <c r="C16" s="2" t="s">
        <v>50</v>
      </c>
    </row>
    <row r="17" customFormat="false" ht="15" hidden="false" customHeight="false" outlineLevel="0" collapsed="false">
      <c r="A17" s="6" t="n">
        <v>99999</v>
      </c>
      <c r="B17" s="9" t="n">
        <v>0.25</v>
      </c>
      <c r="C17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19.4" hidden="false" customHeight="false" outlineLevel="0" collapsed="false">
      <c r="A1" s="1" t="s">
        <v>52</v>
      </c>
    </row>
    <row r="2" customFormat="false" ht="15" hidden="false" customHeight="false" outlineLevel="0" collapsed="false">
      <c r="A2" s="3" t="s">
        <v>53</v>
      </c>
    </row>
    <row r="4" customFormat="false" ht="31.5" hidden="false" customHeight="true" outlineLevel="0" collapsed="false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66</v>
      </c>
      <c r="N4" s="5" t="s">
        <v>67</v>
      </c>
      <c r="O4" s="10" t="s">
        <v>68</v>
      </c>
      <c r="P4" s="5" t="s">
        <v>69</v>
      </c>
    </row>
    <row r="5" customFormat="false" ht="15" hidden="false" customHeight="false" outlineLevel="0" collapsed="false">
      <c r="A5" s="11" t="s">
        <v>70</v>
      </c>
      <c r="B5" s="11" t="s">
        <v>70</v>
      </c>
      <c r="C5" s="11" t="s">
        <v>71</v>
      </c>
      <c r="D5" s="11" t="n">
        <v>10</v>
      </c>
      <c r="E5" s="11" t="n">
        <v>200</v>
      </c>
      <c r="F5" s="12" t="n">
        <v>45.2</v>
      </c>
      <c r="G5" s="12" t="n">
        <v>45.07</v>
      </c>
      <c r="H5" s="12" t="n">
        <v>46.55</v>
      </c>
      <c r="I5" s="12" t="n">
        <v>46.47</v>
      </c>
      <c r="J5" s="11" t="n">
        <v>0.011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</v>
      </c>
      <c r="P5" s="13" t="n">
        <v>0.00178900462962963</v>
      </c>
    </row>
    <row r="6" customFormat="false" ht="15" hidden="false" customHeight="false" outlineLevel="0" collapsed="false">
      <c r="A6" s="11" t="s">
        <v>71</v>
      </c>
      <c r="B6" s="11" t="s">
        <v>71</v>
      </c>
      <c r="C6" s="11" t="s">
        <v>72</v>
      </c>
      <c r="D6" s="11" t="n">
        <v>50</v>
      </c>
      <c r="E6" s="11" t="n">
        <v>200</v>
      </c>
      <c r="F6" s="12" t="n">
        <v>45.07</v>
      </c>
      <c r="G6" s="12" t="n">
        <v>44.5</v>
      </c>
      <c r="H6" s="12" t="n">
        <v>46.47</v>
      </c>
      <c r="I6" s="12" t="n">
        <v>45.7</v>
      </c>
      <c r="J6" s="11" t="n">
        <v>0.011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1</v>
      </c>
      <c r="P6" s="13" t="n">
        <v>0</v>
      </c>
    </row>
    <row r="7" customFormat="false" ht="15" hidden="false" customHeight="false" outlineLevel="0" collapsed="false">
      <c r="A7" s="11" t="s">
        <v>72</v>
      </c>
      <c r="B7" s="11" t="s">
        <v>72</v>
      </c>
      <c r="C7" s="11" t="s">
        <v>73</v>
      </c>
      <c r="D7" s="11" t="n">
        <v>50</v>
      </c>
      <c r="E7" s="11" t="n">
        <v>200</v>
      </c>
      <c r="F7" s="12" t="n">
        <v>44.5</v>
      </c>
      <c r="G7" s="12" t="n">
        <v>43.54</v>
      </c>
      <c r="H7" s="12" t="n">
        <v>45.7</v>
      </c>
      <c r="I7" s="12" t="n">
        <v>44.74</v>
      </c>
      <c r="J7" s="11" t="n">
        <v>0.011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</v>
      </c>
      <c r="P7" s="13" t="n">
        <v>0</v>
      </c>
    </row>
    <row r="8" customFormat="false" ht="15" hidden="false" customHeight="false" outlineLevel="0" collapsed="false">
      <c r="A8" s="11" t="s">
        <v>73</v>
      </c>
      <c r="B8" s="11" t="s">
        <v>73</v>
      </c>
      <c r="C8" s="11" t="s">
        <v>74</v>
      </c>
      <c r="D8" s="11" t="n">
        <v>50</v>
      </c>
      <c r="E8" s="11" t="n">
        <v>200</v>
      </c>
      <c r="F8" s="12" t="n">
        <v>43.54</v>
      </c>
      <c r="G8" s="12" t="n">
        <v>42.33</v>
      </c>
      <c r="H8" s="12" t="n">
        <v>44.74</v>
      </c>
      <c r="I8" s="12" t="n">
        <v>43.53</v>
      </c>
      <c r="J8" s="11" t="n">
        <v>0.011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1</v>
      </c>
      <c r="P8" s="13" t="n">
        <v>0</v>
      </c>
    </row>
    <row r="9" customFormat="false" ht="15" hidden="false" customHeight="false" outlineLevel="0" collapsed="false">
      <c r="A9" s="11" t="s">
        <v>74</v>
      </c>
      <c r="B9" s="11" t="s">
        <v>74</v>
      </c>
      <c r="C9" s="11" t="s">
        <v>75</v>
      </c>
      <c r="D9" s="11" t="n">
        <v>50</v>
      </c>
      <c r="E9" s="11" t="n">
        <v>200</v>
      </c>
      <c r="F9" s="12" t="n">
        <v>42.33</v>
      </c>
      <c r="G9" s="12" t="n">
        <v>41.06</v>
      </c>
      <c r="H9" s="12" t="n">
        <v>43.53</v>
      </c>
      <c r="I9" s="12" t="n">
        <v>42.26</v>
      </c>
      <c r="J9" s="11" t="n">
        <v>0.011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1</v>
      </c>
      <c r="P9" s="13" t="n">
        <v>0</v>
      </c>
    </row>
    <row r="10" customFormat="false" ht="15" hidden="false" customHeight="false" outlineLevel="0" collapsed="false">
      <c r="A10" s="11" t="s">
        <v>75</v>
      </c>
      <c r="B10" s="11" t="s">
        <v>75</v>
      </c>
      <c r="C10" s="11" t="s">
        <v>76</v>
      </c>
      <c r="D10" s="11" t="n">
        <v>50</v>
      </c>
      <c r="E10" s="11" t="n">
        <v>200</v>
      </c>
      <c r="F10" s="12" t="n">
        <v>41.06</v>
      </c>
      <c r="G10" s="12" t="n">
        <v>40.53</v>
      </c>
      <c r="H10" s="12" t="n">
        <v>42.26</v>
      </c>
      <c r="I10" s="12" t="n">
        <v>41.73</v>
      </c>
      <c r="J10" s="11" t="n">
        <v>0.011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1</v>
      </c>
      <c r="P10" s="13" t="n">
        <v>0</v>
      </c>
    </row>
    <row r="11" customFormat="false" ht="15" hidden="false" customHeight="false" outlineLevel="0" collapsed="false">
      <c r="A11" s="11" t="s">
        <v>76</v>
      </c>
      <c r="B11" s="11" t="s">
        <v>76</v>
      </c>
      <c r="C11" s="11" t="s">
        <v>77</v>
      </c>
      <c r="D11" s="11" t="n">
        <v>50</v>
      </c>
      <c r="E11" s="11" t="n">
        <v>200</v>
      </c>
      <c r="F11" s="12" t="n">
        <v>40.53</v>
      </c>
      <c r="G11" s="12" t="n">
        <v>39.94</v>
      </c>
      <c r="H11" s="12" t="n">
        <v>41.73</v>
      </c>
      <c r="I11" s="12" t="n">
        <v>41.14</v>
      </c>
      <c r="J11" s="11" t="n">
        <v>0.011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1</v>
      </c>
      <c r="P11" s="13" t="n">
        <v>0</v>
      </c>
    </row>
    <row r="12" customFormat="false" ht="15" hidden="false" customHeight="false" outlineLevel="0" collapsed="false">
      <c r="A12" s="11" t="s">
        <v>77</v>
      </c>
      <c r="B12" s="11" t="s">
        <v>77</v>
      </c>
      <c r="C12" s="11" t="s">
        <v>78</v>
      </c>
      <c r="D12" s="11" t="n">
        <v>40</v>
      </c>
      <c r="E12" s="11" t="n">
        <v>200</v>
      </c>
      <c r="F12" s="12" t="n">
        <v>39.94</v>
      </c>
      <c r="G12" s="12" t="n">
        <v>39.21</v>
      </c>
      <c r="H12" s="12" t="n">
        <v>41.14</v>
      </c>
      <c r="I12" s="12" t="n">
        <v>40.41</v>
      </c>
      <c r="J12" s="11" t="n">
        <v>0.011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1</v>
      </c>
      <c r="P12" s="13" t="n">
        <v>0</v>
      </c>
    </row>
    <row r="13" customFormat="false" ht="15" hidden="false" customHeight="false" outlineLevel="0" collapsed="false">
      <c r="A13" s="11" t="s">
        <v>78</v>
      </c>
      <c r="B13" s="11" t="s">
        <v>78</v>
      </c>
      <c r="C13" s="11" t="s">
        <v>79</v>
      </c>
      <c r="D13" s="11" t="n">
        <v>29</v>
      </c>
      <c r="E13" s="11" t="n">
        <v>200</v>
      </c>
      <c r="F13" s="12" t="n">
        <v>39.21</v>
      </c>
      <c r="G13" s="12" t="n">
        <v>38.46</v>
      </c>
      <c r="H13" s="12" t="n">
        <v>40.41</v>
      </c>
      <c r="I13" s="12" t="n">
        <v>39.56</v>
      </c>
      <c r="J13" s="11" t="n">
        <v>0.011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1</v>
      </c>
      <c r="P13" s="13" t="n">
        <v>0</v>
      </c>
    </row>
    <row r="14" customFormat="false" ht="15" hidden="false" customHeight="false" outlineLevel="0" collapsed="false">
      <c r="A14" s="11" t="s">
        <v>79</v>
      </c>
      <c r="B14" s="11" t="s">
        <v>79</v>
      </c>
      <c r="C14" s="11" t="s">
        <v>80</v>
      </c>
      <c r="D14" s="11" t="n">
        <v>30</v>
      </c>
      <c r="E14" s="11" t="n">
        <v>200</v>
      </c>
      <c r="F14" s="12" t="n">
        <v>38.46</v>
      </c>
      <c r="G14" s="12" t="n">
        <v>37.97</v>
      </c>
      <c r="H14" s="12" t="n">
        <v>39.56</v>
      </c>
      <c r="I14" s="12" t="n">
        <v>39.17</v>
      </c>
      <c r="J14" s="11" t="n">
        <v>0.011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1</v>
      </c>
      <c r="P14" s="13" t="n">
        <v>0</v>
      </c>
    </row>
    <row r="15" customFormat="false" ht="15" hidden="false" customHeight="false" outlineLevel="0" collapsed="false">
      <c r="A15" s="11" t="s">
        <v>80</v>
      </c>
      <c r="B15" s="11" t="s">
        <v>80</v>
      </c>
      <c r="C15" s="11" t="s">
        <v>81</v>
      </c>
      <c r="D15" s="11" t="n">
        <v>40</v>
      </c>
      <c r="E15" s="11" t="n">
        <v>200</v>
      </c>
      <c r="F15" s="12" t="n">
        <v>37.97</v>
      </c>
      <c r="G15" s="12" t="n">
        <v>37.51</v>
      </c>
      <c r="H15" s="12" t="n">
        <v>39.17</v>
      </c>
      <c r="I15" s="12" t="n">
        <v>38.71</v>
      </c>
      <c r="J15" s="11" t="n">
        <v>0.011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1</v>
      </c>
      <c r="P15" s="13" t="n">
        <v>0</v>
      </c>
    </row>
    <row r="16" customFormat="false" ht="15" hidden="false" customHeight="false" outlineLevel="0" collapsed="false">
      <c r="A16" s="11" t="s">
        <v>81</v>
      </c>
      <c r="B16" s="11" t="s">
        <v>81</v>
      </c>
      <c r="C16" s="11" t="s">
        <v>82</v>
      </c>
      <c r="D16" s="11" t="n">
        <v>40</v>
      </c>
      <c r="E16" s="11" t="n">
        <v>200</v>
      </c>
      <c r="F16" s="12" t="n">
        <v>37.51</v>
      </c>
      <c r="G16" s="12" t="n">
        <v>36.97</v>
      </c>
      <c r="H16" s="12" t="n">
        <v>38.71</v>
      </c>
      <c r="I16" s="12" t="n">
        <v>38.17</v>
      </c>
      <c r="J16" s="11" t="n">
        <v>0.011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1</v>
      </c>
      <c r="P16" s="13" t="n">
        <v>0</v>
      </c>
    </row>
    <row r="17" customFormat="false" ht="15" hidden="false" customHeight="false" outlineLevel="0" collapsed="false">
      <c r="A17" s="11" t="s">
        <v>82</v>
      </c>
      <c r="B17" s="11" t="s">
        <v>82</v>
      </c>
      <c r="C17" s="11" t="s">
        <v>83</v>
      </c>
      <c r="D17" s="11" t="n">
        <v>30</v>
      </c>
      <c r="E17" s="11" t="n">
        <v>200</v>
      </c>
      <c r="F17" s="12" t="n">
        <v>36.97</v>
      </c>
      <c r="G17" s="12" t="n">
        <v>36.42</v>
      </c>
      <c r="H17" s="12" t="n">
        <v>38.17</v>
      </c>
      <c r="I17" s="12" t="n">
        <v>37.62</v>
      </c>
      <c r="J17" s="11" t="n">
        <v>0.011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1</v>
      </c>
      <c r="P17" s="13" t="n">
        <v>0</v>
      </c>
    </row>
    <row r="18" customFormat="false" ht="15" hidden="false" customHeight="false" outlineLevel="0" collapsed="false">
      <c r="A18" s="11" t="s">
        <v>83</v>
      </c>
      <c r="B18" s="11" t="s">
        <v>83</v>
      </c>
      <c r="C18" s="11" t="s">
        <v>84</v>
      </c>
      <c r="D18" s="11" t="n">
        <v>50</v>
      </c>
      <c r="E18" s="11" t="n">
        <v>200</v>
      </c>
      <c r="F18" s="12" t="n">
        <v>36.42</v>
      </c>
      <c r="G18" s="12" t="n">
        <v>35.46</v>
      </c>
      <c r="H18" s="12" t="n">
        <v>37.62</v>
      </c>
      <c r="I18" s="12" t="n">
        <v>36.66</v>
      </c>
      <c r="J18" s="11" t="n">
        <v>0.011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1</v>
      </c>
      <c r="P18" s="13" t="n">
        <v>0</v>
      </c>
    </row>
    <row r="19" customFormat="false" ht="15" hidden="false" customHeight="false" outlineLevel="0" collapsed="false">
      <c r="A19" s="11" t="s">
        <v>84</v>
      </c>
      <c r="B19" s="11" t="s">
        <v>84</v>
      </c>
      <c r="C19" s="11" t="s">
        <v>85</v>
      </c>
      <c r="D19" s="11" t="n">
        <v>75</v>
      </c>
      <c r="E19" s="11" t="n">
        <v>200</v>
      </c>
      <c r="F19" s="12" t="n">
        <v>35.46</v>
      </c>
      <c r="G19" s="12" t="n">
        <v>34.45</v>
      </c>
      <c r="H19" s="12" t="n">
        <v>36.66</v>
      </c>
      <c r="I19" s="12" t="n">
        <v>35.55</v>
      </c>
      <c r="J19" s="11" t="n">
        <v>0.011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1</v>
      </c>
      <c r="P19" s="13" t="n">
        <v>0</v>
      </c>
    </row>
    <row r="20" customFormat="false" ht="15" hidden="false" customHeight="false" outlineLevel="0" collapsed="false">
      <c r="A20" s="11" t="s">
        <v>85</v>
      </c>
      <c r="B20" s="11" t="s">
        <v>85</v>
      </c>
      <c r="C20" s="11" t="s">
        <v>86</v>
      </c>
      <c r="D20" s="11" t="n">
        <v>75</v>
      </c>
      <c r="E20" s="11" t="n">
        <v>200</v>
      </c>
      <c r="F20" s="12" t="n">
        <v>34.45</v>
      </c>
      <c r="G20" s="12" t="n">
        <v>33.72</v>
      </c>
      <c r="H20" s="12" t="n">
        <v>35.55</v>
      </c>
      <c r="I20" s="12" t="n">
        <v>34.82</v>
      </c>
      <c r="J20" s="11" t="n">
        <v>0.011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1</v>
      </c>
      <c r="P20" s="13" t="n">
        <v>0</v>
      </c>
    </row>
    <row r="21" customFormat="false" ht="15" hidden="false" customHeight="false" outlineLevel="0" collapsed="false">
      <c r="A21" s="11" t="s">
        <v>86</v>
      </c>
      <c r="B21" s="11" t="s">
        <v>86</v>
      </c>
      <c r="C21" s="11" t="s">
        <v>87</v>
      </c>
      <c r="D21" s="11" t="n">
        <v>75</v>
      </c>
      <c r="E21" s="11" t="n">
        <v>200</v>
      </c>
      <c r="F21" s="12" t="n">
        <v>33.72</v>
      </c>
      <c r="G21" s="12" t="n">
        <v>33.39</v>
      </c>
      <c r="H21" s="12" t="n">
        <v>34.82</v>
      </c>
      <c r="I21" s="12" t="n">
        <v>34.49</v>
      </c>
      <c r="J21" s="11" t="n">
        <v>0.011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1</v>
      </c>
      <c r="P21" s="13" t="n">
        <v>0</v>
      </c>
    </row>
    <row r="22" customFormat="false" ht="15" hidden="false" customHeight="false" outlineLevel="0" collapsed="false">
      <c r="A22" s="11" t="s">
        <v>87</v>
      </c>
      <c r="B22" s="11" t="s">
        <v>87</v>
      </c>
      <c r="C22" s="11" t="s">
        <v>88</v>
      </c>
      <c r="D22" s="11" t="n">
        <v>50</v>
      </c>
      <c r="E22" s="11" t="n">
        <v>200</v>
      </c>
      <c r="F22" s="12" t="n">
        <v>33.39</v>
      </c>
      <c r="G22" s="12" t="n">
        <v>33.28</v>
      </c>
      <c r="H22" s="12" t="n">
        <v>34.49</v>
      </c>
      <c r="I22" s="12" t="n">
        <v>34.13</v>
      </c>
      <c r="J22" s="11" t="n">
        <v>0.011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13" t="n">
        <v>0</v>
      </c>
    </row>
    <row r="23" customFormat="false" ht="15" hidden="false" customHeight="false" outlineLevel="0" collapsed="false">
      <c r="A23" s="11" t="s">
        <v>88</v>
      </c>
      <c r="B23" s="11" t="s">
        <v>88</v>
      </c>
      <c r="C23" s="11" t="s">
        <v>89</v>
      </c>
      <c r="D23" s="11" t="n">
        <v>6</v>
      </c>
      <c r="E23" s="11" t="n">
        <v>200</v>
      </c>
      <c r="F23" s="12" t="n">
        <v>33.28</v>
      </c>
      <c r="G23" s="12" t="n">
        <v>33.23</v>
      </c>
      <c r="H23" s="12" t="n">
        <v>34.13</v>
      </c>
      <c r="I23" s="12" t="n">
        <v>33.82</v>
      </c>
      <c r="J23" s="11" t="n">
        <v>0.011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1</v>
      </c>
      <c r="P23" s="13" t="n">
        <v>0</v>
      </c>
    </row>
    <row r="24" customFormat="false" ht="15" hidden="false" customHeight="false" outlineLevel="0" collapsed="false">
      <c r="A24" s="11" t="s">
        <v>89</v>
      </c>
      <c r="B24" s="11" t="s">
        <v>89</v>
      </c>
      <c r="C24" s="11" t="s">
        <v>90</v>
      </c>
      <c r="D24" s="11" t="n">
        <v>42</v>
      </c>
      <c r="E24" s="11" t="n">
        <v>200</v>
      </c>
      <c r="F24" s="12" t="n">
        <v>33.23</v>
      </c>
      <c r="G24" s="12" t="n">
        <v>33.01</v>
      </c>
      <c r="H24" s="12" t="n">
        <v>33.82</v>
      </c>
      <c r="I24" s="12" t="n">
        <v>33.66</v>
      </c>
      <c r="J24" s="11" t="n">
        <v>0.011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1</v>
      </c>
      <c r="P24" s="13" t="n">
        <v>0</v>
      </c>
    </row>
    <row r="25" customFormat="false" ht="15" hidden="false" customHeight="false" outlineLevel="0" collapsed="false">
      <c r="A25" s="11" t="s">
        <v>90</v>
      </c>
      <c r="B25" s="11" t="s">
        <v>90</v>
      </c>
      <c r="C25" s="11" t="s">
        <v>91</v>
      </c>
      <c r="D25" s="11" t="n">
        <v>5</v>
      </c>
      <c r="E25" s="11" t="n">
        <v>200</v>
      </c>
      <c r="F25" s="12" t="n">
        <v>33.01</v>
      </c>
      <c r="G25" s="12" t="n">
        <v>32.93</v>
      </c>
      <c r="H25" s="12" t="n">
        <v>33.66</v>
      </c>
      <c r="I25" s="12" t="n">
        <v>33.83</v>
      </c>
      <c r="J25" s="11" t="n">
        <v>0.011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1</v>
      </c>
      <c r="P25" s="13" t="n">
        <v>0</v>
      </c>
    </row>
    <row r="26" customFormat="false" ht="15" hidden="false" customHeight="false" outlineLevel="0" collapsed="false">
      <c r="A26" s="11" t="s">
        <v>91</v>
      </c>
      <c r="B26" s="11" t="s">
        <v>91</v>
      </c>
      <c r="C26" s="11" t="s">
        <v>92</v>
      </c>
      <c r="D26" s="11" t="n">
        <v>75</v>
      </c>
      <c r="E26" s="11" t="n">
        <v>200</v>
      </c>
      <c r="F26" s="12" t="n">
        <v>32.93</v>
      </c>
      <c r="G26" s="12" t="n">
        <v>32.43</v>
      </c>
      <c r="H26" s="12" t="n">
        <v>33.83</v>
      </c>
      <c r="I26" s="12" t="n">
        <v>33.43</v>
      </c>
      <c r="J26" s="11" t="n">
        <v>0.011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1</v>
      </c>
      <c r="P26" s="13" t="n">
        <v>0</v>
      </c>
    </row>
    <row r="27" customFormat="false" ht="15" hidden="false" customHeight="false" outlineLevel="0" collapsed="false">
      <c r="A27" s="11" t="s">
        <v>92</v>
      </c>
      <c r="B27" s="11" t="s">
        <v>92</v>
      </c>
      <c r="C27" s="11" t="s">
        <v>93</v>
      </c>
      <c r="D27" s="11" t="n">
        <v>75</v>
      </c>
      <c r="E27" s="11" t="n">
        <v>200</v>
      </c>
      <c r="F27" s="12" t="n">
        <v>32.43</v>
      </c>
      <c r="G27" s="12" t="n">
        <v>32.25</v>
      </c>
      <c r="H27" s="12" t="n">
        <v>33.43</v>
      </c>
      <c r="I27" s="12" t="n">
        <v>33</v>
      </c>
      <c r="J27" s="11" t="n">
        <v>0.011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13" t="n">
        <v>0</v>
      </c>
    </row>
    <row r="28" customFormat="false" ht="15" hidden="false" customHeight="false" outlineLevel="0" collapsed="false">
      <c r="A28" s="11" t="s">
        <v>93</v>
      </c>
      <c r="B28" s="11" t="s">
        <v>93</v>
      </c>
      <c r="C28" s="11" t="s">
        <v>94</v>
      </c>
      <c r="D28" s="11" t="n">
        <v>75</v>
      </c>
      <c r="E28" s="11" t="n">
        <v>200</v>
      </c>
      <c r="F28" s="12" t="n">
        <v>32.25</v>
      </c>
      <c r="G28" s="12" t="n">
        <v>31.44</v>
      </c>
      <c r="H28" s="12" t="n">
        <v>33</v>
      </c>
      <c r="I28" s="12" t="n">
        <v>32.54</v>
      </c>
      <c r="J28" s="11" t="n">
        <v>0.011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1</v>
      </c>
      <c r="P28" s="13" t="n">
        <v>0</v>
      </c>
    </row>
    <row r="29" customFormat="false" ht="15" hidden="false" customHeight="false" outlineLevel="0" collapsed="false">
      <c r="A29" s="11" t="s">
        <v>94</v>
      </c>
      <c r="B29" s="11" t="s">
        <v>94</v>
      </c>
      <c r="C29" s="11" t="s">
        <v>95</v>
      </c>
      <c r="D29" s="11" t="n">
        <v>75</v>
      </c>
      <c r="E29" s="11" t="n">
        <v>200</v>
      </c>
      <c r="F29" s="12" t="n">
        <v>31.44</v>
      </c>
      <c r="G29" s="12" t="n">
        <v>31.14</v>
      </c>
      <c r="H29" s="12" t="n">
        <v>32.54</v>
      </c>
      <c r="I29" s="12" t="n">
        <v>32.14</v>
      </c>
      <c r="J29" s="11" t="n">
        <v>0.011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1</v>
      </c>
      <c r="P29" s="13" t="n">
        <v>0</v>
      </c>
    </row>
    <row r="30" customFormat="false" ht="15" hidden="false" customHeight="false" outlineLevel="0" collapsed="false">
      <c r="A30" s="11" t="s">
        <v>95</v>
      </c>
      <c r="B30" s="11" t="s">
        <v>95</v>
      </c>
      <c r="C30" s="11" t="s">
        <v>96</v>
      </c>
      <c r="D30" s="11" t="n">
        <v>36</v>
      </c>
      <c r="E30" s="11" t="n">
        <v>200</v>
      </c>
      <c r="F30" s="12" t="n">
        <v>31.14</v>
      </c>
      <c r="G30" s="12" t="n">
        <v>31.09</v>
      </c>
      <c r="H30" s="12" t="n">
        <v>32.14</v>
      </c>
      <c r="I30" s="12" t="n">
        <v>31.99</v>
      </c>
      <c r="J30" s="11" t="n">
        <v>0.011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1</v>
      </c>
      <c r="P30" s="13" t="n">
        <v>0</v>
      </c>
    </row>
    <row r="31" customFormat="false" ht="15" hidden="false" customHeight="false" outlineLevel="0" collapsed="false">
      <c r="A31" s="11" t="s">
        <v>96</v>
      </c>
      <c r="B31" s="11" t="s">
        <v>96</v>
      </c>
      <c r="C31" s="11" t="s">
        <v>97</v>
      </c>
      <c r="D31" s="11" t="n">
        <v>52</v>
      </c>
      <c r="E31" s="11" t="n">
        <v>200</v>
      </c>
      <c r="F31" s="12" t="n">
        <v>31.09</v>
      </c>
      <c r="G31" s="12" t="n">
        <v>31.05</v>
      </c>
      <c r="H31" s="12" t="n">
        <v>31.99</v>
      </c>
      <c r="I31" s="12" t="n">
        <v>31.7</v>
      </c>
      <c r="J31" s="11" t="n">
        <v>0.011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1</v>
      </c>
      <c r="P31" s="13" t="n">
        <v>0</v>
      </c>
    </row>
    <row r="32" customFormat="false" ht="15" hidden="false" customHeight="false" outlineLevel="0" collapsed="false">
      <c r="A32" s="11" t="s">
        <v>97</v>
      </c>
      <c r="B32" s="11" t="s">
        <v>97</v>
      </c>
      <c r="C32" s="11" t="s">
        <v>98</v>
      </c>
      <c r="D32" s="11" t="n">
        <v>20</v>
      </c>
      <c r="E32" s="11" t="n">
        <v>200</v>
      </c>
      <c r="F32" s="12" t="n">
        <v>31.05</v>
      </c>
      <c r="G32" s="12" t="n">
        <v>31</v>
      </c>
      <c r="H32" s="12" t="n">
        <v>31.7</v>
      </c>
      <c r="I32" s="12" t="n">
        <v>31.65</v>
      </c>
      <c r="J32" s="11" t="n">
        <v>0.011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13" t="n">
        <v>0</v>
      </c>
    </row>
    <row r="33" customFormat="false" ht="15" hidden="false" customHeight="false" outlineLevel="0" collapsed="false">
      <c r="A33" s="11" t="s">
        <v>98</v>
      </c>
      <c r="B33" s="11" t="s">
        <v>98</v>
      </c>
      <c r="C33" s="11" t="s">
        <v>99</v>
      </c>
      <c r="D33" s="11" t="n">
        <v>16</v>
      </c>
      <c r="E33" s="11" t="n">
        <v>200</v>
      </c>
      <c r="F33" s="12" t="n">
        <v>31</v>
      </c>
      <c r="G33" s="12" t="n">
        <v>30.96</v>
      </c>
      <c r="H33" s="12" t="n">
        <v>31.65</v>
      </c>
      <c r="I33" s="12" t="n">
        <v>31.96</v>
      </c>
      <c r="J33" s="11" t="n">
        <v>0.011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1</v>
      </c>
      <c r="P33" s="13" t="n">
        <v>0</v>
      </c>
    </row>
    <row r="34" customFormat="false" ht="15" hidden="false" customHeight="false" outlineLevel="0" collapsed="false">
      <c r="A34" s="11" t="s">
        <v>99</v>
      </c>
      <c r="B34" s="11" t="s">
        <v>99</v>
      </c>
      <c r="C34" s="11" t="s">
        <v>100</v>
      </c>
      <c r="D34" s="11" t="n">
        <v>14</v>
      </c>
      <c r="E34" s="11" t="n">
        <v>200</v>
      </c>
      <c r="F34" s="12" t="n">
        <v>30.96</v>
      </c>
      <c r="G34" s="12" t="n">
        <v>30.91</v>
      </c>
      <c r="H34" s="12" t="n">
        <v>31.96</v>
      </c>
      <c r="I34" s="12" t="n">
        <v>32.46</v>
      </c>
      <c r="J34" s="11" t="n">
        <v>0.011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1</v>
      </c>
      <c r="P34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9.4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1.5" hidden="false" customHeight="true" outlineLevel="0" collapsed="false">
      <c r="A4" s="5" t="s">
        <v>103</v>
      </c>
      <c r="B4" s="5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  <c r="I4" s="10" t="s">
        <v>111</v>
      </c>
      <c r="J4" s="10" t="s">
        <v>112</v>
      </c>
      <c r="K4" s="10" t="s">
        <v>113</v>
      </c>
      <c r="L4" s="10" t="s">
        <v>114</v>
      </c>
      <c r="M4" s="10" t="s">
        <v>115</v>
      </c>
      <c r="N4" s="10" t="s">
        <v>116</v>
      </c>
      <c r="O4" s="10" t="s">
        <v>117</v>
      </c>
      <c r="P4" s="10" t="s">
        <v>118</v>
      </c>
      <c r="Q4" s="10" t="s">
        <v>119</v>
      </c>
      <c r="R4" s="10" t="s">
        <v>120</v>
      </c>
      <c r="S4" s="10" t="s">
        <v>121</v>
      </c>
      <c r="T4" s="10" t="s">
        <v>122</v>
      </c>
      <c r="U4" s="10" t="s">
        <v>123</v>
      </c>
      <c r="V4" s="10" t="s">
        <v>124</v>
      </c>
      <c r="W4" s="10" t="s">
        <v>125</v>
      </c>
      <c r="X4" s="10" t="s">
        <v>126</v>
      </c>
      <c r="Y4" s="10" t="s">
        <v>127</v>
      </c>
      <c r="Z4" s="10" t="s">
        <v>128</v>
      </c>
      <c r="AA4" s="10" t="s">
        <v>129</v>
      </c>
      <c r="AB4" s="10" t="s">
        <v>130</v>
      </c>
      <c r="AC4" s="10" t="s">
        <v>131</v>
      </c>
      <c r="AD4" s="10" t="s">
        <v>132</v>
      </c>
      <c r="AE4" s="10" t="s">
        <v>133</v>
      </c>
      <c r="AF4" s="10" t="s">
        <v>134</v>
      </c>
      <c r="AG4" s="10" t="s">
        <v>135</v>
      </c>
      <c r="AH4" s="10" t="s">
        <v>136</v>
      </c>
      <c r="AI4" s="10" t="s">
        <v>137</v>
      </c>
      <c r="AJ4" s="10" t="s">
        <v>138</v>
      </c>
      <c r="AK4" s="10" t="s">
        <v>139</v>
      </c>
      <c r="AL4" s="10" t="s">
        <v>140</v>
      </c>
      <c r="AM4" s="10" t="s">
        <v>141</v>
      </c>
      <c r="AN4" s="10" t="s">
        <v>142</v>
      </c>
      <c r="AO4" s="10" t="s">
        <v>143</v>
      </c>
      <c r="AP4" s="10" t="s">
        <v>144</v>
      </c>
      <c r="AQ4" s="10" t="s">
        <v>145</v>
      </c>
      <c r="AR4" s="10" t="s">
        <v>146</v>
      </c>
      <c r="AS4" s="10" t="s">
        <v>147</v>
      </c>
      <c r="AT4" s="10" t="s">
        <v>148</v>
      </c>
      <c r="AU4" s="10" t="s">
        <v>149</v>
      </c>
      <c r="AV4" s="10" t="s">
        <v>150</v>
      </c>
      <c r="AW4" s="10" t="s">
        <v>151</v>
      </c>
      <c r="AX4" s="10" t="s">
        <v>152</v>
      </c>
      <c r="AY4" s="10" t="s">
        <v>153</v>
      </c>
      <c r="AZ4" s="10" t="s">
        <v>154</v>
      </c>
      <c r="BA4" s="10" t="s">
        <v>155</v>
      </c>
      <c r="BB4" s="10" t="s">
        <v>156</v>
      </c>
      <c r="BC4" s="10" t="s">
        <v>157</v>
      </c>
      <c r="BD4" s="10" t="s">
        <v>158</v>
      </c>
      <c r="BE4" s="10" t="s">
        <v>159</v>
      </c>
      <c r="BF4" s="10" t="s">
        <v>160</v>
      </c>
      <c r="BG4" s="10" t="s">
        <v>161</v>
      </c>
      <c r="BH4" s="10" t="s">
        <v>162</v>
      </c>
      <c r="BI4" s="10" t="s">
        <v>163</v>
      </c>
      <c r="BJ4" s="10" t="s">
        <v>164</v>
      </c>
      <c r="BK4" s="10" t="s">
        <v>165</v>
      </c>
      <c r="BL4" s="10" t="s">
        <v>166</v>
      </c>
      <c r="BM4" s="10" t="s">
        <v>167</v>
      </c>
      <c r="BN4" s="10" t="s">
        <v>168</v>
      </c>
      <c r="BO4" s="10" t="s">
        <v>169</v>
      </c>
      <c r="BP4" s="10" t="s">
        <v>170</v>
      </c>
      <c r="BQ4" s="10" t="s">
        <v>171</v>
      </c>
      <c r="BR4" s="10" t="s">
        <v>172</v>
      </c>
      <c r="BS4" s="10" t="s">
        <v>173</v>
      </c>
      <c r="BT4" s="10" t="s">
        <v>174</v>
      </c>
      <c r="BU4" s="10" t="s">
        <v>175</v>
      </c>
      <c r="BV4" s="10" t="s">
        <v>176</v>
      </c>
      <c r="BW4" s="10" t="s">
        <v>177</v>
      </c>
      <c r="BX4" s="10" t="s">
        <v>178</v>
      </c>
      <c r="BY4" s="10" t="s">
        <v>179</v>
      </c>
      <c r="BZ4" s="10" t="s">
        <v>180</v>
      </c>
      <c r="CA4" s="10" t="s">
        <v>181</v>
      </c>
      <c r="CB4" s="10" t="s">
        <v>182</v>
      </c>
      <c r="CC4" s="10" t="s">
        <v>183</v>
      </c>
      <c r="CD4" s="10" t="s">
        <v>184</v>
      </c>
      <c r="CE4" s="10" t="s">
        <v>185</v>
      </c>
      <c r="CF4" s="10" t="s">
        <v>186</v>
      </c>
      <c r="CG4" s="10" t="s">
        <v>187</v>
      </c>
      <c r="CH4" s="10" t="s">
        <v>188</v>
      </c>
    </row>
    <row r="5" customFormat="false" ht="15" hidden="false" customHeight="false" outlineLevel="0" collapsed="false">
      <c r="A5" s="14" t="str">
        <f aca="false">계산!A5</f>
        <v>BC-01</v>
      </c>
      <c r="B5" s="15" t="n">
        <f aca="false">계산!E5</f>
        <v>0.00178900462962963</v>
      </c>
      <c r="C5" s="14" t="n">
        <f aca="false">입력!E5/1000</f>
        <v>0.2</v>
      </c>
      <c r="D5" s="14" t="n">
        <f aca="false">(입력!F5-입력!G5)/입력!D5</f>
        <v>0.0130000000000003</v>
      </c>
      <c r="E5" s="14" t="n">
        <f aca="false">입력!J5</f>
        <v>0.011</v>
      </c>
      <c r="F5" s="16" t="n">
        <f aca="false">설정!$B$10/2</f>
        <v>2.6383016061374</v>
      </c>
      <c r="G5" s="17" t="n">
        <f aca="false">IF($D5&lt;=0,0,($C5^2/8*(F5-SIN(F5)))*(($C5^2/8*(F5-SIN(F5)))/($C5*F5/2))^(2/3)*$D5^0.5/$E5)</f>
        <v>0.0132553370793843</v>
      </c>
      <c r="H5" s="17" t="n">
        <f aca="false">F5+IF(G5&lt;$B5,1,-1)*설정!$B$10/2^2</f>
        <v>1.3191508030687</v>
      </c>
      <c r="I5" s="17" t="n">
        <f aca="false">IF($D5&lt;=0,0,($C5^2/8*(H5-SIN(H5)))*(($C5^2/8*(H5-SIN(H5)))/($C5*H5/2))^(2/3)*$D5^0.5/$E5)</f>
        <v>0.00101964541677601</v>
      </c>
      <c r="J5" s="17" t="n">
        <f aca="false">H5+IF(I5&lt;$B5,1,-1)*설정!$B$10/2^3</f>
        <v>1.97872620460305</v>
      </c>
      <c r="K5" s="17" t="n">
        <f aca="false">IF($D5&lt;=0,0,($C5^2/8*(J5-SIN(J5)))*(($C5^2/8*(J5-SIN(J5)))/($C5*J5/2))^(2/3)*$D5^0.5/$E5)</f>
        <v>0.00492397174385652</v>
      </c>
      <c r="L5" s="17" t="n">
        <f aca="false">J5+IF(K5&lt;$B5,1,-1)*설정!$B$10/2^4</f>
        <v>1.64893850383588</v>
      </c>
      <c r="M5" s="17" t="n">
        <f aca="false">IF($D5&lt;=0,0,($C5^2/8*(L5-SIN(L5)))*(($C5^2/8*(L5-SIN(L5)))/($C5*L5/2))^(2/3)*$D5^0.5/$E5)</f>
        <v>0.00247055374473178</v>
      </c>
      <c r="N5" s="17" t="n">
        <f aca="false">L5+IF(M5&lt;$B5,1,-1)*설정!$B$10/2^5</f>
        <v>1.48404465345229</v>
      </c>
      <c r="O5" s="17" t="n">
        <f aca="false">IF($D5&lt;=0,0,($C5^2/8*(N5-SIN(N5)))*(($C5^2/8*(N5-SIN(N5)))/($C5*N5/2))^(2/3)*$D5^0.5/$E5)</f>
        <v>0.00163421211421674</v>
      </c>
      <c r="P5" s="17" t="n">
        <f aca="false">N5+IF(O5&lt;$B5,1,-1)*설정!$B$10/2^6</f>
        <v>1.56649157864408</v>
      </c>
      <c r="Q5" s="17" t="n">
        <f aca="false">IF($D5&lt;=0,0,($C5^2/8*(P5-SIN(P5)))*(($C5^2/8*(P5-SIN(P5)))/($C5*P5/2))^(2/3)*$D5^0.5/$E5)</f>
        <v>0.00202260568702872</v>
      </c>
      <c r="R5" s="17" t="n">
        <f aca="false">P5+IF(Q5&lt;$B5,1,-1)*설정!$B$10/2^7</f>
        <v>1.52526811604819</v>
      </c>
      <c r="S5" s="17" t="n">
        <f aca="false">IF($D5&lt;=0,0,($C5^2/8*(R5-SIN(R5)))*(($C5^2/8*(R5-SIN(R5)))/($C5*R5/2))^(2/3)*$D5^0.5/$E5)</f>
        <v>0.00182120904009065</v>
      </c>
      <c r="T5" s="17" t="n">
        <f aca="false">R5+IF(S5&lt;$B5,1,-1)*설정!$B$10/2^8</f>
        <v>1.50465638475024</v>
      </c>
      <c r="U5" s="17" t="n">
        <f aca="false">IF($D5&lt;=0,0,($C5^2/8*(T5-SIN(T5)))*(($C5^2/8*(T5-SIN(T5)))/($C5*T5/2))^(2/3)*$D5^0.5/$E5)</f>
        <v>0.00172594238304037</v>
      </c>
      <c r="V5" s="17" t="n">
        <f aca="false">T5+IF(U5&lt;$B5,1,-1)*설정!$B$10/2^9</f>
        <v>1.51496225039921</v>
      </c>
      <c r="W5" s="17" t="n">
        <f aca="false">IF($D5&lt;=0,0,($C5^2/8*(V5-SIN(V5)))*(($C5^2/8*(V5-SIN(V5)))/($C5*V5/2))^(2/3)*$D5^0.5/$E5)</f>
        <v>0.00177312964135264</v>
      </c>
      <c r="X5" s="17" t="n">
        <f aca="false">V5+IF(W5&lt;$B5,1,-1)*설정!$B$10/2^10</f>
        <v>1.5201151832237</v>
      </c>
      <c r="Y5" s="17" t="n">
        <f aca="false">IF($D5&lt;=0,0,($C5^2/8*(X5-SIN(X5)))*(($C5^2/8*(X5-SIN(X5)))/($C5*X5/2))^(2/3)*$D5^0.5/$E5)</f>
        <v>0.00179705732473956</v>
      </c>
      <c r="Z5" s="17" t="n">
        <f aca="false">X5+IF(Y5&lt;$B5,1,-1)*설정!$B$10/2^11</f>
        <v>1.51753871681146</v>
      </c>
      <c r="AA5" s="17" t="n">
        <f aca="false">IF($D5&lt;=0,0,($C5^2/8*(Z5-SIN(Z5)))*(($C5^2/8*(Z5-SIN(Z5)))/($C5*Z5/2))^(2/3)*$D5^0.5/$E5)</f>
        <v>0.00178506554115915</v>
      </c>
      <c r="AB5" s="17" t="n">
        <f aca="false">Z5+IF(AA5&lt;$B5,1,-1)*설정!$B$10/2^12</f>
        <v>1.51882695001758</v>
      </c>
      <c r="AC5" s="17" t="n">
        <f aca="false">IF($D5&lt;=0,0,($C5^2/8*(AB5-SIN(AB5)))*(($C5^2/8*(AB5-SIN(AB5)))/($C5*AB5/2))^(2/3)*$D5^0.5/$E5)</f>
        <v>0.00179105443970175</v>
      </c>
      <c r="AD5" s="17" t="n">
        <f aca="false">AB5+IF(AC5&lt;$B5,1,-1)*설정!$B$10/2^13</f>
        <v>1.51818283341452</v>
      </c>
      <c r="AE5" s="17" t="n">
        <f aca="false">IF($D5&lt;=0,0,($C5^2/8*(AD5-SIN(AD5)))*(($C5^2/8*(AD5-SIN(AD5)))/($C5*AD5/2))^(2/3)*$D5^0.5/$E5)</f>
        <v>0.00178805824308977</v>
      </c>
      <c r="AF5" s="17" t="n">
        <f aca="false">AD5+IF(AE5&lt;$B5,1,-1)*설정!$B$10/2^14</f>
        <v>1.51850489171605</v>
      </c>
      <c r="AG5" s="17" t="n">
        <f aca="false">IF($D5&lt;=0,0,($C5^2/8*(AF5-SIN(AF5)))*(($C5^2/8*(AF5-SIN(AF5)))/($C5*AF5/2))^(2/3)*$D5^0.5/$E5)</f>
        <v>0.00178955590443914</v>
      </c>
      <c r="AH5" s="17" t="n">
        <f aca="false">AF5+IF(AG5&lt;$B5,1,-1)*설정!$B$10/2^15</f>
        <v>1.51834386256528</v>
      </c>
      <c r="AI5" s="17" t="n">
        <f aca="false">IF($D5&lt;=0,0,($C5^2/8*(AH5-SIN(AH5)))*(($C5^2/8*(AH5-SIN(AH5)))/($C5*AH5/2))^(2/3)*$D5^0.5/$E5)</f>
        <v>0.00178880696454048</v>
      </c>
      <c r="AJ5" s="17" t="n">
        <f aca="false">AH5+IF(AI5&lt;$B5,1,-1)*설정!$B$10/2^16</f>
        <v>1.51842437714066</v>
      </c>
      <c r="AK5" s="17" t="n">
        <f aca="false">IF($D5&lt;=0,0,($C5^2/8*(AJ5-SIN(AJ5)))*(($C5^2/8*(AJ5-SIN(AJ5)))/($C5*AJ5/2))^(2/3)*$D5^0.5/$E5)</f>
        <v>0.00178918140718192</v>
      </c>
      <c r="AL5" s="17" t="n">
        <f aca="false">AJ5+IF(AK5&lt;$B5,1,-1)*설정!$B$10/2^17</f>
        <v>1.51838411985297</v>
      </c>
      <c r="AM5" s="17" t="n">
        <f aca="false">IF($D5&lt;=0,0,($C5^2/8*(AL5-SIN(AL5)))*(($C5^2/8*(AL5-SIN(AL5)))/($C5*AL5/2))^(2/3)*$D5^0.5/$E5)</f>
        <v>0.00178899417903446</v>
      </c>
      <c r="AN5" s="17" t="n">
        <f aca="false">AL5+IF(AM5&lt;$B5,1,-1)*설정!$B$10/2^18</f>
        <v>1.51840424849682</v>
      </c>
      <c r="AO5" s="17" t="n">
        <f aca="false">IF($D5&lt;=0,0,($C5^2/8*(AN5-SIN(AN5)))*(($C5^2/8*(AN5-SIN(AN5)))/($C5*AN5/2))^(2/3)*$D5^0.5/$E5)</f>
        <v>0.00178908779140148</v>
      </c>
      <c r="AP5" s="17" t="n">
        <f aca="false">AN5+IF(AO5&lt;$B5,1,-1)*설정!$B$10/2^19</f>
        <v>1.5183941841749</v>
      </c>
      <c r="AQ5" s="17" t="n">
        <f aca="false">IF($D5&lt;=0,0,($C5^2/8*(AP5-SIN(AP5)))*(($C5^2/8*(AP5-SIN(AP5)))/($C5*AP5/2))^(2/3)*$D5^0.5/$E5)</f>
        <v>0.00178904098479129</v>
      </c>
      <c r="AR5" s="17" t="n">
        <f aca="false">AP5+IF(AQ5&lt;$B5,1,-1)*설정!$B$10/2^20</f>
        <v>1.51838915201393</v>
      </c>
      <c r="AS5" s="17" t="n">
        <f aca="false">IF($D5&lt;=0,0,($C5^2/8*(AR5-SIN(AR5)))*(($C5^2/8*(AR5-SIN(AR5)))/($C5*AR5/2))^(2/3)*$D5^0.5/$E5)</f>
        <v>0.00178901758180621</v>
      </c>
      <c r="AT5" s="17" t="n">
        <f aca="false">AR5+IF(AS5&lt;$B5,1,-1)*설정!$B$10/2^21</f>
        <v>1.51838663593345</v>
      </c>
      <c r="AU5" s="17" t="n">
        <f aca="false">IF($D5&lt;=0,0,($C5^2/8*(AT5-SIN(AT5)))*(($C5^2/8*(AT5-SIN(AT5)))/($C5*AT5/2))^(2/3)*$D5^0.5/$E5)</f>
        <v>0.00178900588039367</v>
      </c>
      <c r="AV5" s="17" t="n">
        <f aca="false">AT5+IF(AU5&lt;$B5,1,-1)*설정!$B$10/2^22</f>
        <v>1.51838537789321</v>
      </c>
      <c r="AW5" s="17" t="n">
        <f aca="false">IF($D5&lt;=0,0,($C5^2/8*(AV5-SIN(AV5)))*(($C5^2/8*(AV5-SIN(AV5)))/($C5*AV5/2))^(2/3)*$D5^0.5/$E5)</f>
        <v>0.0017890000297074</v>
      </c>
      <c r="AX5" s="17" t="n">
        <f aca="false">AV5+IF(AW5&lt;$B5,1,-1)*설정!$B$10/2^23</f>
        <v>1.51838600691333</v>
      </c>
      <c r="AY5" s="17" t="n">
        <f aca="false">IF($D5&lt;=0,0,($C5^2/8*(AX5-SIN(AX5)))*(($C5^2/8*(AX5-SIN(AX5)))/($C5*AX5/2))^(2/3)*$D5^0.5/$E5)</f>
        <v>0.00178900295504887</v>
      </c>
      <c r="AZ5" s="17" t="n">
        <f aca="false">AX5+IF(AY5&lt;$B5,1,-1)*설정!$B$10/2^24</f>
        <v>1.51838632142339</v>
      </c>
      <c r="BA5" s="17" t="n">
        <f aca="false">IF($D5&lt;=0,0,($C5^2/8*(AZ5-SIN(AZ5)))*(($C5^2/8*(AZ5-SIN(AZ5)))/($C5*AZ5/2))^(2/3)*$D5^0.5/$E5)</f>
        <v>0.00178900441772085</v>
      </c>
      <c r="BB5" s="17" t="n">
        <f aca="false">AZ5+IF(BA5&lt;$B5,1,-1)*설정!$B$10/2^25</f>
        <v>1.51838647867842</v>
      </c>
      <c r="BC5" s="17" t="n">
        <f aca="false">IF($D5&lt;=0,0,($C5^2/8*(BB5-SIN(BB5)))*(($C5^2/8*(BB5-SIN(BB5)))/($C5*BB5/2))^(2/3)*$D5^0.5/$E5)</f>
        <v>0.00178900514905716</v>
      </c>
      <c r="BD5" s="17" t="n">
        <f aca="false">BB5+IF(BC5&lt;$B5,1,-1)*설정!$B$10/2^26</f>
        <v>1.51838640005091</v>
      </c>
      <c r="BE5" s="17" t="n">
        <f aca="false">IF($D5&lt;=0,0,($C5^2/8*(BD5-SIN(BD5)))*(($C5^2/8*(BD5-SIN(BD5)))/($C5*BD5/2))^(2/3)*$D5^0.5/$E5)</f>
        <v>0.00178900478338898</v>
      </c>
      <c r="BF5" s="17" t="n">
        <f aca="false">BD5+IF(BE5&lt;$B5,1,-1)*설정!$B$10/2^27</f>
        <v>1.51838636073715</v>
      </c>
      <c r="BG5" s="17" t="n">
        <f aca="false">IF($D5&lt;=0,0,($C5^2/8*(BF5-SIN(BF5)))*(($C5^2/8*(BF5-SIN(BF5)))/($C5*BF5/2))^(2/3)*$D5^0.5/$E5)</f>
        <v>0.00178900460055491</v>
      </c>
      <c r="BH5" s="17" t="n">
        <f aca="false">BF5+IF(BG5&lt;$B5,1,-1)*설정!$B$10/2^28</f>
        <v>1.51838638039403</v>
      </c>
      <c r="BI5" s="17" t="n">
        <f aca="false">IF($D5&lt;=0,0,($C5^2/8*(BH5-SIN(BH5)))*(($C5^2/8*(BH5-SIN(BH5)))/($C5*BH5/2))^(2/3)*$D5^0.5/$E5)</f>
        <v>0.00178900469197194</v>
      </c>
      <c r="BJ5" s="17" t="n">
        <f aca="false">BH5+IF(BI5&lt;$B5,1,-1)*설정!$B$10/2^29</f>
        <v>1.51838637056559</v>
      </c>
      <c r="BK5" s="17" t="n">
        <f aca="false">IF($D5&lt;=0,0,($C5^2/8*(BJ5-SIN(BJ5)))*(($C5^2/8*(BJ5-SIN(BJ5)))/($C5*BJ5/2))^(2/3)*$D5^0.5/$E5)</f>
        <v>0.00178900464626342</v>
      </c>
      <c r="BL5" s="17" t="n">
        <f aca="false">BJ5+IF(BK5&lt;$B5,1,-1)*설정!$B$10/2^30</f>
        <v>1.51838636565137</v>
      </c>
      <c r="BM5" s="17" t="n">
        <f aca="false">IF($D5&lt;=0,0,($C5^2/8*(BL5-SIN(BL5)))*(($C5^2/8*(BL5-SIN(BL5)))/($C5*BL5/2))^(2/3)*$D5^0.5/$E5)</f>
        <v>0.00178900462340917</v>
      </c>
      <c r="BN5" s="17" t="n">
        <f aca="false">BL5+IF(BM5&lt;$B5,1,-1)*설정!$B$10/2^31</f>
        <v>1.51838636810848</v>
      </c>
      <c r="BO5" s="17" t="n">
        <f aca="false">IF($D5&lt;=0,0,($C5^2/8*(BN5-SIN(BN5)))*(($C5^2/8*(BN5-SIN(BN5)))/($C5*BN5/2))^(2/3)*$D5^0.5/$E5)</f>
        <v>0.0017890046348363</v>
      </c>
      <c r="BP5" s="17" t="n">
        <f aca="false">BN5+IF(BO5&lt;$B5,1,-1)*설정!$B$10/2^32</f>
        <v>1.51838636687993</v>
      </c>
      <c r="BQ5" s="17" t="n">
        <f aca="false">IF($D5&lt;=0,0,($C5^2/8*(BP5-SIN(BP5)))*(($C5^2/8*(BP5-SIN(BP5)))/($C5*BP5/2))^(2/3)*$D5^0.5/$E5)</f>
        <v>0.00178900462912273</v>
      </c>
      <c r="BR5" s="17" t="n">
        <f aca="false">BP5+IF(BQ5&lt;$B5,1,-1)*설정!$B$10/2^33</f>
        <v>1.5183863674942</v>
      </c>
      <c r="BS5" s="17" t="n">
        <f aca="false">IF($D5&lt;=0,0,($C5^2/8*(BR5-SIN(BR5)))*(($C5^2/8*(BR5-SIN(BR5)))/($C5*BR5/2))^(2/3)*$D5^0.5/$E5)</f>
        <v>0.00178900463197951</v>
      </c>
      <c r="BT5" s="17" t="n">
        <f aca="false">BR5+IF(BS5&lt;$B5,1,-1)*설정!$B$10/2^34</f>
        <v>1.51838636718706</v>
      </c>
      <c r="BU5" s="17" t="n">
        <f aca="false">IF($D5&lt;=0,0,($C5^2/8*(BT5-SIN(BT5)))*(($C5^2/8*(BT5-SIN(BT5)))/($C5*BT5/2))^(2/3)*$D5^0.5/$E5)</f>
        <v>0.00178900463055112</v>
      </c>
      <c r="BV5" s="17" t="n">
        <f aca="false">BT5+IF(BU5&lt;$B5,1,-1)*설정!$B$10/2^35</f>
        <v>1.5183863670335</v>
      </c>
      <c r="BW5" s="17" t="n">
        <f aca="false">IF($D5&lt;=0,0,($C5^2/8*(BV5-SIN(BV5)))*(($C5^2/8*(BV5-SIN(BV5)))/($C5*BV5/2))^(2/3)*$D5^0.5/$E5)</f>
        <v>0.00178900462983693</v>
      </c>
      <c r="BX5" s="17" t="n">
        <f aca="false">BV5+IF(BW5&lt;$B5,1,-1)*설정!$B$10/2^36</f>
        <v>1.51838636695671</v>
      </c>
      <c r="BY5" s="17" t="n">
        <f aca="false">IF($D5&lt;=0,0,($C5^2/8*(BX5-SIN(BX5)))*(($C5^2/8*(BX5-SIN(BX5)))/($C5*BX5/2))^(2/3)*$D5^0.5/$E5)</f>
        <v>0.00178900462947983</v>
      </c>
      <c r="BZ5" s="17" t="n">
        <f aca="false">BX5+IF(BY5&lt;$B5,1,-1)*설정!$B$10/2^37</f>
        <v>1.5183863669951</v>
      </c>
      <c r="CA5" s="17" t="n">
        <f aca="false">IF($D5&lt;=0,0,($C5^2/8*(BZ5-SIN(BZ5)))*(($C5^2/8*(BZ5-SIN(BZ5)))/($C5*BZ5/2))^(2/3)*$D5^0.5/$E5)</f>
        <v>0.00178900462965838</v>
      </c>
      <c r="CB5" s="17" t="n">
        <f aca="false">BZ5+IF(CA5&lt;$B5,1,-1)*설정!$B$10/2^38</f>
        <v>1.51838636697591</v>
      </c>
      <c r="CC5" s="17" t="n">
        <f aca="false">IF($D5&lt;=0,0,($C5^2/8*(CB5-SIN(CB5)))*(($C5^2/8*(CB5-SIN(CB5)))/($C5*CB5/2))^(2/3)*$D5^0.5/$E5)</f>
        <v>0.0017890046295691</v>
      </c>
      <c r="CD5" s="17" t="n">
        <f aca="false">CB5+IF(CC5&lt;$B5,1,-1)*설정!$B$10/2^39</f>
        <v>1.5183863669855</v>
      </c>
      <c r="CE5" s="17" t="n">
        <f aca="false">IF($D5&lt;=0,0,($C5^2/8*(CD5-SIN(CD5)))*(($C5^2/8*(CD5-SIN(CD5)))/($C5*CD5/2))^(2/3)*$D5^0.5/$E5)</f>
        <v>0.00178900462961374</v>
      </c>
      <c r="CF5" s="17" t="n">
        <f aca="false">CD5+IF(CE5&lt;$B5,1,-1)*설정!$B$10/2^40</f>
        <v>1.5183863669903</v>
      </c>
      <c r="CG5" s="17" t="n">
        <f aca="false">IF($D5&lt;=0,0,($C5^2/8*(CF5-SIN(CF5)))*(($C5^2/8*(CF5-SIN(CF5)))/($C5*CF5/2))^(2/3)*$D5^0.5/$E5)</f>
        <v>0.00178900462963606</v>
      </c>
      <c r="CH5" s="17" t="n">
        <f aca="false">CF5+IF(CG5&lt;$B5,1,-1)*설정!$B$10/2^41</f>
        <v>1.5183863669879</v>
      </c>
    </row>
    <row r="6" customFormat="false" ht="15" hidden="false" customHeight="false" outlineLevel="0" collapsed="false">
      <c r="A6" s="14" t="str">
        <f aca="false">계산!A6</f>
        <v>BC-02</v>
      </c>
      <c r="B6" s="15" t="n">
        <f aca="false">계산!E6</f>
        <v>0.00178900462962963</v>
      </c>
      <c r="C6" s="14" t="n">
        <f aca="false">입력!E6/1000</f>
        <v>0.2</v>
      </c>
      <c r="D6" s="14" t="n">
        <f aca="false">(입력!F6-입력!G6)/입력!D6</f>
        <v>0.0114</v>
      </c>
      <c r="E6" s="14" t="n">
        <f aca="false">입력!J6</f>
        <v>0.011</v>
      </c>
      <c r="F6" s="16" t="n">
        <f aca="false">설정!$B$10/2</f>
        <v>2.6383016061374</v>
      </c>
      <c r="G6" s="17" t="n">
        <f aca="false">IF($D6&lt;=0,0,($C6^2/8*(F6-SIN(F6)))*(($C6^2/8*(F6-SIN(F6)))/($C6*F6/2))^(2/3)*$D6^0.5/$E6)</f>
        <v>0.0124128505261663</v>
      </c>
      <c r="H6" s="17" t="n">
        <f aca="false">F6+IF(G6&lt;$B6,1,-1)*설정!$B$10/2^2</f>
        <v>1.3191508030687</v>
      </c>
      <c r="I6" s="17" t="n">
        <f aca="false">IF($D6&lt;=0,0,($C6^2/8*(H6-SIN(H6)))*(($C6^2/8*(H6-SIN(H6)))/($C6*H6/2))^(2/3)*$D6^0.5/$E6)</f>
        <v>0.00095483849805795</v>
      </c>
      <c r="J6" s="17" t="n">
        <f aca="false">H6+IF(I6&lt;$B6,1,-1)*설정!$B$10/2^3</f>
        <v>1.97872620460305</v>
      </c>
      <c r="K6" s="17" t="n">
        <f aca="false">IF($D6&lt;=0,0,($C6^2/8*(J6-SIN(J6)))*(($C6^2/8*(J6-SIN(J6)))/($C6*J6/2))^(2/3)*$D6^0.5/$E6)</f>
        <v>0.00461101252163678</v>
      </c>
      <c r="L6" s="17" t="n">
        <f aca="false">J6+IF(K6&lt;$B6,1,-1)*설정!$B$10/2^4</f>
        <v>1.64893850383588</v>
      </c>
      <c r="M6" s="17" t="n">
        <f aca="false">IF($D6&lt;=0,0,($C6^2/8*(L6-SIN(L6)))*(($C6^2/8*(L6-SIN(L6)))/($C6*L6/2))^(2/3)*$D6^0.5/$E6)</f>
        <v>0.00231352957428076</v>
      </c>
      <c r="N6" s="17" t="n">
        <f aca="false">L6+IF(M6&lt;$B6,1,-1)*설정!$B$10/2^5</f>
        <v>1.48404465345229</v>
      </c>
      <c r="O6" s="17" t="n">
        <f aca="false">IF($D6&lt;=0,0,($C6^2/8*(N6-SIN(N6)))*(($C6^2/8*(N6-SIN(N6)))/($C6*N6/2))^(2/3)*$D6^0.5/$E6)</f>
        <v>0.00153034438734657</v>
      </c>
      <c r="P6" s="17" t="n">
        <f aca="false">N6+IF(O6&lt;$B6,1,-1)*설정!$B$10/2^6</f>
        <v>1.56649157864408</v>
      </c>
      <c r="Q6" s="17" t="n">
        <f aca="false">IF($D6&lt;=0,0,($C6^2/8*(P6-SIN(P6)))*(($C6^2/8*(P6-SIN(P6)))/($C6*P6/2))^(2/3)*$D6^0.5/$E6)</f>
        <v>0.00189405232896782</v>
      </c>
      <c r="R6" s="17" t="n">
        <f aca="false">P6+IF(Q6&lt;$B6,1,-1)*설정!$B$10/2^7</f>
        <v>1.52526811604819</v>
      </c>
      <c r="S6" s="17" t="n">
        <f aca="false">IF($D6&lt;=0,0,($C6^2/8*(R6-SIN(R6)))*(($C6^2/8*(R6-SIN(R6)))/($C6*R6/2))^(2/3)*$D6^0.5/$E6)</f>
        <v>0.0017054561084461</v>
      </c>
      <c r="T6" s="17" t="n">
        <f aca="false">R6+IF(S6&lt;$B6,1,-1)*설정!$B$10/2^8</f>
        <v>1.54587984734613</v>
      </c>
      <c r="U6" s="17" t="n">
        <f aca="false">IF($D6&lt;=0,0,($C6^2/8*(T6-SIN(T6)))*(($C6^2/8*(T6-SIN(T6)))/($C6*T6/2))^(2/3)*$D6^0.5/$E6)</f>
        <v>0.00179803921154872</v>
      </c>
      <c r="V6" s="17" t="n">
        <f aca="false">T6+IF(U6&lt;$B6,1,-1)*설정!$B$10/2^9</f>
        <v>1.53557398169716</v>
      </c>
      <c r="W6" s="17" t="n">
        <f aca="false">IF($D6&lt;=0,0,($C6^2/8*(V6-SIN(V6)))*(($C6^2/8*(V6-SIN(V6)))/($C6*V6/2))^(2/3)*$D6^0.5/$E6)</f>
        <v>0.00175132253997975</v>
      </c>
      <c r="X6" s="17" t="n">
        <f aca="false">V6+IF(W6&lt;$B6,1,-1)*설정!$B$10/2^10</f>
        <v>1.54072691452165</v>
      </c>
      <c r="Y6" s="17" t="n">
        <f aca="false">IF($D6&lt;=0,0,($C6^2/8*(X6-SIN(X6)))*(($C6^2/8*(X6-SIN(X6)))/($C6*X6/2))^(2/3)*$D6^0.5/$E6)</f>
        <v>0.00177457413863954</v>
      </c>
      <c r="Z6" s="17" t="n">
        <f aca="false">X6+IF(Y6&lt;$B6,1,-1)*설정!$B$10/2^11</f>
        <v>1.54330338093389</v>
      </c>
      <c r="AA6" s="17" t="n">
        <f aca="false">IF($D6&lt;=0,0,($C6^2/8*(Z6-SIN(Z6)))*(($C6^2/8*(Z6-SIN(Z6)))/($C6*Z6/2))^(2/3)*$D6^0.5/$E6)</f>
        <v>0.00178627993394497</v>
      </c>
      <c r="AB6" s="17" t="n">
        <f aca="false">Z6+IF(AA6&lt;$B6,1,-1)*설정!$B$10/2^12</f>
        <v>1.54459161414001</v>
      </c>
      <c r="AC6" s="17" t="n">
        <f aca="false">IF($D6&lt;=0,0,($C6^2/8*(AB6-SIN(AB6)))*(($C6^2/8*(AB6-SIN(AB6)))/($C6*AB6/2))^(2/3)*$D6^0.5/$E6)</f>
        <v>0.00179215288036824</v>
      </c>
      <c r="AD6" s="17" t="n">
        <f aca="false">AB6+IF(AC6&lt;$B6,1,-1)*설정!$B$10/2^13</f>
        <v>1.54394749753695</v>
      </c>
      <c r="AE6" s="17" t="n">
        <f aca="false">IF($D6&lt;=0,0,($C6^2/8*(AD6-SIN(AD6)))*(($C6^2/8*(AD6-SIN(AD6)))/($C6*AD6/2))^(2/3)*$D6^0.5/$E6)</f>
        <v>0.00178921473494759</v>
      </c>
      <c r="AF6" s="17" t="n">
        <f aca="false">AD6+IF(AE6&lt;$B6,1,-1)*설정!$B$10/2^14</f>
        <v>1.54362543923542</v>
      </c>
      <c r="AG6" s="17" t="n">
        <f aca="false">IF($D6&lt;=0,0,($C6^2/8*(AF6-SIN(AF6)))*(($C6^2/8*(AF6-SIN(AF6)))/($C6*AF6/2))^(2/3)*$D6^0.5/$E6)</f>
        <v>0.0017877469165048</v>
      </c>
      <c r="AH6" s="17" t="n">
        <f aca="false">AF6+IF(AG6&lt;$B6,1,-1)*설정!$B$10/2^15</f>
        <v>1.54378646838619</v>
      </c>
      <c r="AI6" s="17" t="n">
        <f aca="false">IF($D6&lt;=0,0,($C6^2/8*(AH6-SIN(AH6)))*(($C6^2/8*(AH6-SIN(AH6)))/($C6*AH6/2))^(2/3)*$D6^0.5/$E6)</f>
        <v>0.00178848072122698</v>
      </c>
      <c r="AJ6" s="17" t="n">
        <f aca="false">AH6+IF(AI6&lt;$B6,1,-1)*설정!$B$10/2^16</f>
        <v>1.54386698296157</v>
      </c>
      <c r="AK6" s="17" t="n">
        <f aca="false">IF($D6&lt;=0,0,($C6^2/8*(AJ6-SIN(AJ6)))*(($C6^2/8*(AJ6-SIN(AJ6)))/($C6*AJ6/2))^(2/3)*$D6^0.5/$E6)</f>
        <v>0.00178884770196075</v>
      </c>
      <c r="AL6" s="17" t="n">
        <f aca="false">AJ6+IF(AK6&lt;$B6,1,-1)*설정!$B$10/2^17</f>
        <v>1.54390724024926</v>
      </c>
      <c r="AM6" s="17" t="n">
        <f aca="false">IF($D6&lt;=0,0,($C6^2/8*(AL6-SIN(AL6)))*(($C6^2/8*(AL6-SIN(AL6)))/($C6*AL6/2))^(2/3)*$D6^0.5/$E6)</f>
        <v>0.00178903121192232</v>
      </c>
      <c r="AN6" s="17" t="n">
        <f aca="false">AL6+IF(AM6&lt;$B6,1,-1)*설정!$B$10/2^18</f>
        <v>1.54388711160541</v>
      </c>
      <c r="AO6" s="17" t="n">
        <f aca="false">IF($D6&lt;=0,0,($C6^2/8*(AN6-SIN(AN6)))*(($C6^2/8*(AN6-SIN(AN6)))/($C6*AN6/2))^(2/3)*$D6^0.5/$E6)</f>
        <v>0.0017889394553086</v>
      </c>
      <c r="AP6" s="17" t="n">
        <f aca="false">AN6+IF(AO6&lt;$B6,1,-1)*설정!$B$10/2^19</f>
        <v>1.54389717592734</v>
      </c>
      <c r="AQ6" s="17" t="n">
        <f aca="false">IF($D6&lt;=0,0,($C6^2/8*(AP6-SIN(AP6)))*(($C6^2/8*(AP6-SIN(AP6)))/($C6*AP6/2))^(2/3)*$D6^0.5/$E6)</f>
        <v>0.00178898533320722</v>
      </c>
      <c r="AR6" s="17" t="n">
        <f aca="false">AP6+IF(AQ6&lt;$B6,1,-1)*설정!$B$10/2^20</f>
        <v>1.5439022080883</v>
      </c>
      <c r="AS6" s="17" t="n">
        <f aca="false">IF($D6&lt;=0,0,($C6^2/8*(AR6-SIN(AR6)))*(($C6^2/8*(AR6-SIN(AR6)))/($C6*AR6/2))^(2/3)*$D6^0.5/$E6)</f>
        <v>0.00178900827246271</v>
      </c>
      <c r="AT6" s="17" t="n">
        <f aca="false">AR6+IF(AS6&lt;$B6,1,-1)*설정!$B$10/2^21</f>
        <v>1.54389969200782</v>
      </c>
      <c r="AU6" s="17" t="n">
        <f aca="false">IF($D6&lt;=0,0,($C6^2/8*(AT6-SIN(AT6)))*(($C6^2/8*(AT6-SIN(AT6)))/($C6*AT6/2))^(2/3)*$D6^0.5/$E6)</f>
        <v>0.00178899680280945</v>
      </c>
      <c r="AV6" s="17" t="n">
        <f aca="false">AT6+IF(AU6&lt;$B6,1,-1)*설정!$B$10/2^22</f>
        <v>1.54390095004806</v>
      </c>
      <c r="AW6" s="17" t="n">
        <f aca="false">IF($D6&lt;=0,0,($C6^2/8*(AV6-SIN(AV6)))*(($C6^2/8*(AV6-SIN(AV6)))/($C6*AV6/2))^(2/3)*$D6^0.5/$E6)</f>
        <v>0.00178900253762971</v>
      </c>
      <c r="AX6" s="17" t="n">
        <f aca="false">AV6+IF(AW6&lt;$B6,1,-1)*설정!$B$10/2^23</f>
        <v>1.54390157906818</v>
      </c>
      <c r="AY6" s="17" t="n">
        <f aca="false">IF($D6&lt;=0,0,($C6^2/8*(AX6-SIN(AX6)))*(($C6^2/8*(AX6-SIN(AX6)))/($C6*AX6/2))^(2/3)*$D6^0.5/$E6)</f>
        <v>0.00178900540504462</v>
      </c>
      <c r="AZ6" s="17" t="n">
        <f aca="false">AX6+IF(AY6&lt;$B6,1,-1)*설정!$B$10/2^24</f>
        <v>1.54390126455812</v>
      </c>
      <c r="BA6" s="17" t="n">
        <f aca="false">IF($D6&lt;=0,0,($C6^2/8*(AZ6-SIN(AZ6)))*(($C6^2/8*(AZ6-SIN(AZ6)))/($C6*AZ6/2))^(2/3)*$D6^0.5/$E6)</f>
        <v>0.00178900397133676</v>
      </c>
      <c r="BB6" s="17" t="n">
        <f aca="false">AZ6+IF(BA6&lt;$B6,1,-1)*설정!$B$10/2^25</f>
        <v>1.54390142181315</v>
      </c>
      <c r="BC6" s="17" t="n">
        <f aca="false">IF($D6&lt;=0,0,($C6^2/8*(BB6-SIN(BB6)))*(($C6^2/8*(BB6-SIN(BB6)))/($C6*BB6/2))^(2/3)*$D6^0.5/$E6)</f>
        <v>0.00178900468819059</v>
      </c>
      <c r="BD6" s="17" t="n">
        <f aca="false">BB6+IF(BC6&lt;$B6,1,-1)*설정!$B$10/2^26</f>
        <v>1.54390134318563</v>
      </c>
      <c r="BE6" s="17" t="n">
        <f aca="false">IF($D6&lt;=0,0,($C6^2/8*(BD6-SIN(BD6)))*(($C6^2/8*(BD6-SIN(BD6)))/($C6*BD6/2))^(2/3)*$D6^0.5/$E6)</f>
        <v>0.00178900432976365</v>
      </c>
      <c r="BF6" s="17" t="n">
        <f aca="false">BD6+IF(BE6&lt;$B6,1,-1)*설정!$B$10/2^27</f>
        <v>1.54390138249939</v>
      </c>
      <c r="BG6" s="17" t="n">
        <f aca="false">IF($D6&lt;=0,0,($C6^2/8*(BF6-SIN(BF6)))*(($C6^2/8*(BF6-SIN(BF6)))/($C6*BF6/2))^(2/3)*$D6^0.5/$E6)</f>
        <v>0.00178900450897712</v>
      </c>
      <c r="BH6" s="17" t="n">
        <f aca="false">BF6+IF(BG6&lt;$B6,1,-1)*설정!$B$10/2^28</f>
        <v>1.54390140215627</v>
      </c>
      <c r="BI6" s="17" t="n">
        <f aca="false">IF($D6&lt;=0,0,($C6^2/8*(BH6-SIN(BH6)))*(($C6^2/8*(BH6-SIN(BH6)))/($C6*BH6/2))^(2/3)*$D6^0.5/$E6)</f>
        <v>0.00178900459858385</v>
      </c>
      <c r="BJ6" s="17" t="n">
        <f aca="false">BH6+IF(BI6&lt;$B6,1,-1)*설정!$B$10/2^29</f>
        <v>1.54390141198471</v>
      </c>
      <c r="BK6" s="17" t="n">
        <f aca="false">IF($D6&lt;=0,0,($C6^2/8*(BJ6-SIN(BJ6)))*(($C6^2/8*(BJ6-SIN(BJ6)))/($C6*BJ6/2))^(2/3)*$D6^0.5/$E6)</f>
        <v>0.00178900464338722</v>
      </c>
      <c r="BL6" s="17" t="n">
        <f aca="false">BJ6+IF(BK6&lt;$B6,1,-1)*설정!$B$10/2^30</f>
        <v>1.54390140707049</v>
      </c>
      <c r="BM6" s="17" t="n">
        <f aca="false">IF($D6&lt;=0,0,($C6^2/8*(BL6-SIN(BL6)))*(($C6^2/8*(BL6-SIN(BL6)))/($C6*BL6/2))^(2/3)*$D6^0.5/$E6)</f>
        <v>0.00178900462098554</v>
      </c>
      <c r="BN6" s="17" t="n">
        <f aca="false">BL6+IF(BM6&lt;$B6,1,-1)*설정!$B$10/2^31</f>
        <v>1.5439014095276</v>
      </c>
      <c r="BO6" s="17" t="n">
        <f aca="false">IF($D6&lt;=0,0,($C6^2/8*(BN6-SIN(BN6)))*(($C6^2/8*(BN6-SIN(BN6)))/($C6*BN6/2))^(2/3)*$D6^0.5/$E6)</f>
        <v>0.00178900463218638</v>
      </c>
      <c r="BP6" s="17" t="n">
        <f aca="false">BN6+IF(BO6&lt;$B6,1,-1)*설정!$B$10/2^32</f>
        <v>1.54390140829905</v>
      </c>
      <c r="BQ6" s="17" t="n">
        <f aca="false">IF($D6&lt;=0,0,($C6^2/8*(BP6-SIN(BP6)))*(($C6^2/8*(BP6-SIN(BP6)))/($C6*BP6/2))^(2/3)*$D6^0.5/$E6)</f>
        <v>0.00178900462658596</v>
      </c>
      <c r="BR6" s="17" t="n">
        <f aca="false">BP6+IF(BQ6&lt;$B6,1,-1)*설정!$B$10/2^33</f>
        <v>1.54390140891332</v>
      </c>
      <c r="BS6" s="17" t="n">
        <f aca="false">IF($D6&lt;=0,0,($C6^2/8*(BR6-SIN(BR6)))*(($C6^2/8*(BR6-SIN(BR6)))/($C6*BR6/2))^(2/3)*$D6^0.5/$E6)</f>
        <v>0.00178900462938617</v>
      </c>
      <c r="BT6" s="17" t="n">
        <f aca="false">BR6+IF(BS6&lt;$B6,1,-1)*설정!$B$10/2^34</f>
        <v>1.54390140922046</v>
      </c>
      <c r="BU6" s="17" t="n">
        <f aca="false">IF($D6&lt;=0,0,($C6^2/8*(BT6-SIN(BT6)))*(($C6^2/8*(BT6-SIN(BT6)))/($C6*BT6/2))^(2/3)*$D6^0.5/$E6)</f>
        <v>0.00178900463078627</v>
      </c>
      <c r="BV6" s="17" t="n">
        <f aca="false">BT6+IF(BU6&lt;$B6,1,-1)*설정!$B$10/2^35</f>
        <v>1.54390140906689</v>
      </c>
      <c r="BW6" s="17" t="n">
        <f aca="false">IF($D6&lt;=0,0,($C6^2/8*(BV6-SIN(BV6)))*(($C6^2/8*(BV6-SIN(BV6)))/($C6*BV6/2))^(2/3)*$D6^0.5/$E6)</f>
        <v>0.00178900463008622</v>
      </c>
      <c r="BX6" s="17" t="n">
        <f aca="false">BV6+IF(BW6&lt;$B6,1,-1)*설정!$B$10/2^36</f>
        <v>1.54390140899011</v>
      </c>
      <c r="BY6" s="17" t="n">
        <f aca="false">IF($D6&lt;=0,0,($C6^2/8*(BX6-SIN(BX6)))*(($C6^2/8*(BX6-SIN(BX6)))/($C6*BX6/2))^(2/3)*$D6^0.5/$E6)</f>
        <v>0.0017890046297362</v>
      </c>
      <c r="BZ6" s="17" t="n">
        <f aca="false">BX6+IF(BY6&lt;$B6,1,-1)*설정!$B$10/2^37</f>
        <v>1.54390140895172</v>
      </c>
      <c r="CA6" s="17" t="n">
        <f aca="false">IF($D6&lt;=0,0,($C6^2/8*(BZ6-SIN(BZ6)))*(($C6^2/8*(BZ6-SIN(BZ6)))/($C6*BZ6/2))^(2/3)*$D6^0.5/$E6)</f>
        <v>0.00178900462956118</v>
      </c>
      <c r="CB6" s="17" t="n">
        <f aca="false">BZ6+IF(CA6&lt;$B6,1,-1)*설정!$B$10/2^38</f>
        <v>1.54390140897091</v>
      </c>
      <c r="CC6" s="17" t="n">
        <f aca="false">IF($D6&lt;=0,0,($C6^2/8*(CB6-SIN(CB6)))*(($C6^2/8*(CB6-SIN(CB6)))/($C6*CB6/2))^(2/3)*$D6^0.5/$E6)</f>
        <v>0.00178900462964869</v>
      </c>
      <c r="CD6" s="17" t="n">
        <f aca="false">CB6+IF(CC6&lt;$B6,1,-1)*설정!$B$10/2^39</f>
        <v>1.54390140896131</v>
      </c>
      <c r="CE6" s="17" t="n">
        <f aca="false">IF($D6&lt;=0,0,($C6^2/8*(CD6-SIN(CD6)))*(($C6^2/8*(CD6-SIN(CD6)))/($C6*CD6/2))^(2/3)*$D6^0.5/$E6)</f>
        <v>0.00178900462960494</v>
      </c>
      <c r="CF6" s="17" t="n">
        <f aca="false">CD6+IF(CE6&lt;$B6,1,-1)*설정!$B$10/2^40</f>
        <v>1.54390140896611</v>
      </c>
      <c r="CG6" s="17" t="n">
        <f aca="false">IF($D6&lt;=0,0,($C6^2/8*(CF6-SIN(CF6)))*(($C6^2/8*(CF6-SIN(CF6)))/($C6*CF6/2))^(2/3)*$D6^0.5/$E6)</f>
        <v>0.00178900462962681</v>
      </c>
      <c r="CH6" s="17" t="n">
        <f aca="false">CF6+IF(CG6&lt;$B6,1,-1)*설정!$B$10/2^41</f>
        <v>1.54390140896851</v>
      </c>
    </row>
    <row r="7" customFormat="false" ht="15" hidden="false" customHeight="false" outlineLevel="0" collapsed="false">
      <c r="A7" s="14" t="str">
        <f aca="false">계산!A7</f>
        <v>BC-03</v>
      </c>
      <c r="B7" s="15" t="n">
        <f aca="false">계산!E7</f>
        <v>0.00178900462962963</v>
      </c>
      <c r="C7" s="14" t="n">
        <f aca="false">입력!E7/1000</f>
        <v>0.2</v>
      </c>
      <c r="D7" s="14" t="n">
        <f aca="false">(입력!F7-입력!G7)/입력!D7</f>
        <v>0.0192</v>
      </c>
      <c r="E7" s="14" t="n">
        <f aca="false">입력!J7</f>
        <v>0.011</v>
      </c>
      <c r="F7" s="16" t="n">
        <f aca="false">설정!$B$10/2</f>
        <v>2.6383016061374</v>
      </c>
      <c r="G7" s="17" t="n">
        <f aca="false">IF($D7&lt;=0,0,($C7^2/8*(F7-SIN(F7)))*(($C7^2/8*(F7-SIN(F7)))/($C7*F7/2))^(2/3)*$D7^0.5/$E7)</f>
        <v>0.0161090420211074</v>
      </c>
      <c r="H7" s="17" t="n">
        <f aca="false">F7+IF(G7&lt;$B7,1,-1)*설정!$B$10/2^2</f>
        <v>1.3191508030687</v>
      </c>
      <c r="I7" s="17" t="n">
        <f aca="false">IF($D7&lt;=0,0,($C7^2/8*(H7-SIN(H7)))*(($C7^2/8*(H7-SIN(H7)))/($C7*H7/2))^(2/3)*$D7^0.5/$E7)</f>
        <v>0.00123916206484259</v>
      </c>
      <c r="J7" s="17" t="n">
        <f aca="false">H7+IF(I7&lt;$B7,1,-1)*설정!$B$10/2^3</f>
        <v>1.97872620460305</v>
      </c>
      <c r="K7" s="17" t="n">
        <f aca="false">IF($D7&lt;=0,0,($C7^2/8*(J7-SIN(J7)))*(($C7^2/8*(J7-SIN(J7)))/($C7*J7/2))^(2/3)*$D7^0.5/$E7)</f>
        <v>0.00598404003289328</v>
      </c>
      <c r="L7" s="17" t="n">
        <f aca="false">J7+IF(K7&lt;$B7,1,-1)*설정!$B$10/2^4</f>
        <v>1.64893850383588</v>
      </c>
      <c r="M7" s="17" t="n">
        <f aca="false">IF($D7&lt;=0,0,($C7^2/8*(L7-SIN(L7)))*(($C7^2/8*(L7-SIN(L7)))/($C7*L7/2))^(2/3)*$D7^0.5/$E7)</f>
        <v>0.00300243244294299</v>
      </c>
      <c r="N7" s="17" t="n">
        <f aca="false">L7+IF(M7&lt;$B7,1,-1)*설정!$B$10/2^5</f>
        <v>1.48404465345229</v>
      </c>
      <c r="O7" s="17" t="n">
        <f aca="false">IF($D7&lt;=0,0,($C7^2/8*(N7-SIN(N7)))*(($C7^2/8*(N7-SIN(N7)))/($C7*N7/2))^(2/3)*$D7^0.5/$E7)</f>
        <v>0.00198603713067877</v>
      </c>
      <c r="P7" s="17" t="n">
        <f aca="false">N7+IF(O7&lt;$B7,1,-1)*설정!$B$10/2^6</f>
        <v>1.4015977282605</v>
      </c>
      <c r="Q7" s="17" t="n">
        <f aca="false">IF($D7&lt;=0,0,($C7^2/8*(P7-SIN(P7)))*(($C7^2/8*(P7-SIN(P7)))/($C7*P7/2))^(2/3)*$D7^0.5/$E7)</f>
        <v>0.00158149707608466</v>
      </c>
      <c r="R7" s="17" t="n">
        <f aca="false">P7+IF(Q7&lt;$B7,1,-1)*설정!$B$10/2^7</f>
        <v>1.44282119085639</v>
      </c>
      <c r="S7" s="17" t="n">
        <f aca="false">IF($D7&lt;=0,0,($C7^2/8*(R7-SIN(R7)))*(($C7^2/8*(R7-SIN(R7)))/($C7*R7/2))^(2/3)*$D7^0.5/$E7)</f>
        <v>0.00177565518561841</v>
      </c>
      <c r="T7" s="17" t="n">
        <f aca="false">R7+IF(S7&lt;$B7,1,-1)*설정!$B$10/2^8</f>
        <v>1.46343292215434</v>
      </c>
      <c r="U7" s="17" t="n">
        <f aca="false">IF($D7&lt;=0,0,($C7^2/8*(T7-SIN(T7)))*(($C7^2/8*(T7-SIN(T7)))/($C7*T7/2))^(2/3)*$D7^0.5/$E7)</f>
        <v>0.00187877711426245</v>
      </c>
      <c r="V7" s="17" t="n">
        <f aca="false">T7+IF(U7&lt;$B7,1,-1)*설정!$B$10/2^9</f>
        <v>1.45312705650537</v>
      </c>
      <c r="W7" s="17" t="n">
        <f aca="false">IF($D7&lt;=0,0,($C7^2/8*(V7-SIN(V7)))*(($C7^2/8*(V7-SIN(V7)))/($C7*V7/2))^(2/3)*$D7^0.5/$E7)</f>
        <v>0.00182670397367926</v>
      </c>
      <c r="X7" s="17" t="n">
        <f aca="false">V7+IF(W7&lt;$B7,1,-1)*설정!$B$10/2^10</f>
        <v>1.44797412368088</v>
      </c>
      <c r="Y7" s="17" t="n">
        <f aca="false">IF($D7&lt;=0,0,($C7^2/8*(X7-SIN(X7)))*(($C7^2/8*(X7-SIN(X7)))/($C7*X7/2))^(2/3)*$D7^0.5/$E7)</f>
        <v>0.00180105217555251</v>
      </c>
      <c r="Z7" s="17" t="n">
        <f aca="false">X7+IF(Y7&lt;$B7,1,-1)*설정!$B$10/2^11</f>
        <v>1.44539765726864</v>
      </c>
      <c r="AA7" s="17" t="n">
        <f aca="false">IF($D7&lt;=0,0,($C7^2/8*(Z7-SIN(Z7)))*(($C7^2/8*(Z7-SIN(Z7)))/($C7*Z7/2))^(2/3)*$D7^0.5/$E7)</f>
        <v>0.00178832190982346</v>
      </c>
      <c r="AB7" s="17" t="n">
        <f aca="false">Z7+IF(AA7&lt;$B7,1,-1)*설정!$B$10/2^12</f>
        <v>1.44668589047476</v>
      </c>
      <c r="AC7" s="17" t="n">
        <f aca="false">IF($D7&lt;=0,0,($C7^2/8*(AB7-SIN(AB7)))*(($C7^2/8*(AB7-SIN(AB7)))/($C7*AB7/2))^(2/3)*$D7^0.5/$E7)</f>
        <v>0.001794679089953</v>
      </c>
      <c r="AD7" s="17" t="n">
        <f aca="false">AB7+IF(AC7&lt;$B7,1,-1)*설정!$B$10/2^13</f>
        <v>1.4460417738717</v>
      </c>
      <c r="AE7" s="17" t="n">
        <f aca="false">IF($D7&lt;=0,0,($C7^2/8*(AD7-SIN(AD7)))*(($C7^2/8*(AD7-SIN(AD7)))/($C7*AD7/2))^(2/3)*$D7^0.5/$E7)</f>
        <v>0.00179149851295932</v>
      </c>
      <c r="AF7" s="17" t="n">
        <f aca="false">AD7+IF(AE7&lt;$B7,1,-1)*설정!$B$10/2^14</f>
        <v>1.44571971557017</v>
      </c>
      <c r="AG7" s="17" t="n">
        <f aca="false">IF($D7&lt;=0,0,($C7^2/8*(AF7-SIN(AF7)))*(($C7^2/8*(AF7-SIN(AF7)))/($C7*AF7/2))^(2/3)*$D7^0.5/$E7)</f>
        <v>0.00178990971481608</v>
      </c>
      <c r="AH7" s="17" t="n">
        <f aca="false">AF7+IF(AG7&lt;$B7,1,-1)*설정!$B$10/2^15</f>
        <v>1.4455586864194</v>
      </c>
      <c r="AI7" s="17" t="n">
        <f aca="false">IF($D7&lt;=0,0,($C7^2/8*(AH7-SIN(AH7)))*(($C7^2/8*(AH7-SIN(AH7)))/($C7*AH7/2))^(2/3)*$D7^0.5/$E7)</f>
        <v>0.00178911568819556</v>
      </c>
      <c r="AJ7" s="17" t="n">
        <f aca="false">AH7+IF(AI7&lt;$B7,1,-1)*설정!$B$10/2^16</f>
        <v>1.44547817184402</v>
      </c>
      <c r="AK7" s="17" t="n">
        <f aca="false">IF($D7&lt;=0,0,($C7^2/8*(AJ7-SIN(AJ7)))*(($C7^2/8*(AJ7-SIN(AJ7)))/($C7*AJ7/2))^(2/3)*$D7^0.5/$E7)</f>
        <v>0.00178871876798091</v>
      </c>
      <c r="AL7" s="17" t="n">
        <f aca="false">AJ7+IF(AK7&lt;$B7,1,-1)*설정!$B$10/2^17</f>
        <v>1.44551842913171</v>
      </c>
      <c r="AM7" s="17" t="n">
        <f aca="false">IF($D7&lt;=0,0,($C7^2/8*(AL7-SIN(AL7)))*(($C7^2/8*(AL7-SIN(AL7)))/($C7*AL7/2))^(2/3)*$D7^0.5/$E7)</f>
        <v>0.00178891722033078</v>
      </c>
      <c r="AN7" s="17" t="n">
        <f aca="false">AL7+IF(AM7&lt;$B7,1,-1)*설정!$B$10/2^18</f>
        <v>1.44553855777556</v>
      </c>
      <c r="AO7" s="17" t="n">
        <f aca="false">IF($D7&lt;=0,0,($C7^2/8*(AN7-SIN(AN7)))*(($C7^2/8*(AN7-SIN(AN7)))/($C7*AN7/2))^(2/3)*$D7^0.5/$E7)</f>
        <v>0.00178901645232377</v>
      </c>
      <c r="AP7" s="17" t="n">
        <f aca="false">AN7+IF(AO7&lt;$B7,1,-1)*설정!$B$10/2^19</f>
        <v>1.44552849345363</v>
      </c>
      <c r="AQ7" s="17" t="n">
        <f aca="false">IF($D7&lt;=0,0,($C7^2/8*(AP7-SIN(AP7)))*(($C7^2/8*(AP7-SIN(AP7)))/($C7*AP7/2))^(2/3)*$D7^0.5/$E7)</f>
        <v>0.00178896683584243</v>
      </c>
      <c r="AR7" s="17" t="n">
        <f aca="false">AP7+IF(AQ7&lt;$B7,1,-1)*설정!$B$10/2^20</f>
        <v>1.44553352561459</v>
      </c>
      <c r="AS7" s="17" t="n">
        <f aca="false">IF($D7&lt;=0,0,($C7^2/8*(AR7-SIN(AR7)))*(($C7^2/8*(AR7-SIN(AR7)))/($C7*AR7/2))^(2/3)*$D7^0.5/$E7)</f>
        <v>0.00178899164396189</v>
      </c>
      <c r="AT7" s="17" t="n">
        <f aca="false">AR7+IF(AS7&lt;$B7,1,-1)*설정!$B$10/2^21</f>
        <v>1.44553604169507</v>
      </c>
      <c r="AU7" s="17" t="n">
        <f aca="false">IF($D7&lt;=0,0,($C7^2/8*(AT7-SIN(AT7)))*(($C7^2/8*(AT7-SIN(AT7)))/($C7*AT7/2))^(2/3)*$D7^0.5/$E7)</f>
        <v>0.00178900404811253</v>
      </c>
      <c r="AV7" s="17" t="n">
        <f aca="false">AT7+IF(AU7&lt;$B7,1,-1)*설정!$B$10/2^22</f>
        <v>1.44553729973532</v>
      </c>
      <c r="AW7" s="17" t="n">
        <f aca="false">IF($D7&lt;=0,0,($C7^2/8*(AV7-SIN(AV7)))*(($C7^2/8*(AV7-SIN(AV7)))/($C7*AV7/2))^(2/3)*$D7^0.5/$E7)</f>
        <v>0.00178901025021057</v>
      </c>
      <c r="AX7" s="17" t="n">
        <f aca="false">AV7+IF(AW7&lt;$B7,1,-1)*설정!$B$10/2^23</f>
        <v>1.44553667071519</v>
      </c>
      <c r="AY7" s="17" t="n">
        <f aca="false">IF($D7&lt;=0,0,($C7^2/8*(AX7-SIN(AX7)))*(($C7^2/8*(AX7-SIN(AX7)))/($C7*AX7/2))^(2/3)*$D7^0.5/$E7)</f>
        <v>0.00178900714915966</v>
      </c>
      <c r="AZ7" s="17" t="n">
        <f aca="false">AX7+IF(AY7&lt;$B7,1,-1)*설정!$B$10/2^24</f>
        <v>1.44553635620513</v>
      </c>
      <c r="BA7" s="17" t="n">
        <f aca="false">IF($D7&lt;=0,0,($C7^2/8*(AZ7-SIN(AZ7)))*(($C7^2/8*(AZ7-SIN(AZ7)))/($C7*AZ7/2))^(2/3)*$D7^0.5/$E7)</f>
        <v>0.00178900559863562</v>
      </c>
      <c r="BB7" s="17" t="n">
        <f aca="false">AZ7+IF(BA7&lt;$B7,1,-1)*설정!$B$10/2^25</f>
        <v>1.4455361989501</v>
      </c>
      <c r="BC7" s="17" t="n">
        <f aca="false">IF($D7&lt;=0,0,($C7^2/8*(BB7-SIN(BB7)))*(($C7^2/8*(BB7-SIN(BB7)))/($C7*BB7/2))^(2/3)*$D7^0.5/$E7)</f>
        <v>0.00178900482337395</v>
      </c>
      <c r="BD7" s="17" t="n">
        <f aca="false">BB7+IF(BC7&lt;$B7,1,-1)*설정!$B$10/2^26</f>
        <v>1.44553612032259</v>
      </c>
      <c r="BE7" s="17" t="n">
        <f aca="false">IF($D7&lt;=0,0,($C7^2/8*(BD7-SIN(BD7)))*(($C7^2/8*(BD7-SIN(BD7)))/($C7*BD7/2))^(2/3)*$D7^0.5/$E7)</f>
        <v>0.00178900443574321</v>
      </c>
      <c r="BF7" s="17" t="n">
        <f aca="false">BD7+IF(BE7&lt;$B7,1,-1)*설정!$B$10/2^27</f>
        <v>1.44553615963635</v>
      </c>
      <c r="BG7" s="17" t="n">
        <f aca="false">IF($D7&lt;=0,0,($C7^2/8*(BF7-SIN(BF7)))*(($C7^2/8*(BF7-SIN(BF7)))/($C7*BF7/2))^(2/3)*$D7^0.5/$E7)</f>
        <v>0.00178900462955858</v>
      </c>
      <c r="BH7" s="17" t="n">
        <f aca="false">BF7+IF(BG7&lt;$B7,1,-1)*설정!$B$10/2^28</f>
        <v>1.44553617929323</v>
      </c>
      <c r="BI7" s="17" t="n">
        <f aca="false">IF($D7&lt;=0,0,($C7^2/8*(BH7-SIN(BH7)))*(($C7^2/8*(BH7-SIN(BH7)))/($C7*BH7/2))^(2/3)*$D7^0.5/$E7)</f>
        <v>0.00178900472646626</v>
      </c>
      <c r="BJ7" s="17" t="n">
        <f aca="false">BH7+IF(BI7&lt;$B7,1,-1)*설정!$B$10/2^29</f>
        <v>1.44553616946479</v>
      </c>
      <c r="BK7" s="17" t="n">
        <f aca="false">IF($D7&lt;=0,0,($C7^2/8*(BJ7-SIN(BJ7)))*(($C7^2/8*(BJ7-SIN(BJ7)))/($C7*BJ7/2))^(2/3)*$D7^0.5/$E7)</f>
        <v>0.00178900467801242</v>
      </c>
      <c r="BL7" s="17" t="n">
        <f aca="false">BJ7+IF(BK7&lt;$B7,1,-1)*설정!$B$10/2^30</f>
        <v>1.44553616455057</v>
      </c>
      <c r="BM7" s="17" t="n">
        <f aca="false">IF($D7&lt;=0,0,($C7^2/8*(BL7-SIN(BL7)))*(($C7^2/8*(BL7-SIN(BL7)))/($C7*BL7/2))^(2/3)*$D7^0.5/$E7)</f>
        <v>0.0017890046537855</v>
      </c>
      <c r="BN7" s="17" t="n">
        <f aca="false">BL7+IF(BM7&lt;$B7,1,-1)*설정!$B$10/2^31</f>
        <v>1.44553616209346</v>
      </c>
      <c r="BO7" s="17" t="n">
        <f aca="false">IF($D7&lt;=0,0,($C7^2/8*(BN7-SIN(BN7)))*(($C7^2/8*(BN7-SIN(BN7)))/($C7*BN7/2))^(2/3)*$D7^0.5/$E7)</f>
        <v>0.00178900464167204</v>
      </c>
      <c r="BP7" s="17" t="n">
        <f aca="false">BN7+IF(BO7&lt;$B7,1,-1)*설정!$B$10/2^32</f>
        <v>1.4455361608649</v>
      </c>
      <c r="BQ7" s="17" t="n">
        <f aca="false">IF($D7&lt;=0,0,($C7^2/8*(BP7-SIN(BP7)))*(($C7^2/8*(BP7-SIN(BP7)))/($C7*BP7/2))^(2/3)*$D7^0.5/$E7)</f>
        <v>0.00178900463561531</v>
      </c>
      <c r="BR7" s="17" t="n">
        <f aca="false">BP7+IF(BQ7&lt;$B7,1,-1)*설정!$B$10/2^33</f>
        <v>1.44553616025063</v>
      </c>
      <c r="BS7" s="17" t="n">
        <f aca="false">IF($D7&lt;=0,0,($C7^2/8*(BR7-SIN(BR7)))*(($C7^2/8*(BR7-SIN(BR7)))/($C7*BR7/2))^(2/3)*$D7^0.5/$E7)</f>
        <v>0.00178900463258694</v>
      </c>
      <c r="BT7" s="17" t="n">
        <f aca="false">BR7+IF(BS7&lt;$B7,1,-1)*설정!$B$10/2^34</f>
        <v>1.44553615994349</v>
      </c>
      <c r="BU7" s="17" t="n">
        <f aca="false">IF($D7&lt;=0,0,($C7^2/8*(BT7-SIN(BT7)))*(($C7^2/8*(BT7-SIN(BT7)))/($C7*BT7/2))^(2/3)*$D7^0.5/$E7)</f>
        <v>0.00178900463107276</v>
      </c>
      <c r="BV7" s="17" t="n">
        <f aca="false">BT7+IF(BU7&lt;$B7,1,-1)*설정!$B$10/2^35</f>
        <v>1.44553615978992</v>
      </c>
      <c r="BW7" s="17" t="n">
        <f aca="false">IF($D7&lt;=0,0,($C7^2/8*(BV7-SIN(BV7)))*(($C7^2/8*(BV7-SIN(BV7)))/($C7*BV7/2))^(2/3)*$D7^0.5/$E7)</f>
        <v>0.00178900463031567</v>
      </c>
      <c r="BX7" s="17" t="n">
        <f aca="false">BV7+IF(BW7&lt;$B7,1,-1)*설정!$B$10/2^36</f>
        <v>1.44553615971313</v>
      </c>
      <c r="BY7" s="17" t="n">
        <f aca="false">IF($D7&lt;=0,0,($C7^2/8*(BX7-SIN(BX7)))*(($C7^2/8*(BX7-SIN(BX7)))/($C7*BX7/2))^(2/3)*$D7^0.5/$E7)</f>
        <v>0.00178900462993712</v>
      </c>
      <c r="BZ7" s="17" t="n">
        <f aca="false">BX7+IF(BY7&lt;$B7,1,-1)*설정!$B$10/2^37</f>
        <v>1.44553615967474</v>
      </c>
      <c r="CA7" s="17" t="n">
        <f aca="false">IF($D7&lt;=0,0,($C7^2/8*(BZ7-SIN(BZ7)))*(($C7^2/8*(BZ7-SIN(BZ7)))/($C7*BZ7/2))^(2/3)*$D7^0.5/$E7)</f>
        <v>0.00178900462974785</v>
      </c>
      <c r="CB7" s="17" t="n">
        <f aca="false">BZ7+IF(CA7&lt;$B7,1,-1)*설정!$B$10/2^38</f>
        <v>1.44553615965554</v>
      </c>
      <c r="CC7" s="17" t="n">
        <f aca="false">IF($D7&lt;=0,0,($C7^2/8*(CB7-SIN(CB7)))*(($C7^2/8*(CB7-SIN(CB7)))/($C7*CB7/2))^(2/3)*$D7^0.5/$E7)</f>
        <v>0.00178900462965321</v>
      </c>
      <c r="CD7" s="17" t="n">
        <f aca="false">CB7+IF(CC7&lt;$B7,1,-1)*설정!$B$10/2^39</f>
        <v>1.44553615964595</v>
      </c>
      <c r="CE7" s="17" t="n">
        <f aca="false">IF($D7&lt;=0,0,($C7^2/8*(CD7-SIN(CD7)))*(($C7^2/8*(CD7-SIN(CD7)))/($C7*CD7/2))^(2/3)*$D7^0.5/$E7)</f>
        <v>0.00178900462960589</v>
      </c>
      <c r="CF7" s="17" t="n">
        <f aca="false">CD7+IF(CE7&lt;$B7,1,-1)*설정!$B$10/2^40</f>
        <v>1.44553615965074</v>
      </c>
      <c r="CG7" s="17" t="n">
        <f aca="false">IF($D7&lt;=0,0,($C7^2/8*(CF7-SIN(CF7)))*(($C7^2/8*(CF7-SIN(CF7)))/($C7*CF7/2))^(2/3)*$D7^0.5/$E7)</f>
        <v>0.00178900462962955</v>
      </c>
      <c r="CH7" s="17" t="n">
        <f aca="false">CF7+IF(CG7&lt;$B7,1,-1)*설정!$B$10/2^41</f>
        <v>1.44553615965314</v>
      </c>
    </row>
    <row r="8" customFormat="false" ht="15" hidden="false" customHeight="false" outlineLevel="0" collapsed="false">
      <c r="A8" s="14" t="str">
        <f aca="false">계산!A8</f>
        <v>BC-04</v>
      </c>
      <c r="B8" s="15" t="n">
        <f aca="false">계산!E8</f>
        <v>0.00178900462962963</v>
      </c>
      <c r="C8" s="14" t="n">
        <f aca="false">입력!E8/1000</f>
        <v>0.2</v>
      </c>
      <c r="D8" s="14" t="n">
        <f aca="false">(입력!F8-입력!G8)/입력!D8</f>
        <v>0.0242</v>
      </c>
      <c r="E8" s="14" t="n">
        <f aca="false">입력!J8</f>
        <v>0.011</v>
      </c>
      <c r="F8" s="16" t="n">
        <f aca="false">설정!$B$10/2</f>
        <v>2.6383016061374</v>
      </c>
      <c r="G8" s="17" t="n">
        <f aca="false">IF($D8&lt;=0,0,($C8^2/8*(F8-SIN(F8)))*(($C8^2/8*(F8-SIN(F8)))/($C8*F8/2))^(2/3)*$D8^0.5/$E8)</f>
        <v>0.018085344381851</v>
      </c>
      <c r="H8" s="17" t="n">
        <f aca="false">F8+IF(G8&lt;$B8,1,-1)*설정!$B$10/2^2</f>
        <v>1.3191508030687</v>
      </c>
      <c r="I8" s="17" t="n">
        <f aca="false">IF($D8&lt;=0,0,($C8^2/8*(H8-SIN(H8)))*(($C8^2/8*(H8-SIN(H8)))/($C8*H8/2))^(2/3)*$D8^0.5/$E8)</f>
        <v>0.00139118593509406</v>
      </c>
      <c r="J8" s="17" t="n">
        <f aca="false">H8+IF(I8&lt;$B8,1,-1)*설정!$B$10/2^3</f>
        <v>1.97872620460305</v>
      </c>
      <c r="K8" s="17" t="n">
        <f aca="false">IF($D8&lt;=0,0,($C8^2/8*(J8-SIN(J8)))*(($C8^2/8*(J8-SIN(J8)))/($C8*J8/2))^(2/3)*$D8^0.5/$E8)</f>
        <v>0.006718178812114</v>
      </c>
      <c r="L8" s="17" t="n">
        <f aca="false">J8+IF(K8&lt;$B8,1,-1)*설정!$B$10/2^4</f>
        <v>1.64893850383588</v>
      </c>
      <c r="M8" s="17" t="n">
        <f aca="false">IF($D8&lt;=0,0,($C8^2/8*(L8-SIN(L8)))*(($C8^2/8*(L8-SIN(L8)))/($C8*L8/2))^(2/3)*$D8^0.5/$E8)</f>
        <v>0.00337077925817797</v>
      </c>
      <c r="N8" s="17" t="n">
        <f aca="false">L8+IF(M8&lt;$B8,1,-1)*설정!$B$10/2^5</f>
        <v>1.48404465345229</v>
      </c>
      <c r="O8" s="17" t="n">
        <f aca="false">IF($D8&lt;=0,0,($C8^2/8*(N8-SIN(N8)))*(($C8^2/8*(N8-SIN(N8)))/($C8*N8/2))^(2/3)*$D8^0.5/$E8)</f>
        <v>0.00222968972434275</v>
      </c>
      <c r="P8" s="17" t="n">
        <f aca="false">N8+IF(O8&lt;$B8,1,-1)*설정!$B$10/2^6</f>
        <v>1.4015977282605</v>
      </c>
      <c r="Q8" s="17" t="n">
        <f aca="false">IF($D8&lt;=0,0,($C8^2/8*(P8-SIN(P8)))*(($C8^2/8*(P8-SIN(P8)))/($C8*P8/2))^(2/3)*$D8^0.5/$E8)</f>
        <v>0.0017755195636342</v>
      </c>
      <c r="R8" s="17" t="n">
        <f aca="false">P8+IF(Q8&lt;$B8,1,-1)*설정!$B$10/2^7</f>
        <v>1.44282119085639</v>
      </c>
      <c r="S8" s="17" t="n">
        <f aca="false">IF($D8&lt;=0,0,($C8^2/8*(R8-SIN(R8)))*(($C8^2/8*(R8-SIN(R8)))/($C8*R8/2))^(2/3)*$D8^0.5/$E8)</f>
        <v>0.00199349753345052</v>
      </c>
      <c r="T8" s="17" t="n">
        <f aca="false">R8+IF(S8&lt;$B8,1,-1)*설정!$B$10/2^8</f>
        <v>1.42220945955844</v>
      </c>
      <c r="U8" s="17" t="n">
        <f aca="false">IF($D8&lt;=0,0,($C8^2/8*(T8-SIN(T8)))*(($C8^2/8*(T8-SIN(T8)))/($C8*T8/2))^(2/3)*$D8^0.5/$E8)</f>
        <v>0.00188227821240451</v>
      </c>
      <c r="V8" s="17" t="n">
        <f aca="false">T8+IF(U8&lt;$B8,1,-1)*설정!$B$10/2^9</f>
        <v>1.41190359390947</v>
      </c>
      <c r="W8" s="17" t="n">
        <f aca="false">IF($D8&lt;=0,0,($C8^2/8*(V8-SIN(V8)))*(($C8^2/8*(V8-SIN(V8)))/($C8*V8/2))^(2/3)*$D8^0.5/$E8)</f>
        <v>0.00182834718035927</v>
      </c>
      <c r="X8" s="17" t="n">
        <f aca="false">V8+IF(W8&lt;$B8,1,-1)*설정!$B$10/2^10</f>
        <v>1.40675066108498</v>
      </c>
      <c r="Y8" s="17" t="n">
        <f aca="false">IF($D8&lt;=0,0,($C8^2/8*(X8-SIN(X8)))*(($C8^2/8*(X8-SIN(X8)))/($C8*X8/2))^(2/3)*$D8^0.5/$E8)</f>
        <v>0.00180179618379566</v>
      </c>
      <c r="Z8" s="17" t="n">
        <f aca="false">X8+IF(Y8&lt;$B8,1,-1)*설정!$B$10/2^11</f>
        <v>1.40417419467274</v>
      </c>
      <c r="AA8" s="17" t="n">
        <f aca="false">IF($D8&lt;=0,0,($C8^2/8*(Z8-SIN(Z8)))*(($C8^2/8*(Z8-SIN(Z8)))/($C8*Z8/2))^(2/3)*$D8^0.5/$E8)</f>
        <v>0.0017886236692555</v>
      </c>
      <c r="AB8" s="17" t="n">
        <f aca="false">Z8+IF(AA8&lt;$B8,1,-1)*설정!$B$10/2^12</f>
        <v>1.40546242787886</v>
      </c>
      <c r="AC8" s="17" t="n">
        <f aca="false">IF($D8&lt;=0,0,($C8^2/8*(AB8-SIN(AB8)))*(($C8^2/8*(AB8-SIN(AB8)))/($C8*AB8/2))^(2/3)*$D8^0.5/$E8)</f>
        <v>0.00179520136382581</v>
      </c>
      <c r="AD8" s="17" t="n">
        <f aca="false">AB8+IF(AC8&lt;$B8,1,-1)*설정!$B$10/2^13</f>
        <v>1.4048183112758</v>
      </c>
      <c r="AE8" s="17" t="n">
        <f aca="false">IF($D8&lt;=0,0,($C8^2/8*(AD8-SIN(AD8)))*(($C8^2/8*(AD8-SIN(AD8)))/($C8*AD8/2))^(2/3)*$D8^0.5/$E8)</f>
        <v>0.00179191037731314</v>
      </c>
      <c r="AF8" s="17" t="n">
        <f aca="false">AD8+IF(AE8&lt;$B8,1,-1)*설정!$B$10/2^14</f>
        <v>1.40449625297427</v>
      </c>
      <c r="AG8" s="17" t="n">
        <f aca="false">IF($D8&lt;=0,0,($C8^2/8*(AF8-SIN(AF8)))*(($C8^2/8*(AF8-SIN(AF8)))/($C8*AF8/2))^(2/3)*$D8^0.5/$E8)</f>
        <v>0.00179026648865843</v>
      </c>
      <c r="AH8" s="17" t="n">
        <f aca="false">AF8+IF(AG8&lt;$B8,1,-1)*설정!$B$10/2^15</f>
        <v>1.4043352238235</v>
      </c>
      <c r="AI8" s="17" t="n">
        <f aca="false">IF($D8&lt;=0,0,($C8^2/8*(AH8-SIN(AH8)))*(($C8^2/8*(AH8-SIN(AH8)))/($C8*AH8/2))^(2/3)*$D8^0.5/$E8)</f>
        <v>0.00178944494532312</v>
      </c>
      <c r="AJ8" s="17" t="n">
        <f aca="false">AH8+IF(AI8&lt;$B8,1,-1)*설정!$B$10/2^16</f>
        <v>1.40425470924812</v>
      </c>
      <c r="AK8" s="17" t="n">
        <f aca="false">IF($D8&lt;=0,0,($C8^2/8*(AJ8-SIN(AJ8)))*(($C8^2/8*(AJ8-SIN(AJ8)))/($C8*AJ8/2))^(2/3)*$D8^0.5/$E8)</f>
        <v>0.00178903427388368</v>
      </c>
      <c r="AL8" s="17" t="n">
        <f aca="false">AJ8+IF(AK8&lt;$B8,1,-1)*설정!$B$10/2^17</f>
        <v>1.40421445196043</v>
      </c>
      <c r="AM8" s="17" t="n">
        <f aca="false">IF($D8&lt;=0,0,($C8^2/8*(AL8-SIN(AL8)))*(($C8^2/8*(AL8-SIN(AL8)))/($C8*AL8/2))^(2/3)*$D8^0.5/$E8)</f>
        <v>0.00178882896321854</v>
      </c>
      <c r="AN8" s="17" t="n">
        <f aca="false">AL8+IF(AM8&lt;$B8,1,-1)*설정!$B$10/2^18</f>
        <v>1.40423458060428</v>
      </c>
      <c r="AO8" s="17" t="n">
        <f aca="false">IF($D8&lt;=0,0,($C8^2/8*(AN8-SIN(AN8)))*(($C8^2/8*(AN8-SIN(AN8)))/($C8*AN8/2))^(2/3)*$D8^0.5/$E8)</f>
        <v>0.0017889316164633</v>
      </c>
      <c r="AP8" s="17" t="n">
        <f aca="false">AN8+IF(AO8&lt;$B8,1,-1)*설정!$B$10/2^19</f>
        <v>1.4042446449262</v>
      </c>
      <c r="AQ8" s="17" t="n">
        <f aca="false">IF($D8&lt;=0,0,($C8^2/8*(AP8-SIN(AP8)))*(($C8^2/8*(AP8-SIN(AP8)))/($C8*AP8/2))^(2/3)*$D8^0.5/$E8)</f>
        <v>0.00178898294465153</v>
      </c>
      <c r="AR8" s="17" t="n">
        <f aca="false">AP8+IF(AQ8&lt;$B8,1,-1)*설정!$B$10/2^20</f>
        <v>1.40424967708716</v>
      </c>
      <c r="AS8" s="17" t="n">
        <f aca="false">IF($D8&lt;=0,0,($C8^2/8*(AR8-SIN(AR8)))*(($C8^2/8*(AR8-SIN(AR8)))/($C8*AR8/2))^(2/3)*$D8^0.5/$E8)</f>
        <v>0.00178900860913712</v>
      </c>
      <c r="AT8" s="17" t="n">
        <f aca="false">AR8+IF(AS8&lt;$B8,1,-1)*설정!$B$10/2^21</f>
        <v>1.40424716100668</v>
      </c>
      <c r="AU8" s="17" t="n">
        <f aca="false">IF($D8&lt;=0,0,($C8^2/8*(AT8-SIN(AT8)))*(($C8^2/8*(AT8-SIN(AT8)))/($C8*AT8/2))^(2/3)*$D8^0.5/$E8)</f>
        <v>0.0017889957768617</v>
      </c>
      <c r="AV8" s="17" t="n">
        <f aca="false">AT8+IF(AU8&lt;$B8,1,-1)*설정!$B$10/2^22</f>
        <v>1.40424841904692</v>
      </c>
      <c r="AW8" s="17" t="n">
        <f aca="false">IF($D8&lt;=0,0,($C8^2/8*(AV8-SIN(AV8)))*(($C8^2/8*(AV8-SIN(AV8)))/($C8*AV8/2))^(2/3)*$D8^0.5/$E8)</f>
        <v>0.00178900219299125</v>
      </c>
      <c r="AX8" s="17" t="n">
        <f aca="false">AV8+IF(AW8&lt;$B8,1,-1)*설정!$B$10/2^23</f>
        <v>1.40424904806704</v>
      </c>
      <c r="AY8" s="17" t="n">
        <f aca="false">IF($D8&lt;=0,0,($C8^2/8*(AX8-SIN(AX8)))*(($C8^2/8*(AX8-SIN(AX8)))/($C8*AX8/2))^(2/3)*$D8^0.5/$E8)</f>
        <v>0.00178900540106215</v>
      </c>
      <c r="AZ8" s="17" t="n">
        <f aca="false">AX8+IF(AY8&lt;$B8,1,-1)*설정!$B$10/2^24</f>
        <v>1.40424873355698</v>
      </c>
      <c r="BA8" s="17" t="n">
        <f aca="false">IF($D8&lt;=0,0,($C8^2/8*(AZ8-SIN(AZ8)))*(($C8^2/8*(AZ8-SIN(AZ8)))/($C8*AZ8/2))^(2/3)*$D8^0.5/$E8)</f>
        <v>0.00178900379702619</v>
      </c>
      <c r="BB8" s="17" t="n">
        <f aca="false">AZ8+IF(BA8&lt;$B8,1,-1)*설정!$B$10/2^25</f>
        <v>1.40424889081201</v>
      </c>
      <c r="BC8" s="17" t="n">
        <f aca="false">IF($D8&lt;=0,0,($C8^2/8*(BB8-SIN(BB8)))*(($C8^2/8*(BB8-SIN(BB8)))/($C8*BB8/2))^(2/3)*$D8^0.5/$E8)</f>
        <v>0.00178900459904404</v>
      </c>
      <c r="BD8" s="17" t="n">
        <f aca="false">BB8+IF(BC8&lt;$B8,1,-1)*설정!$B$10/2^26</f>
        <v>1.40424896943953</v>
      </c>
      <c r="BE8" s="17" t="n">
        <f aca="false">IF($D8&lt;=0,0,($C8^2/8*(BD8-SIN(BD8)))*(($C8^2/8*(BD8-SIN(BD8)))/($C8*BD8/2))^(2/3)*$D8^0.5/$E8)</f>
        <v>0.00178900500005306</v>
      </c>
      <c r="BF8" s="17" t="n">
        <f aca="false">BD8+IF(BE8&lt;$B8,1,-1)*설정!$B$10/2^27</f>
        <v>1.40424893012577</v>
      </c>
      <c r="BG8" s="17" t="n">
        <f aca="false">IF($D8&lt;=0,0,($C8^2/8*(BF8-SIN(BF8)))*(($C8^2/8*(BF8-SIN(BF8)))/($C8*BF8/2))^(2/3)*$D8^0.5/$E8)</f>
        <v>0.00178900479954854</v>
      </c>
      <c r="BH8" s="17" t="n">
        <f aca="false">BF8+IF(BG8&lt;$B8,1,-1)*설정!$B$10/2^28</f>
        <v>1.40424891046889</v>
      </c>
      <c r="BI8" s="17" t="n">
        <f aca="false">IF($D8&lt;=0,0,($C8^2/8*(BH8-SIN(BH8)))*(($C8^2/8*(BH8-SIN(BH8)))/($C8*BH8/2))^(2/3)*$D8^0.5/$E8)</f>
        <v>0.00178900469929629</v>
      </c>
      <c r="BJ8" s="17" t="n">
        <f aca="false">BH8+IF(BI8&lt;$B8,1,-1)*설정!$B$10/2^29</f>
        <v>1.40424890064045</v>
      </c>
      <c r="BK8" s="17" t="n">
        <f aca="false">IF($D8&lt;=0,0,($C8^2/8*(BJ8-SIN(BJ8)))*(($C8^2/8*(BJ8-SIN(BJ8)))/($C8*BJ8/2))^(2/3)*$D8^0.5/$E8)</f>
        <v>0.00178900464917017</v>
      </c>
      <c r="BL8" s="17" t="n">
        <f aca="false">BJ8+IF(BK8&lt;$B8,1,-1)*설정!$B$10/2^30</f>
        <v>1.40424889572623</v>
      </c>
      <c r="BM8" s="17" t="n">
        <f aca="false">IF($D8&lt;=0,0,($C8^2/8*(BL8-SIN(BL8)))*(($C8^2/8*(BL8-SIN(BL8)))/($C8*BL8/2))^(2/3)*$D8^0.5/$E8)</f>
        <v>0.0017890046241071</v>
      </c>
      <c r="BN8" s="17" t="n">
        <f aca="false">BL8+IF(BM8&lt;$B8,1,-1)*설정!$B$10/2^31</f>
        <v>1.40424889818334</v>
      </c>
      <c r="BO8" s="17" t="n">
        <f aca="false">IF($D8&lt;=0,0,($C8^2/8*(BN8-SIN(BN8)))*(($C8^2/8*(BN8-SIN(BN8)))/($C8*BN8/2))^(2/3)*$D8^0.5/$E8)</f>
        <v>0.00178900463663864</v>
      </c>
      <c r="BP8" s="17" t="n">
        <f aca="false">BN8+IF(BO8&lt;$B8,1,-1)*설정!$B$10/2^32</f>
        <v>1.40424889695478</v>
      </c>
      <c r="BQ8" s="17" t="n">
        <f aca="false">IF($D8&lt;=0,0,($C8^2/8*(BP8-SIN(BP8)))*(($C8^2/8*(BP8-SIN(BP8)))/($C8*BP8/2))^(2/3)*$D8^0.5/$E8)</f>
        <v>0.00178900463037287</v>
      </c>
      <c r="BR8" s="17" t="n">
        <f aca="false">BP8+IF(BQ8&lt;$B8,1,-1)*설정!$B$10/2^33</f>
        <v>1.40424889634051</v>
      </c>
      <c r="BS8" s="17" t="n">
        <f aca="false">IF($D8&lt;=0,0,($C8^2/8*(BR8-SIN(BR8)))*(($C8^2/8*(BR8-SIN(BR8)))/($C8*BR8/2))^(2/3)*$D8^0.5/$E8)</f>
        <v>0.00178900462723999</v>
      </c>
      <c r="BT8" s="17" t="n">
        <f aca="false">BR8+IF(BS8&lt;$B8,1,-1)*설정!$B$10/2^34</f>
        <v>1.40424889664765</v>
      </c>
      <c r="BU8" s="17" t="n">
        <f aca="false">IF($D8&lt;=0,0,($C8^2/8*(BT8-SIN(BT8)))*(($C8^2/8*(BT8-SIN(BT8)))/($C8*BT8/2))^(2/3)*$D8^0.5/$E8)</f>
        <v>0.00178900462880643</v>
      </c>
      <c r="BV8" s="17" t="n">
        <f aca="false">BT8+IF(BU8&lt;$B8,1,-1)*설정!$B$10/2^35</f>
        <v>1.40424889680122</v>
      </c>
      <c r="BW8" s="17" t="n">
        <f aca="false">IF($D8&lt;=0,0,($C8^2/8*(BV8-SIN(BV8)))*(($C8^2/8*(BV8-SIN(BV8)))/($C8*BV8/2))^(2/3)*$D8^0.5/$E8)</f>
        <v>0.00178900462958965</v>
      </c>
      <c r="BX8" s="17" t="n">
        <f aca="false">BV8+IF(BW8&lt;$B8,1,-1)*설정!$B$10/2^36</f>
        <v>1.404248896878</v>
      </c>
      <c r="BY8" s="17" t="n">
        <f aca="false">IF($D8&lt;=0,0,($C8^2/8*(BX8-SIN(BX8)))*(($C8^2/8*(BX8-SIN(BX8)))/($C8*BX8/2))^(2/3)*$D8^0.5/$E8)</f>
        <v>0.00178900462998126</v>
      </c>
      <c r="BZ8" s="17" t="n">
        <f aca="false">BX8+IF(BY8&lt;$B8,1,-1)*설정!$B$10/2^37</f>
        <v>1.40424889683961</v>
      </c>
      <c r="CA8" s="17" t="n">
        <f aca="false">IF($D8&lt;=0,0,($C8^2/8*(BZ8-SIN(BZ8)))*(($C8^2/8*(BZ8-SIN(BZ8)))/($C8*BZ8/2))^(2/3)*$D8^0.5/$E8)</f>
        <v>0.00178900462978545</v>
      </c>
      <c r="CB8" s="17" t="n">
        <f aca="false">BZ8+IF(CA8&lt;$B8,1,-1)*설정!$B$10/2^38</f>
        <v>1.40424889682041</v>
      </c>
      <c r="CC8" s="17" t="n">
        <f aca="false">IF($D8&lt;=0,0,($C8^2/8*(CB8-SIN(CB8)))*(($C8^2/8*(CB8-SIN(CB8)))/($C8*CB8/2))^(2/3)*$D8^0.5/$E8)</f>
        <v>0.00178900462968755</v>
      </c>
      <c r="CD8" s="17" t="n">
        <f aca="false">CB8+IF(CC8&lt;$B8,1,-1)*설정!$B$10/2^39</f>
        <v>1.40424889681081</v>
      </c>
      <c r="CE8" s="17" t="n">
        <f aca="false">IF($D8&lt;=0,0,($C8^2/8*(CD8-SIN(CD8)))*(($C8^2/8*(CD8-SIN(CD8)))/($C8*CD8/2))^(2/3)*$D8^0.5/$E8)</f>
        <v>0.0017890046296386</v>
      </c>
      <c r="CF8" s="17" t="n">
        <f aca="false">CD8+IF(CE8&lt;$B8,1,-1)*설정!$B$10/2^40</f>
        <v>1.40424889680601</v>
      </c>
      <c r="CG8" s="17" t="n">
        <f aca="false">IF($D8&lt;=0,0,($C8^2/8*(CF8-SIN(CF8)))*(($C8^2/8*(CF8-SIN(CF8)))/($C8*CF8/2))^(2/3)*$D8^0.5/$E8)</f>
        <v>0.00178900462961412</v>
      </c>
      <c r="CH8" s="17" t="n">
        <f aca="false">CF8+IF(CG8&lt;$B8,1,-1)*설정!$B$10/2^41</f>
        <v>1.40424889680841</v>
      </c>
    </row>
    <row r="9" customFormat="false" ht="15" hidden="false" customHeight="false" outlineLevel="0" collapsed="false">
      <c r="A9" s="14" t="str">
        <f aca="false">계산!A9</f>
        <v>BC-05</v>
      </c>
      <c r="B9" s="15" t="n">
        <f aca="false">계산!E9</f>
        <v>0.00178900462962963</v>
      </c>
      <c r="C9" s="14" t="n">
        <f aca="false">입력!E9/1000</f>
        <v>0.2</v>
      </c>
      <c r="D9" s="14" t="n">
        <f aca="false">(입력!F9-입력!G9)/입력!D9</f>
        <v>0.0253999999999999</v>
      </c>
      <c r="E9" s="14" t="n">
        <f aca="false">입력!J9</f>
        <v>0.011</v>
      </c>
      <c r="F9" s="16" t="n">
        <f aca="false">설정!$B$10/2</f>
        <v>2.6383016061374</v>
      </c>
      <c r="G9" s="17" t="n">
        <f aca="false">IF($D9&lt;=0,0,($C9^2/8*(F9-SIN(F9)))*(($C9^2/8*(F9-SIN(F9)))/($C9*F9/2))^(2/3)*$D9^0.5/$E9)</f>
        <v>0.0185283163991635</v>
      </c>
      <c r="H9" s="17" t="n">
        <f aca="false">F9+IF(G9&lt;$B9,1,-1)*설정!$B$10/2^2</f>
        <v>1.3191508030687</v>
      </c>
      <c r="I9" s="17" t="n">
        <f aca="false">IF($D9&lt;=0,0,($C9^2/8*(H9-SIN(H9)))*(($C9^2/8*(H9-SIN(H9)))/($C9*H9/2))^(2/3)*$D9^0.5/$E9)</f>
        <v>0.00142526084277145</v>
      </c>
      <c r="J9" s="17" t="n">
        <f aca="false">H9+IF(I9&lt;$B9,1,-1)*설정!$B$10/2^3</f>
        <v>1.97872620460305</v>
      </c>
      <c r="K9" s="17" t="n">
        <f aca="false">IF($D9&lt;=0,0,($C9^2/8*(J9-SIN(J9)))*(($C9^2/8*(J9-SIN(J9)))/($C9*J9/2))^(2/3)*$D9^0.5/$E9)</f>
        <v>0.0068827300176777</v>
      </c>
      <c r="L9" s="17" t="n">
        <f aca="false">J9+IF(K9&lt;$B9,1,-1)*설정!$B$10/2^4</f>
        <v>1.64893850383588</v>
      </c>
      <c r="M9" s="17" t="n">
        <f aca="false">IF($D9&lt;=0,0,($C9^2/8*(L9-SIN(L9)))*(($C9^2/8*(L9-SIN(L9)))/($C9*L9/2))^(2/3)*$D9^0.5/$E9)</f>
        <v>0.00345334118547025</v>
      </c>
      <c r="N9" s="17" t="n">
        <f aca="false">L9+IF(M9&lt;$B9,1,-1)*설정!$B$10/2^5</f>
        <v>1.48404465345229</v>
      </c>
      <c r="O9" s="17" t="n">
        <f aca="false">IF($D9&lt;=0,0,($C9^2/8*(N9-SIN(N9)))*(($C9^2/8*(N9-SIN(N9)))/($C9*N9/2))^(2/3)*$D9^0.5/$E9)</f>
        <v>0.00228430246128152</v>
      </c>
      <c r="P9" s="17" t="n">
        <f aca="false">N9+IF(O9&lt;$B9,1,-1)*설정!$B$10/2^6</f>
        <v>1.4015977282605</v>
      </c>
      <c r="Q9" s="17" t="n">
        <f aca="false">IF($D9&lt;=0,0,($C9^2/8*(P9-SIN(P9)))*(($C9^2/8*(P9-SIN(P9)))/($C9*P9/2))^(2/3)*$D9^0.5/$E9)</f>
        <v>0.001819008118028</v>
      </c>
      <c r="R9" s="17" t="n">
        <f aca="false">P9+IF(Q9&lt;$B9,1,-1)*설정!$B$10/2^7</f>
        <v>1.3603742656646</v>
      </c>
      <c r="S9" s="17" t="n">
        <f aca="false">IF($D9&lt;=0,0,($C9^2/8*(R9-SIN(R9)))*(($C9^2/8*(R9-SIN(R9)))/($C9*R9/2))^(2/3)*$D9^0.5/$E9)</f>
        <v>0.00161358254401152</v>
      </c>
      <c r="T9" s="17" t="n">
        <f aca="false">R9+IF(S9&lt;$B9,1,-1)*설정!$B$10/2^8</f>
        <v>1.38098599696255</v>
      </c>
      <c r="U9" s="17" t="n">
        <f aca="false">IF($D9&lt;=0,0,($C9^2/8*(T9-SIN(T9)))*(($C9^2/8*(T9-SIN(T9)))/($C9*T9/2))^(2/3)*$D9^0.5/$E9)</f>
        <v>0.00171410773107144</v>
      </c>
      <c r="V9" s="17" t="n">
        <f aca="false">T9+IF(U9&lt;$B9,1,-1)*설정!$B$10/2^9</f>
        <v>1.39129186261152</v>
      </c>
      <c r="W9" s="17" t="n">
        <f aca="false">IF($D9&lt;=0,0,($C9^2/8*(V9-SIN(V9)))*(($C9^2/8*(V9-SIN(V9)))/($C9*V9/2))^(2/3)*$D9^0.5/$E9)</f>
        <v>0.0017660048769304</v>
      </c>
      <c r="X9" s="17" t="n">
        <f aca="false">V9+IF(W9&lt;$B9,1,-1)*설정!$B$10/2^10</f>
        <v>1.39644479543601</v>
      </c>
      <c r="Y9" s="17" t="n">
        <f aca="false">IF($D9&lt;=0,0,($C9^2/8*(X9-SIN(X9)))*(($C9^2/8*(X9-SIN(X9)))/($C9*X9/2))^(2/3)*$D9^0.5/$E9)</f>
        <v>0.00179236747080861</v>
      </c>
      <c r="Z9" s="17" t="n">
        <f aca="false">X9+IF(Y9&lt;$B9,1,-1)*설정!$B$10/2^11</f>
        <v>1.39386832902376</v>
      </c>
      <c r="AA9" s="17" t="n">
        <f aca="false">IF($D9&lt;=0,0,($C9^2/8*(Z9-SIN(Z9)))*(($C9^2/8*(Z9-SIN(Z9)))/($C9*Z9/2))^(2/3)*$D9^0.5/$E9)</f>
        <v>0.00177915151262729</v>
      </c>
      <c r="AB9" s="17" t="n">
        <f aca="false">Z9+IF(AA9&lt;$B9,1,-1)*설정!$B$10/2^12</f>
        <v>1.39515656222989</v>
      </c>
      <c r="AC9" s="17" t="n">
        <f aca="false">IF($D9&lt;=0,0,($C9^2/8*(AB9-SIN(AB9)))*(($C9^2/8*(AB9-SIN(AB9)))/($C9*AB9/2))^(2/3)*$D9^0.5/$E9)</f>
        <v>0.00178575081446843</v>
      </c>
      <c r="AD9" s="17" t="n">
        <f aca="false">AB9+IF(AC9&lt;$B9,1,-1)*설정!$B$10/2^13</f>
        <v>1.39580067883295</v>
      </c>
      <c r="AE9" s="17" t="n">
        <f aca="false">IF($D9&lt;=0,0,($C9^2/8*(AD9-SIN(AD9)))*(($C9^2/8*(AD9-SIN(AD9)))/($C9*AD9/2))^(2/3)*$D9^0.5/$E9)</f>
        <v>0.00178905697183471</v>
      </c>
      <c r="AF9" s="17" t="n">
        <f aca="false">AD9+IF(AE9&lt;$B9,1,-1)*설정!$B$10/2^14</f>
        <v>1.39547862053142</v>
      </c>
      <c r="AG9" s="17" t="n">
        <f aca="false">IF($D9&lt;=0,0,($C9^2/8*(AF9-SIN(AF9)))*(($C9^2/8*(AF9-SIN(AF9)))/($C9*AF9/2))^(2/3)*$D9^0.5/$E9)</f>
        <v>0.001787403350637</v>
      </c>
      <c r="AH9" s="17" t="n">
        <f aca="false">AF9+IF(AG9&lt;$B9,1,-1)*설정!$B$10/2^15</f>
        <v>1.39563964968218</v>
      </c>
      <c r="AI9" s="17" t="n">
        <f aca="false">IF($D9&lt;=0,0,($C9^2/8*(AH9-SIN(AH9)))*(($C9^2/8*(AH9-SIN(AH9)))/($C9*AH9/2))^(2/3)*$D9^0.5/$E9)</f>
        <v>0.00178823002558391</v>
      </c>
      <c r="AJ9" s="17" t="n">
        <f aca="false">AH9+IF(AI9&lt;$B9,1,-1)*설정!$B$10/2^16</f>
        <v>1.39572016425756</v>
      </c>
      <c r="AK9" s="17" t="n">
        <f aca="false">IF($D9&lt;=0,0,($C9^2/8*(AJ9-SIN(AJ9)))*(($C9^2/8*(AJ9-SIN(AJ9)))/($C9*AJ9/2))^(2/3)*$D9^0.5/$E9)</f>
        <v>0.00178864346479341</v>
      </c>
      <c r="AL9" s="17" t="n">
        <f aca="false">AJ9+IF(AK9&lt;$B9,1,-1)*설정!$B$10/2^17</f>
        <v>1.39576042154526</v>
      </c>
      <c r="AM9" s="17" t="n">
        <f aca="false">IF($D9&lt;=0,0,($C9^2/8*(AL9-SIN(AL9)))*(($C9^2/8*(AL9-SIN(AL9)))/($C9*AL9/2))^(2/3)*$D9^0.5/$E9)</f>
        <v>0.00178885020983472</v>
      </c>
      <c r="AN9" s="17" t="n">
        <f aca="false">AL9+IF(AM9&lt;$B9,1,-1)*설정!$B$10/2^18</f>
        <v>1.3957805501891</v>
      </c>
      <c r="AO9" s="17" t="n">
        <f aca="false">IF($D9&lt;=0,0,($C9^2/8*(AN9-SIN(AN9)))*(($C9^2/8*(AN9-SIN(AN9)))/($C9*AN9/2))^(2/3)*$D9^0.5/$E9)</f>
        <v>0.00178895358871483</v>
      </c>
      <c r="AP9" s="17" t="n">
        <f aca="false">AN9+IF(AO9&lt;$B9,1,-1)*설정!$B$10/2^19</f>
        <v>1.39579061451102</v>
      </c>
      <c r="AQ9" s="17" t="n">
        <f aca="false">IF($D9&lt;=0,0,($C9^2/8*(AP9-SIN(AP9)))*(($C9^2/8*(AP9-SIN(AP9)))/($C9*AP9/2))^(2/3)*$D9^0.5/$E9)</f>
        <v>0.00178900527974479</v>
      </c>
      <c r="AR9" s="17" t="n">
        <f aca="false">AP9+IF(AQ9&lt;$B9,1,-1)*설정!$B$10/2^20</f>
        <v>1.39578558235006</v>
      </c>
      <c r="AS9" s="17" t="n">
        <f aca="false">IF($D9&lt;=0,0,($C9^2/8*(AR9-SIN(AR9)))*(($C9^2/8*(AR9-SIN(AR9)))/($C9*AR9/2))^(2/3)*$D9^0.5/$E9)</f>
        <v>0.00178897943409732</v>
      </c>
      <c r="AT9" s="17" t="n">
        <f aca="false">AR9+IF(AS9&lt;$B9,1,-1)*설정!$B$10/2^21</f>
        <v>1.39578809843054</v>
      </c>
      <c r="AU9" s="17" t="n">
        <f aca="false">IF($D9&lt;=0,0,($C9^2/8*(AT9-SIN(AT9)))*(($C9^2/8*(AT9-SIN(AT9)))/($C9*AT9/2))^(2/3)*$D9^0.5/$E9)</f>
        <v>0.00178899235688793</v>
      </c>
      <c r="AV9" s="17" t="n">
        <f aca="false">AT9+IF(AU9&lt;$B9,1,-1)*설정!$B$10/2^22</f>
        <v>1.39578935647078</v>
      </c>
      <c r="AW9" s="17" t="n">
        <f aca="false">IF($D9&lt;=0,0,($C9^2/8*(AV9-SIN(AV9)))*(($C9^2/8*(AV9-SIN(AV9)))/($C9*AV9/2))^(2/3)*$D9^0.5/$E9)</f>
        <v>0.00178899881830808</v>
      </c>
      <c r="AX9" s="17" t="n">
        <f aca="false">AV9+IF(AW9&lt;$B9,1,-1)*설정!$B$10/2^23</f>
        <v>1.3957899854909</v>
      </c>
      <c r="AY9" s="17" t="n">
        <f aca="false">IF($D9&lt;=0,0,($C9^2/8*(AX9-SIN(AX9)))*(($C9^2/8*(AX9-SIN(AX9)))/($C9*AX9/2))^(2/3)*$D9^0.5/$E9)</f>
        <v>0.00178900204902437</v>
      </c>
      <c r="AZ9" s="17" t="n">
        <f aca="false">AX9+IF(AY9&lt;$B9,1,-1)*설정!$B$10/2^24</f>
        <v>1.39579030000096</v>
      </c>
      <c r="BA9" s="17" t="n">
        <f aca="false">IF($D9&lt;=0,0,($C9^2/8*(AZ9-SIN(AZ9)))*(($C9^2/8*(AZ9-SIN(AZ9)))/($C9*AZ9/2))^(2/3)*$D9^0.5/$E9)</f>
        <v>0.00178900366438406</v>
      </c>
      <c r="BB9" s="17" t="n">
        <f aca="false">AZ9+IF(BA9&lt;$B9,1,-1)*설정!$B$10/2^25</f>
        <v>1.39579045725599</v>
      </c>
      <c r="BC9" s="17" t="n">
        <f aca="false">IF($D9&lt;=0,0,($C9^2/8*(BB9-SIN(BB9)))*(($C9^2/8*(BB9-SIN(BB9)))/($C9*BB9/2))^(2/3)*$D9^0.5/$E9)</f>
        <v>0.0017890044720643</v>
      </c>
      <c r="BD9" s="17" t="n">
        <f aca="false">BB9+IF(BC9&lt;$B9,1,-1)*설정!$B$10/2^26</f>
        <v>1.39579053588351</v>
      </c>
      <c r="BE9" s="17" t="n">
        <f aca="false">IF($D9&lt;=0,0,($C9^2/8*(BD9-SIN(BD9)))*(($C9^2/8*(BD9-SIN(BD9)))/($C9*BD9/2))^(2/3)*$D9^0.5/$E9)</f>
        <v>0.00178900487590451</v>
      </c>
      <c r="BF9" s="17" t="n">
        <f aca="false">BD9+IF(BE9&lt;$B9,1,-1)*설정!$B$10/2^27</f>
        <v>1.39579049656975</v>
      </c>
      <c r="BG9" s="17" t="n">
        <f aca="false">IF($D9&lt;=0,0,($C9^2/8*(BF9-SIN(BF9)))*(($C9^2/8*(BF9-SIN(BF9)))/($C9*BF9/2))^(2/3)*$D9^0.5/$E9)</f>
        <v>0.0017890046739844</v>
      </c>
      <c r="BH9" s="17" t="n">
        <f aca="false">BF9+IF(BG9&lt;$B9,1,-1)*설정!$B$10/2^28</f>
        <v>1.39579047691287</v>
      </c>
      <c r="BI9" s="17" t="n">
        <f aca="false">IF($D9&lt;=0,0,($C9^2/8*(BH9-SIN(BH9)))*(($C9^2/8*(BH9-SIN(BH9)))/($C9*BH9/2))^(2/3)*$D9^0.5/$E9)</f>
        <v>0.00178900457302435</v>
      </c>
      <c r="BJ9" s="17" t="n">
        <f aca="false">BH9+IF(BI9&lt;$B9,1,-1)*설정!$B$10/2^29</f>
        <v>1.39579048674131</v>
      </c>
      <c r="BK9" s="17" t="n">
        <f aca="false">IF($D9&lt;=0,0,($C9^2/8*(BJ9-SIN(BJ9)))*(($C9^2/8*(BJ9-SIN(BJ9)))/($C9*BJ9/2))^(2/3)*$D9^0.5/$E9)</f>
        <v>0.00178900462350437</v>
      </c>
      <c r="BL9" s="17" t="n">
        <f aca="false">BJ9+IF(BK9&lt;$B9,1,-1)*설정!$B$10/2^30</f>
        <v>1.39579049165553</v>
      </c>
      <c r="BM9" s="17" t="n">
        <f aca="false">IF($D9&lt;=0,0,($C9^2/8*(BL9-SIN(BL9)))*(($C9^2/8*(BL9-SIN(BL9)))/($C9*BL9/2))^(2/3)*$D9^0.5/$E9)</f>
        <v>0.00178900464874438</v>
      </c>
      <c r="BN9" s="17" t="n">
        <f aca="false">BL9+IF(BM9&lt;$B9,1,-1)*설정!$B$10/2^31</f>
        <v>1.39579048919842</v>
      </c>
      <c r="BO9" s="17" t="n">
        <f aca="false">IF($D9&lt;=0,0,($C9^2/8*(BN9-SIN(BN9)))*(($C9^2/8*(BN9-SIN(BN9)))/($C9*BN9/2))^(2/3)*$D9^0.5/$E9)</f>
        <v>0.00178900463612438</v>
      </c>
      <c r="BP9" s="17" t="n">
        <f aca="false">BN9+IF(BO9&lt;$B9,1,-1)*설정!$B$10/2^32</f>
        <v>1.39579048796987</v>
      </c>
      <c r="BQ9" s="17" t="n">
        <f aca="false">IF($D9&lt;=0,0,($C9^2/8*(BP9-SIN(BP9)))*(($C9^2/8*(BP9-SIN(BP9)))/($C9*BP9/2))^(2/3)*$D9^0.5/$E9)</f>
        <v>0.00178900462981437</v>
      </c>
      <c r="BR9" s="17" t="n">
        <f aca="false">BP9+IF(BQ9&lt;$B9,1,-1)*설정!$B$10/2^33</f>
        <v>1.39579048735559</v>
      </c>
      <c r="BS9" s="17" t="n">
        <f aca="false">IF($D9&lt;=0,0,($C9^2/8*(BR9-SIN(BR9)))*(($C9^2/8*(BR9-SIN(BR9)))/($C9*BR9/2))^(2/3)*$D9^0.5/$E9)</f>
        <v>0.00178900462665937</v>
      </c>
      <c r="BT9" s="17" t="n">
        <f aca="false">BR9+IF(BS9&lt;$B9,1,-1)*설정!$B$10/2^34</f>
        <v>1.39579048766273</v>
      </c>
      <c r="BU9" s="17" t="n">
        <f aca="false">IF($D9&lt;=0,0,($C9^2/8*(BT9-SIN(BT9)))*(($C9^2/8*(BT9-SIN(BT9)))/($C9*BT9/2))^(2/3)*$D9^0.5/$E9)</f>
        <v>0.00178900462823687</v>
      </c>
      <c r="BV9" s="17" t="n">
        <f aca="false">BT9+IF(BU9&lt;$B9,1,-1)*설정!$B$10/2^35</f>
        <v>1.3957904878163</v>
      </c>
      <c r="BW9" s="17" t="n">
        <f aca="false">IF($D9&lt;=0,0,($C9^2/8*(BV9-SIN(BV9)))*(($C9^2/8*(BV9-SIN(BV9)))/($C9*BV9/2))^(2/3)*$D9^0.5/$E9)</f>
        <v>0.00178900462902562</v>
      </c>
      <c r="BX9" s="17" t="n">
        <f aca="false">BV9+IF(BW9&lt;$B9,1,-1)*설정!$B$10/2^36</f>
        <v>1.39579048789308</v>
      </c>
      <c r="BY9" s="17" t="n">
        <f aca="false">IF($D9&lt;=0,0,($C9^2/8*(BX9-SIN(BX9)))*(($C9^2/8*(BX9-SIN(BX9)))/($C9*BX9/2))^(2/3)*$D9^0.5/$E9)</f>
        <v>0.00178900462942</v>
      </c>
      <c r="BZ9" s="17" t="n">
        <f aca="false">BX9+IF(BY9&lt;$B9,1,-1)*설정!$B$10/2^37</f>
        <v>1.39579048793147</v>
      </c>
      <c r="CA9" s="17" t="n">
        <f aca="false">IF($D9&lt;=0,0,($C9^2/8*(BZ9-SIN(BZ9)))*(($C9^2/8*(BZ9-SIN(BZ9)))/($C9*BZ9/2))^(2/3)*$D9^0.5/$E9)</f>
        <v>0.00178900462961719</v>
      </c>
      <c r="CB9" s="17" t="n">
        <f aca="false">BZ9+IF(CA9&lt;$B9,1,-1)*설정!$B$10/2^38</f>
        <v>1.39579048795067</v>
      </c>
      <c r="CC9" s="17" t="n">
        <f aca="false">IF($D9&lt;=0,0,($C9^2/8*(CB9-SIN(CB9)))*(($C9^2/8*(CB9-SIN(CB9)))/($C9*CB9/2))^(2/3)*$D9^0.5/$E9)</f>
        <v>0.00178900462971578</v>
      </c>
      <c r="CD9" s="17" t="n">
        <f aca="false">CB9+IF(CC9&lt;$B9,1,-1)*설정!$B$10/2^39</f>
        <v>1.39579048794107</v>
      </c>
      <c r="CE9" s="17" t="n">
        <f aca="false">IF($D9&lt;=0,0,($C9^2/8*(CD9-SIN(CD9)))*(($C9^2/8*(CD9-SIN(CD9)))/($C9*CD9/2))^(2/3)*$D9^0.5/$E9)</f>
        <v>0.00178900462966648</v>
      </c>
      <c r="CF9" s="17" t="n">
        <f aca="false">CD9+IF(CE9&lt;$B9,1,-1)*설정!$B$10/2^40</f>
        <v>1.39579048793627</v>
      </c>
      <c r="CG9" s="17" t="n">
        <f aca="false">IF($D9&lt;=0,0,($C9^2/8*(CF9-SIN(CF9)))*(($C9^2/8*(CF9-SIN(CF9)))/($C9*CF9/2))^(2/3)*$D9^0.5/$E9)</f>
        <v>0.00178900462964184</v>
      </c>
      <c r="CH9" s="17" t="n">
        <f aca="false">CF9+IF(CG9&lt;$B9,1,-1)*설정!$B$10/2^41</f>
        <v>1.39579048793387</v>
      </c>
    </row>
    <row r="10" customFormat="false" ht="15" hidden="false" customHeight="false" outlineLevel="0" collapsed="false">
      <c r="A10" s="14" t="str">
        <f aca="false">계산!A10</f>
        <v>BC-06</v>
      </c>
      <c r="B10" s="15" t="n">
        <f aca="false">계산!E10</f>
        <v>0.00178900462962963</v>
      </c>
      <c r="C10" s="14" t="n">
        <f aca="false">입력!E10/1000</f>
        <v>0.2</v>
      </c>
      <c r="D10" s="14" t="n">
        <f aca="false">(입력!F10-입력!G10)/입력!D10</f>
        <v>0.0106</v>
      </c>
      <c r="E10" s="14" t="n">
        <f aca="false">입력!J10</f>
        <v>0.011</v>
      </c>
      <c r="F10" s="16" t="n">
        <f aca="false">설정!$B$10/2</f>
        <v>2.6383016061374</v>
      </c>
      <c r="G10" s="17" t="n">
        <f aca="false">IF($D10&lt;=0,0,($C10^2/8*(F10-SIN(F10)))*(($C10^2/8*(F10-SIN(F10)))/($C10*F10/2))^(2/3)*$D10^0.5/$E10)</f>
        <v>0.0119693904077598</v>
      </c>
      <c r="H10" s="17" t="n">
        <f aca="false">F10+IF(G10&lt;$B10,1,-1)*설정!$B$10/2^2</f>
        <v>1.3191508030687</v>
      </c>
      <c r="I10" s="17" t="n">
        <f aca="false">IF($D10&lt;=0,0,($C10^2/8*(H10-SIN(H10)))*(($C10^2/8*(H10-SIN(H10)))/($C10*H10/2))^(2/3)*$D10^0.5/$E10)</f>
        <v>0.000920726043991474</v>
      </c>
      <c r="J10" s="17" t="n">
        <f aca="false">H10+IF(I10&lt;$B10,1,-1)*설정!$B$10/2^3</f>
        <v>1.97872620460305</v>
      </c>
      <c r="K10" s="17" t="n">
        <f aca="false">IF($D10&lt;=0,0,($C10^2/8*(J10-SIN(J10)))*(($C10^2/8*(J10-SIN(J10)))/($C10*J10/2))^(2/3)*$D10^0.5/$E10)</f>
        <v>0.00444628000072964</v>
      </c>
      <c r="L10" s="17" t="n">
        <f aca="false">J10+IF(K10&lt;$B10,1,-1)*설정!$B$10/2^4</f>
        <v>1.64893850383588</v>
      </c>
      <c r="M10" s="17" t="n">
        <f aca="false">IF($D10&lt;=0,0,($C10^2/8*(L10-SIN(L10)))*(($C10^2/8*(L10-SIN(L10)))/($C10*L10/2))^(2/3)*$D10^0.5/$E10)</f>
        <v>0.0022308766738221</v>
      </c>
      <c r="N10" s="17" t="n">
        <f aca="false">L10+IF(M10&lt;$B10,1,-1)*설정!$B$10/2^5</f>
        <v>1.48404465345229</v>
      </c>
      <c r="O10" s="17" t="n">
        <f aca="false">IF($D10&lt;=0,0,($C10^2/8*(N10-SIN(N10)))*(($C10^2/8*(N10-SIN(N10)))/($C10*N10/2))^(2/3)*$D10^0.5/$E10)</f>
        <v>0.00147567147383771</v>
      </c>
      <c r="P10" s="17" t="n">
        <f aca="false">N10+IF(O10&lt;$B10,1,-1)*설정!$B$10/2^6</f>
        <v>1.56649157864408</v>
      </c>
      <c r="Q10" s="17" t="n">
        <f aca="false">IF($D10&lt;=0,0,($C10^2/8*(P10-SIN(P10)))*(($C10^2/8*(P10-SIN(P10)))/($C10*P10/2))^(2/3)*$D10^0.5/$E10)</f>
        <v>0.00182638562595697</v>
      </c>
      <c r="R10" s="17" t="n">
        <f aca="false">P10+IF(Q10&lt;$B10,1,-1)*설정!$B$10/2^7</f>
        <v>1.52526811604819</v>
      </c>
      <c r="S10" s="17" t="n">
        <f aca="false">IF($D10&lt;=0,0,($C10^2/8*(R10-SIN(R10)))*(($C10^2/8*(R10-SIN(R10)))/($C10*R10/2))^(2/3)*$D10^0.5/$E10)</f>
        <v>0.00164452717305013</v>
      </c>
      <c r="T10" s="17" t="n">
        <f aca="false">R10+IF(S10&lt;$B10,1,-1)*설정!$B$10/2^8</f>
        <v>1.54587984734613</v>
      </c>
      <c r="U10" s="17" t="n">
        <f aca="false">IF($D10&lt;=0,0,($C10^2/8*(T10-SIN(T10)))*(($C10^2/8*(T10-SIN(T10)))/($C10*T10/2))^(2/3)*$D10^0.5/$E10)</f>
        <v>0.00173380266250045</v>
      </c>
      <c r="V10" s="17" t="n">
        <f aca="false">T10+IF(U10&lt;$B10,1,-1)*설정!$B$10/2^9</f>
        <v>1.55618571299511</v>
      </c>
      <c r="W10" s="17" t="n">
        <f aca="false">IF($D10&lt;=0,0,($C10^2/8*(V10-SIN(V10)))*(($C10^2/8*(V10-SIN(V10)))/($C10*V10/2))^(2/3)*$D10^0.5/$E10)</f>
        <v>0.00177967722754983</v>
      </c>
      <c r="X10" s="17" t="n">
        <f aca="false">V10+IF(W10&lt;$B10,1,-1)*설정!$B$10/2^10</f>
        <v>1.5613386458196</v>
      </c>
      <c r="Y10" s="17" t="n">
        <f aca="false">IF($D10&lt;=0,0,($C10^2/8*(X10-SIN(X10)))*(($C10^2/8*(X10-SIN(X10)))/($C10*X10/2))^(2/3)*$D10^0.5/$E10)</f>
        <v>0.00180292676662608</v>
      </c>
      <c r="Z10" s="17" t="n">
        <f aca="false">X10+IF(Y10&lt;$B10,1,-1)*설정!$B$10/2^11</f>
        <v>1.55876217940735</v>
      </c>
      <c r="AA10" s="17" t="n">
        <f aca="false">IF($D10&lt;=0,0,($C10^2/8*(Z10-SIN(Z10)))*(($C10^2/8*(Z10-SIN(Z10)))/($C10*Z10/2))^(2/3)*$D10^0.5/$E10)</f>
        <v>0.00179127588572837</v>
      </c>
      <c r="AB10" s="17" t="n">
        <f aca="false">Z10+IF(AA10&lt;$B10,1,-1)*설정!$B$10/2^12</f>
        <v>1.55747394620123</v>
      </c>
      <c r="AC10" s="17" t="n">
        <f aca="false">IF($D10&lt;=0,0,($C10^2/8*(AB10-SIN(AB10)))*(($C10^2/8*(AB10-SIN(AB10)))/($C10*AB10/2))^(2/3)*$D10^0.5/$E10)</f>
        <v>0.00178547003552562</v>
      </c>
      <c r="AD10" s="17" t="n">
        <f aca="false">AB10+IF(AC10&lt;$B10,1,-1)*설정!$B$10/2^13</f>
        <v>1.55811806280429</v>
      </c>
      <c r="AE10" s="17" t="n">
        <f aca="false">IF($D10&lt;=0,0,($C10^2/8*(AD10-SIN(AD10)))*(($C10^2/8*(AD10-SIN(AD10)))/($C10*AD10/2))^(2/3)*$D10^0.5/$E10)</f>
        <v>0.00178837132950705</v>
      </c>
      <c r="AF10" s="17" t="n">
        <f aca="false">AD10+IF(AE10&lt;$B10,1,-1)*설정!$B$10/2^14</f>
        <v>1.55844012110582</v>
      </c>
      <c r="AG10" s="17" t="n">
        <f aca="false">IF($D10&lt;=0,0,($C10^2/8*(AF10-SIN(AF10)))*(($C10^2/8*(AF10-SIN(AF10)))/($C10*AF10/2))^(2/3)*$D10^0.5/$E10)</f>
        <v>0.00178982319973259</v>
      </c>
      <c r="AH10" s="17" t="n">
        <f aca="false">AF10+IF(AG10&lt;$B10,1,-1)*설정!$B$10/2^15</f>
        <v>1.55827909195506</v>
      </c>
      <c r="AI10" s="17" t="n">
        <f aca="false">IF($D10&lt;=0,0,($C10^2/8*(AH10-SIN(AH10)))*(($C10^2/8*(AH10-SIN(AH10)))/($C10*AH10/2))^(2/3)*$D10^0.5/$E10)</f>
        <v>0.00178909716266168</v>
      </c>
      <c r="AJ10" s="17" t="n">
        <f aca="false">AH10+IF(AI10&lt;$B10,1,-1)*설정!$B$10/2^16</f>
        <v>1.55819857737967</v>
      </c>
      <c r="AK10" s="17" t="n">
        <f aca="false">IF($D10&lt;=0,0,($C10^2/8*(AJ10-SIN(AJ10)))*(($C10^2/8*(AJ10-SIN(AJ10)))/($C10*AJ10/2))^(2/3)*$D10^0.5/$E10)</f>
        <v>0.00178873422059647</v>
      </c>
      <c r="AL10" s="17" t="n">
        <f aca="false">AJ10+IF(AK10&lt;$B10,1,-1)*설정!$B$10/2^17</f>
        <v>1.55823883466737</v>
      </c>
      <c r="AM10" s="17" t="n">
        <f aca="false">IF($D10&lt;=0,0,($C10^2/8*(AL10-SIN(AL10)))*(($C10^2/8*(AL10-SIN(AL10)))/($C10*AL10/2))^(2/3)*$D10^0.5/$E10)</f>
        <v>0.0017889156852569</v>
      </c>
      <c r="AN10" s="17" t="n">
        <f aca="false">AL10+IF(AM10&lt;$B10,1,-1)*설정!$B$10/2^18</f>
        <v>1.55825896331121</v>
      </c>
      <c r="AO10" s="17" t="n">
        <f aca="false">IF($D10&lt;=0,0,($C10^2/8*(AN10-SIN(AN10)))*(($C10^2/8*(AN10-SIN(AN10)))/($C10*AN10/2))^(2/3)*$D10^0.5/$E10)</f>
        <v>0.00178900642236622</v>
      </c>
      <c r="AP10" s="17" t="n">
        <f aca="false">AN10+IF(AO10&lt;$B10,1,-1)*설정!$B$10/2^19</f>
        <v>1.55824889898929</v>
      </c>
      <c r="AQ10" s="17" t="n">
        <f aca="false">IF($D10&lt;=0,0,($C10^2/8*(AP10-SIN(AP10)))*(($C10^2/8*(AP10-SIN(AP10)))/($C10*AP10/2))^(2/3)*$D10^0.5/$E10)</f>
        <v>0.00178896105341329</v>
      </c>
      <c r="AR10" s="17" t="n">
        <f aca="false">AP10+IF(AQ10&lt;$B10,1,-1)*설정!$B$10/2^20</f>
        <v>1.55825393115025</v>
      </c>
      <c r="AS10" s="17" t="n">
        <f aca="false">IF($D10&lt;=0,0,($C10^2/8*(AR10-SIN(AR10)))*(($C10^2/8*(AR10-SIN(AR10)))/($C10*AR10/2))^(2/3)*$D10^0.5/$E10)</f>
        <v>0.00178898373779019</v>
      </c>
      <c r="AT10" s="17" t="n">
        <f aca="false">AR10+IF(AS10&lt;$B10,1,-1)*설정!$B$10/2^21</f>
        <v>1.55825644723073</v>
      </c>
      <c r="AU10" s="17" t="n">
        <f aca="false">IF($D10&lt;=0,0,($C10^2/8*(AT10-SIN(AT10)))*(($C10^2/8*(AT10-SIN(AT10)))/($C10*AT10/2))^(2/3)*$D10^0.5/$E10)</f>
        <v>0.00178899508005331</v>
      </c>
      <c r="AV10" s="17" t="n">
        <f aca="false">AT10+IF(AU10&lt;$B10,1,-1)*설정!$B$10/2^22</f>
        <v>1.55825770527097</v>
      </c>
      <c r="AW10" s="17" t="n">
        <f aca="false">IF($D10&lt;=0,0,($C10^2/8*(AV10-SIN(AV10)))*(($C10^2/8*(AV10-SIN(AV10)))/($C10*AV10/2))^(2/3)*$D10^0.5/$E10)</f>
        <v>0.00178900075120354</v>
      </c>
      <c r="AX10" s="17" t="n">
        <f aca="false">AV10+IF(AW10&lt;$B10,1,-1)*설정!$B$10/2^23</f>
        <v>1.55825833429109</v>
      </c>
      <c r="AY10" s="17" t="n">
        <f aca="false">IF($D10&lt;=0,0,($C10^2/8*(AX10-SIN(AX10)))*(($C10^2/8*(AX10-SIN(AX10)))/($C10*AX10/2))^(2/3)*$D10^0.5/$E10)</f>
        <v>0.00178900358678333</v>
      </c>
      <c r="AZ10" s="17" t="n">
        <f aca="false">AX10+IF(AY10&lt;$B10,1,-1)*설정!$B$10/2^24</f>
        <v>1.55825864880115</v>
      </c>
      <c r="BA10" s="17" t="n">
        <f aca="false">IF($D10&lt;=0,0,($C10^2/8*(AZ10-SIN(AZ10)))*(($C10^2/8*(AZ10-SIN(AZ10)))/($C10*AZ10/2))^(2/3)*$D10^0.5/$E10)</f>
        <v>0.00178900500457438</v>
      </c>
      <c r="BB10" s="17" t="n">
        <f aca="false">AZ10+IF(BA10&lt;$B10,1,-1)*설정!$B$10/2^25</f>
        <v>1.55825849154612</v>
      </c>
      <c r="BC10" s="17" t="n">
        <f aca="false">IF($D10&lt;=0,0,($C10^2/8*(BB10-SIN(BB10)))*(($C10^2/8*(BB10-SIN(BB10)))/($C10*BB10/2))^(2/3)*$D10^0.5/$E10)</f>
        <v>0.00178900429567876</v>
      </c>
      <c r="BD10" s="17" t="n">
        <f aca="false">BB10+IF(BC10&lt;$B10,1,-1)*설정!$B$10/2^26</f>
        <v>1.55825857017364</v>
      </c>
      <c r="BE10" s="17" t="n">
        <f aca="false">IF($D10&lt;=0,0,($C10^2/8*(BD10-SIN(BD10)))*(($C10^2/8*(BD10-SIN(BD10)))/($C10*BD10/2))^(2/3)*$D10^0.5/$E10)</f>
        <v>0.00178900465012655</v>
      </c>
      <c r="BF10" s="17" t="n">
        <f aca="false">BD10+IF(BE10&lt;$B10,1,-1)*설정!$B$10/2^27</f>
        <v>1.55825853085988</v>
      </c>
      <c r="BG10" s="17" t="n">
        <f aca="false">IF($D10&lt;=0,0,($C10^2/8*(BF10-SIN(BF10)))*(($C10^2/8*(BF10-SIN(BF10)))/($C10*BF10/2))^(2/3)*$D10^0.5/$E10)</f>
        <v>0.00178900447290265</v>
      </c>
      <c r="BH10" s="17" t="n">
        <f aca="false">BF10+IF(BG10&lt;$B10,1,-1)*설정!$B$10/2^28</f>
        <v>1.55825855051676</v>
      </c>
      <c r="BI10" s="17" t="n">
        <f aca="false">IF($D10&lt;=0,0,($C10^2/8*(BH10-SIN(BH10)))*(($C10^2/8*(BH10-SIN(BH10)))/($C10*BH10/2))^(2/3)*$D10^0.5/$E10)</f>
        <v>0.00178900456151459</v>
      </c>
      <c r="BJ10" s="17" t="n">
        <f aca="false">BH10+IF(BI10&lt;$B10,1,-1)*설정!$B$10/2^29</f>
        <v>1.5582585603452</v>
      </c>
      <c r="BK10" s="17" t="n">
        <f aca="false">IF($D10&lt;=0,0,($C10^2/8*(BJ10-SIN(BJ10)))*(($C10^2/8*(BJ10-SIN(BJ10)))/($C10*BJ10/2))^(2/3)*$D10^0.5/$E10)</f>
        <v>0.00178900460582057</v>
      </c>
      <c r="BL10" s="17" t="n">
        <f aca="false">BJ10+IF(BK10&lt;$B10,1,-1)*설정!$B$10/2^30</f>
        <v>1.55825856525942</v>
      </c>
      <c r="BM10" s="17" t="n">
        <f aca="false">IF($D10&lt;=0,0,($C10^2/8*(BL10-SIN(BL10)))*(($C10^2/8*(BL10-SIN(BL10)))/($C10*BL10/2))^(2/3)*$D10^0.5/$E10)</f>
        <v>0.00178900462797356</v>
      </c>
      <c r="BN10" s="17" t="n">
        <f aca="false">BL10+IF(BM10&lt;$B10,1,-1)*설정!$B$10/2^31</f>
        <v>1.55825856771653</v>
      </c>
      <c r="BO10" s="17" t="n">
        <f aca="false">IF($D10&lt;=0,0,($C10^2/8*(BN10-SIN(BN10)))*(($C10^2/8*(BN10-SIN(BN10)))/($C10*BN10/2))^(2/3)*$D10^0.5/$E10)</f>
        <v>0.00178900463905005</v>
      </c>
      <c r="BP10" s="17" t="n">
        <f aca="false">BN10+IF(BO10&lt;$B10,1,-1)*설정!$B$10/2^32</f>
        <v>1.55825856648797</v>
      </c>
      <c r="BQ10" s="17" t="n">
        <f aca="false">IF($D10&lt;=0,0,($C10^2/8*(BP10-SIN(BP10)))*(($C10^2/8*(BP10-SIN(BP10)))/($C10*BP10/2))^(2/3)*$D10^0.5/$E10)</f>
        <v>0.00178900463351181</v>
      </c>
      <c r="BR10" s="17" t="n">
        <f aca="false">BP10+IF(BQ10&lt;$B10,1,-1)*설정!$B$10/2^33</f>
        <v>1.55825856587369</v>
      </c>
      <c r="BS10" s="17" t="n">
        <f aca="false">IF($D10&lt;=0,0,($C10^2/8*(BR10-SIN(BR10)))*(($C10^2/8*(BR10-SIN(BR10)))/($C10*BR10/2))^(2/3)*$D10^0.5/$E10)</f>
        <v>0.00178900463074268</v>
      </c>
      <c r="BT10" s="17" t="n">
        <f aca="false">BR10+IF(BS10&lt;$B10,1,-1)*설정!$B$10/2^34</f>
        <v>1.55825856556655</v>
      </c>
      <c r="BU10" s="17" t="n">
        <f aca="false">IF($D10&lt;=0,0,($C10^2/8*(BT10-SIN(BT10)))*(($C10^2/8*(BT10-SIN(BT10)))/($C10*BT10/2))^(2/3)*$D10^0.5/$E10)</f>
        <v>0.00178900462935812</v>
      </c>
      <c r="BV10" s="17" t="n">
        <f aca="false">BT10+IF(BU10&lt;$B10,1,-1)*설정!$B$10/2^35</f>
        <v>1.55825856572012</v>
      </c>
      <c r="BW10" s="17" t="n">
        <f aca="false">IF($D10&lt;=0,0,($C10^2/8*(BV10-SIN(BV10)))*(($C10^2/8*(BV10-SIN(BV10)))/($C10*BV10/2))^(2/3)*$D10^0.5/$E10)</f>
        <v>0.0017890046300504</v>
      </c>
      <c r="BX10" s="17" t="n">
        <f aca="false">BV10+IF(BW10&lt;$B10,1,-1)*설정!$B$10/2^36</f>
        <v>1.55825856564334</v>
      </c>
      <c r="BY10" s="17" t="n">
        <f aca="false">IF($D10&lt;=0,0,($C10^2/8*(BX10-SIN(BX10)))*(($C10^2/8*(BX10-SIN(BX10)))/($C10*BX10/2))^(2/3)*$D10^0.5/$E10)</f>
        <v>0.00178900462970426</v>
      </c>
      <c r="BZ10" s="17" t="n">
        <f aca="false">BX10+IF(BY10&lt;$B10,1,-1)*설정!$B$10/2^37</f>
        <v>1.55825856560495</v>
      </c>
      <c r="CA10" s="17" t="n">
        <f aca="false">IF($D10&lt;=0,0,($C10^2/8*(BZ10-SIN(BZ10)))*(($C10^2/8*(BZ10-SIN(BZ10)))/($C10*BZ10/2))^(2/3)*$D10^0.5/$E10)</f>
        <v>0.00178900462953119</v>
      </c>
      <c r="CB10" s="17" t="n">
        <f aca="false">BZ10+IF(CA10&lt;$B10,1,-1)*설정!$B$10/2^38</f>
        <v>1.55825856562414</v>
      </c>
      <c r="CC10" s="17" t="n">
        <f aca="false">IF($D10&lt;=0,0,($C10^2/8*(CB10-SIN(CB10)))*(($C10^2/8*(CB10-SIN(CB10)))/($C10*CB10/2))^(2/3)*$D10^0.5/$E10)</f>
        <v>0.00178900462961773</v>
      </c>
      <c r="CD10" s="17" t="n">
        <f aca="false">CB10+IF(CC10&lt;$B10,1,-1)*설정!$B$10/2^39</f>
        <v>1.55825856563374</v>
      </c>
      <c r="CE10" s="17" t="n">
        <f aca="false">IF($D10&lt;=0,0,($C10^2/8*(CD10-SIN(CD10)))*(($C10^2/8*(CD10-SIN(CD10)))/($C10*CD10/2))^(2/3)*$D10^0.5/$E10)</f>
        <v>0.00178900462966099</v>
      </c>
      <c r="CF10" s="17" t="n">
        <f aca="false">CD10+IF(CE10&lt;$B10,1,-1)*설정!$B$10/2^40</f>
        <v>1.55825856562894</v>
      </c>
      <c r="CG10" s="17" t="n">
        <f aca="false">IF($D10&lt;=0,0,($C10^2/8*(CF10-SIN(CF10)))*(($C10^2/8*(CF10-SIN(CF10)))/($C10*CF10/2))^(2/3)*$D10^0.5/$E10)</f>
        <v>0.00178900462963936</v>
      </c>
      <c r="CH10" s="17" t="n">
        <f aca="false">CF10+IF(CG10&lt;$B10,1,-1)*설정!$B$10/2^41</f>
        <v>1.55825856562654</v>
      </c>
    </row>
    <row r="11" customFormat="false" ht="15" hidden="false" customHeight="false" outlineLevel="0" collapsed="false">
      <c r="A11" s="14" t="str">
        <f aca="false">계산!A11</f>
        <v>BC-07</v>
      </c>
      <c r="B11" s="15" t="n">
        <f aca="false">계산!E11</f>
        <v>0.00178900462962963</v>
      </c>
      <c r="C11" s="14" t="n">
        <f aca="false">입력!E11/1000</f>
        <v>0.2</v>
      </c>
      <c r="D11" s="14" t="n">
        <f aca="false">(입력!F11-입력!G11)/입력!D11</f>
        <v>0.0118000000000001</v>
      </c>
      <c r="E11" s="14" t="n">
        <f aca="false">입력!J11</f>
        <v>0.011</v>
      </c>
      <c r="F11" s="16" t="n">
        <f aca="false">설정!$B$10/2</f>
        <v>2.6383016061374</v>
      </c>
      <c r="G11" s="17" t="n">
        <f aca="false">IF($D11&lt;=0,0,($C11^2/8*(F11-SIN(F11)))*(($C11^2/8*(F11-SIN(F11)))/($C11*F11/2))^(2/3)*$D11^0.5/$E11)</f>
        <v>0.0126287423724904</v>
      </c>
      <c r="H11" s="17" t="n">
        <f aca="false">F11+IF(G11&lt;$B11,1,-1)*설정!$B$10/2^2</f>
        <v>1.3191508030687</v>
      </c>
      <c r="I11" s="17" t="n">
        <f aca="false">IF($D11&lt;=0,0,($C11^2/8*(H11-SIN(H11)))*(($C11^2/8*(H11-SIN(H11)))/($C11*H11/2))^(2/3)*$D11^0.5/$E11)</f>
        <v>0.000971445629985669</v>
      </c>
      <c r="J11" s="17" t="n">
        <f aca="false">H11+IF(I11&lt;$B11,1,-1)*설정!$B$10/2^3</f>
        <v>1.97872620460305</v>
      </c>
      <c r="K11" s="17" t="n">
        <f aca="false">IF($D11&lt;=0,0,($C11^2/8*(J11-SIN(J11)))*(($C11^2/8*(J11-SIN(J11)))/($C11*J11/2))^(2/3)*$D11^0.5/$E11)</f>
        <v>0.00469121005600823</v>
      </c>
      <c r="L11" s="17" t="n">
        <f aca="false">J11+IF(K11&lt;$B11,1,-1)*설정!$B$10/2^4</f>
        <v>1.64893850383588</v>
      </c>
      <c r="M11" s="17" t="n">
        <f aca="false">IF($D11&lt;=0,0,($C11^2/8*(L11-SIN(L11)))*(($C11^2/8*(L11-SIN(L11)))/($C11*L11/2))^(2/3)*$D11^0.5/$E11)</f>
        <v>0.00235376788781431</v>
      </c>
      <c r="N11" s="17" t="n">
        <f aca="false">L11+IF(M11&lt;$B11,1,-1)*설정!$B$10/2^5</f>
        <v>1.48404465345229</v>
      </c>
      <c r="O11" s="17" t="n">
        <f aca="false">IF($D11&lt;=0,0,($C11^2/8*(N11-SIN(N11)))*(($C11^2/8*(N11-SIN(N11)))/($C11*N11/2))^(2/3)*$D11^0.5/$E11)</f>
        <v>0.00155696106774561</v>
      </c>
      <c r="P11" s="17" t="n">
        <f aca="false">N11+IF(O11&lt;$B11,1,-1)*설정!$B$10/2^6</f>
        <v>1.56649157864408</v>
      </c>
      <c r="Q11" s="17" t="n">
        <f aca="false">IF($D11&lt;=0,0,($C11^2/8*(P11-SIN(P11)))*(($C11^2/8*(P11-SIN(P11)))/($C11*P11/2))^(2/3)*$D11^0.5/$E11)</f>
        <v>0.0019269948391087</v>
      </c>
      <c r="R11" s="17" t="n">
        <f aca="false">P11+IF(Q11&lt;$B11,1,-1)*설정!$B$10/2^7</f>
        <v>1.52526811604819</v>
      </c>
      <c r="S11" s="17" t="n">
        <f aca="false">IF($D11&lt;=0,0,($C11^2/8*(R11-SIN(R11)))*(($C11^2/8*(R11-SIN(R11)))/($C11*R11/2))^(2/3)*$D11^0.5/$E11)</f>
        <v>0.00173511843840819</v>
      </c>
      <c r="T11" s="17" t="n">
        <f aca="false">R11+IF(S11&lt;$B11,1,-1)*설정!$B$10/2^8</f>
        <v>1.54587984734613</v>
      </c>
      <c r="U11" s="17" t="n">
        <f aca="false">IF($D11&lt;=0,0,($C11^2/8*(T11-SIN(T11)))*(($C11^2/8*(T11-SIN(T11)))/($C11*T11/2))^(2/3)*$D11^0.5/$E11)</f>
        <v>0.00182931180315257</v>
      </c>
      <c r="V11" s="17" t="n">
        <f aca="false">T11+IF(U11&lt;$B11,1,-1)*설정!$B$10/2^9</f>
        <v>1.53557398169716</v>
      </c>
      <c r="W11" s="17" t="n">
        <f aca="false">IF($D11&lt;=0,0,($C11^2/8*(V11-SIN(V11)))*(($C11^2/8*(V11-SIN(V11)))/($C11*V11/2))^(2/3)*$D11^0.5/$E11)</f>
        <v>0.0017817826068168</v>
      </c>
      <c r="X11" s="17" t="n">
        <f aca="false">V11+IF(W11&lt;$B11,1,-1)*설정!$B$10/2^10</f>
        <v>1.54072691452165</v>
      </c>
      <c r="Y11" s="17" t="n">
        <f aca="false">IF($D11&lt;=0,0,($C11^2/8*(X11-SIN(X11)))*(($C11^2/8*(X11-SIN(X11)))/($C11*X11/2))^(2/3)*$D11^0.5/$E11)</f>
        <v>0.001805438611423</v>
      </c>
      <c r="Z11" s="17" t="n">
        <f aca="false">X11+IF(Y11&lt;$B11,1,-1)*설정!$B$10/2^11</f>
        <v>1.5381504481094</v>
      </c>
      <c r="AA11" s="17" t="n">
        <f aca="false">IF($D11&lt;=0,0,($C11^2/8*(Z11-SIN(Z11)))*(($C11^2/8*(Z11-SIN(Z11)))/($C11*Z11/2))^(2/3)*$D11^0.5/$E11)</f>
        <v>0.00179358351866619</v>
      </c>
      <c r="AB11" s="17" t="n">
        <f aca="false">Z11+IF(AA11&lt;$B11,1,-1)*설정!$B$10/2^12</f>
        <v>1.53686221490328</v>
      </c>
      <c r="AC11" s="17" t="n">
        <f aca="false">IF($D11&lt;=0,0,($C11^2/8*(AB11-SIN(AB11)))*(($C11^2/8*(AB11-SIN(AB11)))/($C11*AB11/2))^(2/3)*$D11^0.5/$E11)</f>
        <v>0.00178767629738752</v>
      </c>
      <c r="AD11" s="17" t="n">
        <f aca="false">AB11+IF(AC11&lt;$B11,1,-1)*설정!$B$10/2^13</f>
        <v>1.53750633150634</v>
      </c>
      <c r="AE11" s="17" t="n">
        <f aca="false">IF($D11&lt;=0,0,($C11^2/8*(AD11-SIN(AD11)))*(($C11^2/8*(AD11-SIN(AD11)))/($C11*AD11/2))^(2/3)*$D11^0.5/$E11)</f>
        <v>0.00179062821578016</v>
      </c>
      <c r="AF11" s="17" t="n">
        <f aca="false">AD11+IF(AE11&lt;$B11,1,-1)*설정!$B$10/2^14</f>
        <v>1.53718427320481</v>
      </c>
      <c r="AG11" s="17" t="n">
        <f aca="false">IF($D11&lt;=0,0,($C11^2/8*(AF11-SIN(AF11)))*(($C11^2/8*(AF11-SIN(AF11)))/($C11*AF11/2))^(2/3)*$D11^0.5/$E11)</f>
        <v>0.00178915183363564</v>
      </c>
      <c r="AH11" s="17" t="n">
        <f aca="false">AF11+IF(AG11&lt;$B11,1,-1)*설정!$B$10/2^15</f>
        <v>1.53702324405405</v>
      </c>
      <c r="AI11" s="17" t="n">
        <f aca="false">IF($D11&lt;=0,0,($C11^2/8*(AH11-SIN(AH11)))*(($C11^2/8*(AH11-SIN(AH11)))/($C11*AH11/2))^(2/3)*$D11^0.5/$E11)</f>
        <v>0.00178841395978872</v>
      </c>
      <c r="AJ11" s="17" t="n">
        <f aca="false">AH11+IF(AI11&lt;$B11,1,-1)*설정!$B$10/2^16</f>
        <v>1.53710375862943</v>
      </c>
      <c r="AK11" s="17" t="n">
        <f aca="false">IF($D11&lt;=0,0,($C11^2/8*(AJ11-SIN(AJ11)))*(($C11^2/8*(AJ11-SIN(AJ11)))/($C11*AJ11/2))^(2/3)*$D11^0.5/$E11)</f>
        <v>0.00178878287027969</v>
      </c>
      <c r="AL11" s="17" t="n">
        <f aca="false">AJ11+IF(AK11&lt;$B11,1,-1)*설정!$B$10/2^17</f>
        <v>1.53714401591712</v>
      </c>
      <c r="AM11" s="17" t="n">
        <f aca="false">IF($D11&lt;=0,0,($C11^2/8*(AL11-SIN(AL11)))*(($C11^2/8*(AL11-SIN(AL11)))/($C11*AL11/2))^(2/3)*$D11^0.5/$E11)</f>
        <v>0.00178896734534933</v>
      </c>
      <c r="AN11" s="17" t="n">
        <f aca="false">AL11+IF(AM11&lt;$B11,1,-1)*설정!$B$10/2^18</f>
        <v>1.53716414456097</v>
      </c>
      <c r="AO11" s="17" t="n">
        <f aca="false">IF($D11&lt;=0,0,($C11^2/8*(AN11-SIN(AN11)))*(($C11^2/8*(AN11-SIN(AN11)))/($C11*AN11/2))^(2/3)*$D11^0.5/$E11)</f>
        <v>0.00178905958784037</v>
      </c>
      <c r="AP11" s="17" t="n">
        <f aca="false">AN11+IF(AO11&lt;$B11,1,-1)*설정!$B$10/2^19</f>
        <v>1.53715408023904</v>
      </c>
      <c r="AQ11" s="17" t="n">
        <f aca="false">IF($D11&lt;=0,0,($C11^2/8*(AP11-SIN(AP11)))*(($C11^2/8*(AP11-SIN(AP11)))/($C11*AP11/2))^(2/3)*$D11^0.5/$E11)</f>
        <v>0.00178901346618182</v>
      </c>
      <c r="AR11" s="17" t="n">
        <f aca="false">AP11+IF(AQ11&lt;$B11,1,-1)*설정!$B$10/2^20</f>
        <v>1.53714904807808</v>
      </c>
      <c r="AS11" s="17" t="n">
        <f aca="false">IF($D11&lt;=0,0,($C11^2/8*(AR11-SIN(AR11)))*(($C11^2/8*(AR11-SIN(AR11)))/($C11*AR11/2))^(2/3)*$D11^0.5/$E11)</f>
        <v>0.00178899040566232</v>
      </c>
      <c r="AT11" s="17" t="n">
        <f aca="false">AR11+IF(AS11&lt;$B11,1,-1)*설정!$B$10/2^21</f>
        <v>1.53715156415856</v>
      </c>
      <c r="AU11" s="17" t="n">
        <f aca="false">IF($D11&lt;=0,0,($C11^2/8*(AT11-SIN(AT11)))*(($C11^2/8*(AT11-SIN(AT11)))/($C11*AT11/2))^(2/3)*$D11^0.5/$E11)</f>
        <v>0.00178900193589626</v>
      </c>
      <c r="AV11" s="17" t="n">
        <f aca="false">AT11+IF(AU11&lt;$B11,1,-1)*설정!$B$10/2^22</f>
        <v>1.5371528221988</v>
      </c>
      <c r="AW11" s="17" t="n">
        <f aca="false">IF($D11&lt;=0,0,($C11^2/8*(AV11-SIN(AV11)))*(($C11^2/8*(AV11-SIN(AV11)))/($C11*AV11/2))^(2/3)*$D11^0.5/$E11)</f>
        <v>0.00178900770103259</v>
      </c>
      <c r="AX11" s="17" t="n">
        <f aca="false">AV11+IF(AW11&lt;$B11,1,-1)*설정!$B$10/2^23</f>
        <v>1.53715219317868</v>
      </c>
      <c r="AY11" s="17" t="n">
        <f aca="false">IF($D11&lt;=0,0,($C11^2/8*(AX11-SIN(AX11)))*(($C11^2/8*(AX11-SIN(AX11)))/($C11*AX11/2))^(2/3)*$D11^0.5/$E11)</f>
        <v>0.00178900481846281</v>
      </c>
      <c r="AZ11" s="17" t="n">
        <f aca="false">AX11+IF(AY11&lt;$B11,1,-1)*설정!$B$10/2^24</f>
        <v>1.53715187866862</v>
      </c>
      <c r="BA11" s="17" t="n">
        <f aca="false">IF($D11&lt;=0,0,($C11^2/8*(AZ11-SIN(AZ11)))*(($C11^2/8*(AZ11-SIN(AZ11)))/($C11*AZ11/2))^(2/3)*$D11^0.5/$E11)</f>
        <v>0.00178900337717913</v>
      </c>
      <c r="BB11" s="17" t="n">
        <f aca="false">AZ11+IF(BA11&lt;$B11,1,-1)*설정!$B$10/2^25</f>
        <v>1.53715203592365</v>
      </c>
      <c r="BC11" s="17" t="n">
        <f aca="false">IF($D11&lt;=0,0,($C11^2/8*(BB11-SIN(BB11)))*(($C11^2/8*(BB11-SIN(BB11)))/($C11*BB11/2))^(2/3)*$D11^0.5/$E11)</f>
        <v>0.00178900409782087</v>
      </c>
      <c r="BD11" s="17" t="n">
        <f aca="false">BB11+IF(BC11&lt;$B11,1,-1)*설정!$B$10/2^26</f>
        <v>1.53715211455117</v>
      </c>
      <c r="BE11" s="17" t="n">
        <f aca="false">IF($D11&lt;=0,0,($C11^2/8*(BD11-SIN(BD11)))*(($C11^2/8*(BD11-SIN(BD11)))/($C11*BD11/2))^(2/3)*$D11^0.5/$E11)</f>
        <v>0.00178900445814181</v>
      </c>
      <c r="BF11" s="17" t="n">
        <f aca="false">BD11+IF(BE11&lt;$B11,1,-1)*설정!$B$10/2^27</f>
        <v>1.53715215386493</v>
      </c>
      <c r="BG11" s="17" t="n">
        <f aca="false">IF($D11&lt;=0,0,($C11^2/8*(BF11-SIN(BF11)))*(($C11^2/8*(BF11-SIN(BF11)))/($C11*BF11/2))^(2/3)*$D11^0.5/$E11)</f>
        <v>0.0017890046383023</v>
      </c>
      <c r="BH11" s="17" t="n">
        <f aca="false">BF11+IF(BG11&lt;$B11,1,-1)*설정!$B$10/2^28</f>
        <v>1.53715213420805</v>
      </c>
      <c r="BI11" s="17" t="n">
        <f aca="false">IF($D11&lt;=0,0,($C11^2/8*(BH11-SIN(BH11)))*(($C11^2/8*(BH11-SIN(BH11)))/($C11*BH11/2))^(2/3)*$D11^0.5/$E11)</f>
        <v>0.00178900454822206</v>
      </c>
      <c r="BJ11" s="17" t="n">
        <f aca="false">BH11+IF(BI11&lt;$B11,1,-1)*설정!$B$10/2^29</f>
        <v>1.53715214403649</v>
      </c>
      <c r="BK11" s="17" t="n">
        <f aca="false">IF($D11&lt;=0,0,($C11^2/8*(BJ11-SIN(BJ11)))*(($C11^2/8*(BJ11-SIN(BJ11)))/($C11*BJ11/2))^(2/3)*$D11^0.5/$E11)</f>
        <v>0.00178900459326218</v>
      </c>
      <c r="BL11" s="17" t="n">
        <f aca="false">BJ11+IF(BK11&lt;$B11,1,-1)*설정!$B$10/2^30</f>
        <v>1.53715214895071</v>
      </c>
      <c r="BM11" s="17" t="n">
        <f aca="false">IF($D11&lt;=0,0,($C11^2/8*(BL11-SIN(BL11)))*(($C11^2/8*(BL11-SIN(BL11)))/($C11*BL11/2))^(2/3)*$D11^0.5/$E11)</f>
        <v>0.00178900461578224</v>
      </c>
      <c r="BN11" s="17" t="n">
        <f aca="false">BL11+IF(BM11&lt;$B11,1,-1)*설정!$B$10/2^31</f>
        <v>1.53715215140782</v>
      </c>
      <c r="BO11" s="17" t="n">
        <f aca="false">IF($D11&lt;=0,0,($C11^2/8*(BN11-SIN(BN11)))*(($C11^2/8*(BN11-SIN(BN11)))/($C11*BN11/2))^(2/3)*$D11^0.5/$E11)</f>
        <v>0.00178900462704227</v>
      </c>
      <c r="BP11" s="17" t="n">
        <f aca="false">BN11+IF(BO11&lt;$B11,1,-1)*설정!$B$10/2^32</f>
        <v>1.53715215263637</v>
      </c>
      <c r="BQ11" s="17" t="n">
        <f aca="false">IF($D11&lt;=0,0,($C11^2/8*(BP11-SIN(BP11)))*(($C11^2/8*(BP11-SIN(BP11)))/($C11*BP11/2))^(2/3)*$D11^0.5/$E11)</f>
        <v>0.00178900463267229</v>
      </c>
      <c r="BR11" s="17" t="n">
        <f aca="false">BP11+IF(BQ11&lt;$B11,1,-1)*설정!$B$10/2^33</f>
        <v>1.53715215202209</v>
      </c>
      <c r="BS11" s="17" t="n">
        <f aca="false">IF($D11&lt;=0,0,($C11^2/8*(BR11-SIN(BR11)))*(($C11^2/8*(BR11-SIN(BR11)))/($C11*BR11/2))^(2/3)*$D11^0.5/$E11)</f>
        <v>0.00178900462985728</v>
      </c>
      <c r="BT11" s="17" t="n">
        <f aca="false">BR11+IF(BS11&lt;$B11,1,-1)*설정!$B$10/2^34</f>
        <v>1.53715215171495</v>
      </c>
      <c r="BU11" s="17" t="n">
        <f aca="false">IF($D11&lt;=0,0,($C11^2/8*(BT11-SIN(BT11)))*(($C11^2/8*(BT11-SIN(BT11)))/($C11*BT11/2))^(2/3)*$D11^0.5/$E11)</f>
        <v>0.00178900462844978</v>
      </c>
      <c r="BV11" s="17" t="n">
        <f aca="false">BT11+IF(BU11&lt;$B11,1,-1)*설정!$B$10/2^35</f>
        <v>1.53715215186852</v>
      </c>
      <c r="BW11" s="17" t="n">
        <f aca="false">IF($D11&lt;=0,0,($C11^2/8*(BV11-SIN(BV11)))*(($C11^2/8*(BV11-SIN(BV11)))/($C11*BV11/2))^(2/3)*$D11^0.5/$E11)</f>
        <v>0.00178900462915353</v>
      </c>
      <c r="BX11" s="17" t="n">
        <f aca="false">BV11+IF(BW11&lt;$B11,1,-1)*설정!$B$10/2^36</f>
        <v>1.53715215194531</v>
      </c>
      <c r="BY11" s="17" t="n">
        <f aca="false">IF($D11&lt;=0,0,($C11^2/8*(BX11-SIN(BX11)))*(($C11^2/8*(BX11-SIN(BX11)))/($C11*BX11/2))^(2/3)*$D11^0.5/$E11)</f>
        <v>0.0017890046295054</v>
      </c>
      <c r="BZ11" s="17" t="n">
        <f aca="false">BX11+IF(BY11&lt;$B11,1,-1)*설정!$B$10/2^37</f>
        <v>1.5371521519837</v>
      </c>
      <c r="CA11" s="17" t="n">
        <f aca="false">IF($D11&lt;=0,0,($C11^2/8*(BZ11-SIN(BZ11)))*(($C11^2/8*(BZ11-SIN(BZ11)))/($C11*BZ11/2))^(2/3)*$D11^0.5/$E11)</f>
        <v>0.00178900462968134</v>
      </c>
      <c r="CB11" s="17" t="n">
        <f aca="false">BZ11+IF(CA11&lt;$B11,1,-1)*설정!$B$10/2^38</f>
        <v>1.5371521519645</v>
      </c>
      <c r="CC11" s="17" t="n">
        <f aca="false">IF($D11&lt;=0,0,($C11^2/8*(CB11-SIN(CB11)))*(($C11^2/8*(CB11-SIN(CB11)))/($C11*CB11/2))^(2/3)*$D11^0.5/$E11)</f>
        <v>0.00178900462959337</v>
      </c>
      <c r="CD11" s="17" t="n">
        <f aca="false">CB11+IF(CC11&lt;$B11,1,-1)*설정!$B$10/2^39</f>
        <v>1.5371521519741</v>
      </c>
      <c r="CE11" s="17" t="n">
        <f aca="false">IF($D11&lt;=0,0,($C11^2/8*(CD11-SIN(CD11)))*(($C11^2/8*(CD11-SIN(CD11)))/($C11*CD11/2))^(2/3)*$D11^0.5/$E11)</f>
        <v>0.00178900462963736</v>
      </c>
      <c r="CF11" s="17" t="n">
        <f aca="false">CD11+IF(CE11&lt;$B11,1,-1)*설정!$B$10/2^40</f>
        <v>1.5371521519693</v>
      </c>
      <c r="CG11" s="17" t="n">
        <f aca="false">IF($D11&lt;=0,0,($C11^2/8*(CF11-SIN(CF11)))*(($C11^2/8*(CF11-SIN(CF11)))/($C11*CF11/2))^(2/3)*$D11^0.5/$E11)</f>
        <v>0.00178900462961537</v>
      </c>
      <c r="CH11" s="17" t="n">
        <f aca="false">CF11+IF(CG11&lt;$B11,1,-1)*설정!$B$10/2^41</f>
        <v>1.5371521519717</v>
      </c>
    </row>
    <row r="12" customFormat="false" ht="15" hidden="false" customHeight="false" outlineLevel="0" collapsed="false">
      <c r="A12" s="14" t="str">
        <f aca="false">계산!A12</f>
        <v>BC-08</v>
      </c>
      <c r="B12" s="15" t="n">
        <f aca="false">계산!E12</f>
        <v>0.00178900462962963</v>
      </c>
      <c r="C12" s="14" t="n">
        <f aca="false">입력!E12/1000</f>
        <v>0.2</v>
      </c>
      <c r="D12" s="14" t="n">
        <f aca="false">(입력!F12-입력!G12)/입력!D12</f>
        <v>0.0182499999999999</v>
      </c>
      <c r="E12" s="14" t="n">
        <f aca="false">입력!J12</f>
        <v>0.011</v>
      </c>
      <c r="F12" s="16" t="n">
        <f aca="false">설정!$B$10/2</f>
        <v>2.6383016061374</v>
      </c>
      <c r="G12" s="17" t="n">
        <f aca="false">IF($D12&lt;=0,0,($C12^2/8*(F12-SIN(F12)))*(($C12^2/8*(F12-SIN(F12)))/($C12*F12/2))^(2/3)*$D12^0.5/$E12)</f>
        <v>0.015705455421256</v>
      </c>
      <c r="H12" s="17" t="n">
        <f aca="false">F12+IF(G12&lt;$B12,1,-1)*설정!$B$10/2^2</f>
        <v>1.3191508030687</v>
      </c>
      <c r="I12" s="17" t="n">
        <f aca="false">IF($D12&lt;=0,0,($C12^2/8*(H12-SIN(H12)))*(($C12^2/8*(H12-SIN(H12)))/($C12*H12/2))^(2/3)*$D12^0.5/$E12)</f>
        <v>0.00120811681685332</v>
      </c>
      <c r="J12" s="17" t="n">
        <f aca="false">H12+IF(I12&lt;$B12,1,-1)*설정!$B$10/2^3</f>
        <v>1.97872620460305</v>
      </c>
      <c r="K12" s="17" t="n">
        <f aca="false">IF($D12&lt;=0,0,($C12^2/8*(J12-SIN(J12)))*(($C12^2/8*(J12-SIN(J12)))/($C12*J12/2))^(2/3)*$D12^0.5/$E12)</f>
        <v>0.00583411936305543</v>
      </c>
      <c r="L12" s="17" t="n">
        <f aca="false">J12+IF(K12&lt;$B12,1,-1)*설정!$B$10/2^4</f>
        <v>1.64893850383588</v>
      </c>
      <c r="M12" s="17" t="n">
        <f aca="false">IF($D12&lt;=0,0,($C12^2/8*(L12-SIN(L12)))*(($C12^2/8*(L12-SIN(L12)))/($C12*L12/2))^(2/3)*$D12^0.5/$E12)</f>
        <v>0.00292721124112705</v>
      </c>
      <c r="N12" s="17" t="n">
        <f aca="false">L12+IF(M12&lt;$B12,1,-1)*설정!$B$10/2^5</f>
        <v>1.48404465345229</v>
      </c>
      <c r="O12" s="17" t="n">
        <f aca="false">IF($D12&lt;=0,0,($C12^2/8*(N12-SIN(N12)))*(($C12^2/8*(N12-SIN(N12)))/($C12*N12/2))^(2/3)*$D12^0.5/$E12)</f>
        <v>0.00193628010777827</v>
      </c>
      <c r="P12" s="17" t="n">
        <f aca="false">N12+IF(O12&lt;$B12,1,-1)*설정!$B$10/2^6</f>
        <v>1.4015977282605</v>
      </c>
      <c r="Q12" s="17" t="n">
        <f aca="false">IF($D12&lt;=0,0,($C12^2/8*(P12-SIN(P12)))*(($C12^2/8*(P12-SIN(P12)))/($C12*P12/2))^(2/3)*$D12^0.5/$E12)</f>
        <v>0.00154187516518669</v>
      </c>
      <c r="R12" s="17" t="n">
        <f aca="false">P12+IF(Q12&lt;$B12,1,-1)*설정!$B$10/2^7</f>
        <v>1.44282119085639</v>
      </c>
      <c r="S12" s="17" t="n">
        <f aca="false">IF($D12&lt;=0,0,($C12^2/8*(R12-SIN(R12)))*(($C12^2/8*(R12-SIN(R12)))/($C12*R12/2))^(2/3)*$D12^0.5/$E12)</f>
        <v>0.00173116895000406</v>
      </c>
      <c r="T12" s="17" t="n">
        <f aca="false">R12+IF(S12&lt;$B12,1,-1)*설정!$B$10/2^8</f>
        <v>1.46343292215434</v>
      </c>
      <c r="U12" s="17" t="n">
        <f aca="false">IF($D12&lt;=0,0,($C12^2/8*(T12-SIN(T12)))*(($C12^2/8*(T12-SIN(T12)))/($C12*T12/2))^(2/3)*$D12^0.5/$E12)</f>
        <v>0.00183170732163105</v>
      </c>
      <c r="V12" s="17" t="n">
        <f aca="false">T12+IF(U12&lt;$B12,1,-1)*설정!$B$10/2^9</f>
        <v>1.45312705650537</v>
      </c>
      <c r="W12" s="17" t="n">
        <f aca="false">IF($D12&lt;=0,0,($C12^2/8*(V12-SIN(V12)))*(($C12^2/8*(V12-SIN(V12)))/($C12*V12/2))^(2/3)*$D12^0.5/$E12)</f>
        <v>0.00178093879132351</v>
      </c>
      <c r="X12" s="17" t="n">
        <f aca="false">V12+IF(W12&lt;$B12,1,-1)*설정!$B$10/2^10</f>
        <v>1.45827998932985</v>
      </c>
      <c r="Y12" s="17" t="n">
        <f aca="false">IF($D12&lt;=0,0,($C12^2/8*(X12-SIN(X12)))*(($C12^2/8*(X12-SIN(X12)))/($C12*X12/2))^(2/3)*$D12^0.5/$E12)</f>
        <v>0.00180619759761519</v>
      </c>
      <c r="Z12" s="17" t="n">
        <f aca="false">X12+IF(Y12&lt;$B12,1,-1)*설정!$B$10/2^11</f>
        <v>1.45570352291761</v>
      </c>
      <c r="AA12" s="17" t="n">
        <f aca="false">IF($D12&lt;=0,0,($C12^2/8*(Z12-SIN(Z12)))*(($C12^2/8*(Z12-SIN(Z12)))/($C12*Z12/2))^(2/3)*$D12^0.5/$E12)</f>
        <v>0.00179353690740804</v>
      </c>
      <c r="AB12" s="17" t="n">
        <f aca="false">Z12+IF(AA12&lt;$B12,1,-1)*설정!$B$10/2^12</f>
        <v>1.45441528971149</v>
      </c>
      <c r="AC12" s="17" t="n">
        <f aca="false">IF($D12&lt;=0,0,($C12^2/8*(AB12-SIN(AB12)))*(($C12^2/8*(AB12-SIN(AB12)))/($C12*AB12/2))^(2/3)*$D12^0.5/$E12)</f>
        <v>0.00178723003732382</v>
      </c>
      <c r="AD12" s="17" t="n">
        <f aca="false">AB12+IF(AC12&lt;$B12,1,-1)*설정!$B$10/2^13</f>
        <v>1.45505940631455</v>
      </c>
      <c r="AE12" s="17" t="n">
        <f aca="false">IF($D12&lt;=0,0,($C12^2/8*(AD12-SIN(AD12)))*(($C12^2/8*(AD12-SIN(AD12)))/($C12*AD12/2))^(2/3)*$D12^0.5/$E12)</f>
        <v>0.00179038151813928</v>
      </c>
      <c r="AF12" s="17" t="n">
        <f aca="false">AD12+IF(AE12&lt;$B12,1,-1)*설정!$B$10/2^14</f>
        <v>1.45473734801302</v>
      </c>
      <c r="AG12" s="17" t="n">
        <f aca="false">IF($D12&lt;=0,0,($C12^2/8*(AF12-SIN(AF12)))*(($C12^2/8*(AF12-SIN(AF12)))/($C12*AF12/2))^(2/3)*$D12^0.5/$E12)</f>
        <v>0.00178880528932687</v>
      </c>
      <c r="AH12" s="17" t="n">
        <f aca="false">AF12+IF(AG12&lt;$B12,1,-1)*설정!$B$10/2^15</f>
        <v>1.45489837716378</v>
      </c>
      <c r="AI12" s="17" t="n">
        <f aca="false">IF($D12&lt;=0,0,($C12^2/8*(AH12-SIN(AH12)))*(($C12^2/8*(AH12-SIN(AH12)))/($C12*AH12/2))^(2/3)*$D12^0.5/$E12)</f>
        <v>0.0017895932816129</v>
      </c>
      <c r="AJ12" s="17" t="n">
        <f aca="false">AH12+IF(AI12&lt;$B12,1,-1)*설정!$B$10/2^16</f>
        <v>1.4548178625884</v>
      </c>
      <c r="AK12" s="17" t="n">
        <f aca="false">IF($D12&lt;=0,0,($C12^2/8*(AJ12-SIN(AJ12)))*(($C12^2/8*(AJ12-SIN(AJ12)))/($C12*AJ12/2))^(2/3)*$D12^0.5/$E12)</f>
        <v>0.00178919925494222</v>
      </c>
      <c r="AL12" s="17" t="n">
        <f aca="false">AJ12+IF(AK12&lt;$B12,1,-1)*설정!$B$10/2^17</f>
        <v>1.45477760530071</v>
      </c>
      <c r="AM12" s="17" t="n">
        <f aca="false">IF($D12&lt;=0,0,($C12^2/8*(AL12-SIN(AL12)))*(($C12^2/8*(AL12-SIN(AL12)))/($C12*AL12/2))^(2/3)*$D12^0.5/$E12)</f>
        <v>0.00178900226450292</v>
      </c>
      <c r="AN12" s="17" t="n">
        <f aca="false">AL12+IF(AM12&lt;$B12,1,-1)*설정!$B$10/2^18</f>
        <v>1.45479773394456</v>
      </c>
      <c r="AO12" s="17" t="n">
        <f aca="false">IF($D12&lt;=0,0,($C12^2/8*(AN12-SIN(AN12)))*(($C12^2/8*(AN12-SIN(AN12)))/($C12*AN12/2))^(2/3)*$D12^0.5/$E12)</f>
        <v>0.00178910075781463</v>
      </c>
      <c r="AP12" s="17" t="n">
        <f aca="false">AN12+IF(AO12&lt;$B12,1,-1)*설정!$B$10/2^19</f>
        <v>1.45478766962263</v>
      </c>
      <c r="AQ12" s="17" t="n">
        <f aca="false">IF($D12&lt;=0,0,($C12^2/8*(AP12-SIN(AP12)))*(($C12^2/8*(AP12-SIN(AP12)))/($C12*AP12/2))^(2/3)*$D12^0.5/$E12)</f>
        <v>0.00178905151068179</v>
      </c>
      <c r="AR12" s="17" t="n">
        <f aca="false">AP12+IF(AQ12&lt;$B12,1,-1)*설정!$B$10/2^20</f>
        <v>1.45478263746167</v>
      </c>
      <c r="AS12" s="17" t="n">
        <f aca="false">IF($D12&lt;=0,0,($C12^2/8*(AR12-SIN(AR12)))*(($C12^2/8*(AR12-SIN(AR12)))/($C12*AR12/2))^(2/3)*$D12^0.5/$E12)</f>
        <v>0.00178902688747311</v>
      </c>
      <c r="AT12" s="17" t="n">
        <f aca="false">AR12+IF(AS12&lt;$B12,1,-1)*설정!$B$10/2^21</f>
        <v>1.45478012138119</v>
      </c>
      <c r="AU12" s="17" t="n">
        <f aca="false">IF($D12&lt;=0,0,($C12^2/8*(AT12-SIN(AT12)))*(($C12^2/8*(AT12-SIN(AT12)))/($C12*AT12/2))^(2/3)*$D12^0.5/$E12)</f>
        <v>0.00178901457595821</v>
      </c>
      <c r="AV12" s="17" t="n">
        <f aca="false">AT12+IF(AU12&lt;$B12,1,-1)*설정!$B$10/2^22</f>
        <v>1.45477886334095</v>
      </c>
      <c r="AW12" s="17" t="n">
        <f aca="false">IF($D12&lt;=0,0,($C12^2/8*(AV12-SIN(AV12)))*(($C12^2/8*(AV12-SIN(AV12)))/($C12*AV12/2))^(2/3)*$D12^0.5/$E12)</f>
        <v>0.00178900842022311</v>
      </c>
      <c r="AX12" s="17" t="n">
        <f aca="false">AV12+IF(AW12&lt;$B12,1,-1)*설정!$B$10/2^23</f>
        <v>1.45477823432083</v>
      </c>
      <c r="AY12" s="17" t="n">
        <f aca="false">IF($D12&lt;=0,0,($C12^2/8*(AX12-SIN(AX12)))*(($C12^2/8*(AX12-SIN(AX12)))/($C12*AX12/2))^(2/3)*$D12^0.5/$E12)</f>
        <v>0.00178900534236115</v>
      </c>
      <c r="AZ12" s="17" t="n">
        <f aca="false">AX12+IF(AY12&lt;$B12,1,-1)*설정!$B$10/2^24</f>
        <v>1.45477791981077</v>
      </c>
      <c r="BA12" s="17" t="n">
        <f aca="false">IF($D12&lt;=0,0,($C12^2/8*(AZ12-SIN(AZ12)))*(($C12^2/8*(AZ12-SIN(AZ12)))/($C12*AZ12/2))^(2/3)*$D12^0.5/$E12)</f>
        <v>0.00178900380343157</v>
      </c>
      <c r="BB12" s="17" t="n">
        <f aca="false">AZ12+IF(BA12&lt;$B12,1,-1)*설정!$B$10/2^25</f>
        <v>1.4547780770658</v>
      </c>
      <c r="BC12" s="17" t="n">
        <f aca="false">IF($D12&lt;=0,0,($C12^2/8*(BB12-SIN(BB12)))*(($C12^2/8*(BB12-SIN(BB12)))/($C12*BB12/2))^(2/3)*$D12^0.5/$E12)</f>
        <v>0.00178900457289625</v>
      </c>
      <c r="BD12" s="17" t="n">
        <f aca="false">BB12+IF(BC12&lt;$B12,1,-1)*설정!$B$10/2^26</f>
        <v>1.45477815569331</v>
      </c>
      <c r="BE12" s="17" t="n">
        <f aca="false">IF($D12&lt;=0,0,($C12^2/8*(BD12-SIN(BD12)))*(($C12^2/8*(BD12-SIN(BD12)))/($C12*BD12/2))^(2/3)*$D12^0.5/$E12)</f>
        <v>0.00178900495762867</v>
      </c>
      <c r="BF12" s="17" t="n">
        <f aca="false">BD12+IF(BE12&lt;$B12,1,-1)*설정!$B$10/2^27</f>
        <v>1.45477811637956</v>
      </c>
      <c r="BG12" s="17" t="n">
        <f aca="false">IF($D12&lt;=0,0,($C12^2/8*(BF12-SIN(BF12)))*(($C12^2/8*(BF12-SIN(BF12)))/($C12*BF12/2))^(2/3)*$D12^0.5/$E12)</f>
        <v>0.00178900476526245</v>
      </c>
      <c r="BH12" s="17" t="n">
        <f aca="false">BF12+IF(BG12&lt;$B12,1,-1)*설정!$B$10/2^28</f>
        <v>1.45477809672268</v>
      </c>
      <c r="BI12" s="17" t="n">
        <f aca="false">IF($D12&lt;=0,0,($C12^2/8*(BH12-SIN(BH12)))*(($C12^2/8*(BH12-SIN(BH12)))/($C12*BH12/2))^(2/3)*$D12^0.5/$E12)</f>
        <v>0.00178900466907935</v>
      </c>
      <c r="BJ12" s="17" t="n">
        <f aca="false">BH12+IF(BI12&lt;$B12,1,-1)*설정!$B$10/2^29</f>
        <v>1.45477808689424</v>
      </c>
      <c r="BK12" s="17" t="n">
        <f aca="false">IF($D12&lt;=0,0,($C12^2/8*(BJ12-SIN(BJ12)))*(($C12^2/8*(BJ12-SIN(BJ12)))/($C12*BJ12/2))^(2/3)*$D12^0.5/$E12)</f>
        <v>0.0017890046209878</v>
      </c>
      <c r="BL12" s="17" t="n">
        <f aca="false">BJ12+IF(BK12&lt;$B12,1,-1)*설정!$B$10/2^30</f>
        <v>1.45477809180846</v>
      </c>
      <c r="BM12" s="17" t="n">
        <f aca="false">IF($D12&lt;=0,0,($C12^2/8*(BL12-SIN(BL12)))*(($C12^2/8*(BL12-SIN(BL12)))/($C12*BL12/2))^(2/3)*$D12^0.5/$E12)</f>
        <v>0.00178900464503357</v>
      </c>
      <c r="BN12" s="17" t="n">
        <f aca="false">BL12+IF(BM12&lt;$B12,1,-1)*설정!$B$10/2^31</f>
        <v>1.45477808935135</v>
      </c>
      <c r="BO12" s="17" t="n">
        <f aca="false">IF($D12&lt;=0,0,($C12^2/8*(BN12-SIN(BN12)))*(($C12^2/8*(BN12-SIN(BN12)))/($C12*BN12/2))^(2/3)*$D12^0.5/$E12)</f>
        <v>0.00178900463301068</v>
      </c>
      <c r="BP12" s="17" t="n">
        <f aca="false">BN12+IF(BO12&lt;$B12,1,-1)*설정!$B$10/2^32</f>
        <v>1.45477808812279</v>
      </c>
      <c r="BQ12" s="17" t="n">
        <f aca="false">IF($D12&lt;=0,0,($C12^2/8*(BP12-SIN(BP12)))*(($C12^2/8*(BP12-SIN(BP12)))/($C12*BP12/2))^(2/3)*$D12^0.5/$E12)</f>
        <v>0.00178900462699924</v>
      </c>
      <c r="BR12" s="17" t="n">
        <f aca="false">BP12+IF(BQ12&lt;$B12,1,-1)*설정!$B$10/2^33</f>
        <v>1.45477808873707</v>
      </c>
      <c r="BS12" s="17" t="n">
        <f aca="false">IF($D12&lt;=0,0,($C12^2/8*(BR12-SIN(BR12)))*(($C12^2/8*(BR12-SIN(BR12)))/($C12*BR12/2))^(2/3)*$D12^0.5/$E12)</f>
        <v>0.00178900463000496</v>
      </c>
      <c r="BT12" s="17" t="n">
        <f aca="false">BR12+IF(BS12&lt;$B12,1,-1)*설정!$B$10/2^34</f>
        <v>1.45477808842993</v>
      </c>
      <c r="BU12" s="17" t="n">
        <f aca="false">IF($D12&lt;=0,0,($C12^2/8*(BT12-SIN(BT12)))*(($C12^2/8*(BT12-SIN(BT12)))/($C12*BT12/2))^(2/3)*$D12^0.5/$E12)</f>
        <v>0.0017890046285021</v>
      </c>
      <c r="BV12" s="17" t="n">
        <f aca="false">BT12+IF(BU12&lt;$B12,1,-1)*설정!$B$10/2^35</f>
        <v>1.4547780885835</v>
      </c>
      <c r="BW12" s="17" t="n">
        <f aca="false">IF($D12&lt;=0,0,($C12^2/8*(BV12-SIN(BV12)))*(($C12^2/8*(BV12-SIN(BV12)))/($C12*BV12/2))^(2/3)*$D12^0.5/$E12)</f>
        <v>0.00178900462925353</v>
      </c>
      <c r="BX12" s="17" t="n">
        <f aca="false">BV12+IF(BW12&lt;$B12,1,-1)*설정!$B$10/2^36</f>
        <v>1.45477808866029</v>
      </c>
      <c r="BY12" s="17" t="n">
        <f aca="false">IF($D12&lt;=0,0,($C12^2/8*(BX12-SIN(BX12)))*(($C12^2/8*(BX12-SIN(BX12)))/($C12*BX12/2))^(2/3)*$D12^0.5/$E12)</f>
        <v>0.00178900462962925</v>
      </c>
      <c r="BZ12" s="17" t="n">
        <f aca="false">BX12+IF(BY12&lt;$B12,1,-1)*설정!$B$10/2^37</f>
        <v>1.45477808869868</v>
      </c>
      <c r="CA12" s="17" t="n">
        <f aca="false">IF($D12&lt;=0,0,($C12^2/8*(BZ12-SIN(BZ12)))*(($C12^2/8*(BZ12-SIN(BZ12)))/($C12*BZ12/2))^(2/3)*$D12^0.5/$E12)</f>
        <v>0.0017890046298171</v>
      </c>
      <c r="CB12" s="17" t="n">
        <f aca="false">BZ12+IF(CA12&lt;$B12,1,-1)*설정!$B$10/2^38</f>
        <v>1.45477808867948</v>
      </c>
      <c r="CC12" s="17" t="n">
        <f aca="false">IF($D12&lt;=0,0,($C12^2/8*(CB12-SIN(CB12)))*(($C12^2/8*(CB12-SIN(CB12)))/($C12*CB12/2))^(2/3)*$D12^0.5/$E12)</f>
        <v>0.00178900462972318</v>
      </c>
      <c r="CD12" s="17" t="n">
        <f aca="false">CB12+IF(CC12&lt;$B12,1,-1)*설정!$B$10/2^39</f>
        <v>1.45477808866989</v>
      </c>
      <c r="CE12" s="17" t="n">
        <f aca="false">IF($D12&lt;=0,0,($C12^2/8*(CD12-SIN(CD12)))*(($C12^2/8*(CD12-SIN(CD12)))/($C12*CD12/2))^(2/3)*$D12^0.5/$E12)</f>
        <v>0.00178900462967621</v>
      </c>
      <c r="CF12" s="17" t="n">
        <f aca="false">CD12+IF(CE12&lt;$B12,1,-1)*설정!$B$10/2^40</f>
        <v>1.45477808866509</v>
      </c>
      <c r="CG12" s="17" t="n">
        <f aca="false">IF($D12&lt;=0,0,($C12^2/8*(CF12-SIN(CF12)))*(($C12^2/8*(CF12-SIN(CF12)))/($C12*CF12/2))^(2/3)*$D12^0.5/$E12)</f>
        <v>0.00178900462965273</v>
      </c>
      <c r="CH12" s="17" t="n">
        <f aca="false">CF12+IF(CG12&lt;$B12,1,-1)*설정!$B$10/2^41</f>
        <v>1.45477808866269</v>
      </c>
    </row>
    <row r="13" customFormat="false" ht="15" hidden="false" customHeight="false" outlineLevel="0" collapsed="false">
      <c r="A13" s="14" t="str">
        <f aca="false">계산!A13</f>
        <v>BC-09</v>
      </c>
      <c r="B13" s="15" t="n">
        <f aca="false">계산!E13</f>
        <v>0.00178900462962963</v>
      </c>
      <c r="C13" s="14" t="n">
        <f aca="false">입력!E13/1000</f>
        <v>0.2</v>
      </c>
      <c r="D13" s="14" t="n">
        <f aca="false">(입력!F13-입력!G13)/입력!D13</f>
        <v>0.0258620689655172</v>
      </c>
      <c r="E13" s="14" t="n">
        <f aca="false">입력!J13</f>
        <v>0.011</v>
      </c>
      <c r="F13" s="16" t="n">
        <f aca="false">설정!$B$10/2</f>
        <v>2.6383016061374</v>
      </c>
      <c r="G13" s="17" t="n">
        <f aca="false">IF($D13&lt;=0,0,($C13^2/8*(F13-SIN(F13)))*(($C13^2/8*(F13-SIN(F13)))/($C13*F13/2))^(2/3)*$D13^0.5/$E13)</f>
        <v>0.0186960875363618</v>
      </c>
      <c r="H13" s="17" t="n">
        <f aca="false">F13+IF(G13&lt;$B13,1,-1)*설정!$B$10/2^2</f>
        <v>1.3191508030687</v>
      </c>
      <c r="I13" s="17" t="n">
        <f aca="false">IF($D13&lt;=0,0,($C13^2/8*(H13-SIN(H13)))*(($C13^2/8*(H13-SIN(H13)))/($C13*H13/2))^(2/3)*$D13^0.5/$E13)</f>
        <v>0.00143816636679449</v>
      </c>
      <c r="J13" s="17" t="n">
        <f aca="false">H13+IF(I13&lt;$B13,1,-1)*설정!$B$10/2^3</f>
        <v>1.97872620460305</v>
      </c>
      <c r="K13" s="17" t="n">
        <f aca="false">IF($D13&lt;=0,0,($C13^2/8*(J13-SIN(J13)))*(($C13^2/8*(J13-SIN(J13)))/($C13*J13/2))^(2/3)*$D13^0.5/$E13)</f>
        <v>0.00694505210983209</v>
      </c>
      <c r="L13" s="17" t="n">
        <f aca="false">J13+IF(K13&lt;$B13,1,-1)*설정!$B$10/2^4</f>
        <v>1.64893850383588</v>
      </c>
      <c r="M13" s="17" t="n">
        <f aca="false">IF($D13&lt;=0,0,($C13^2/8*(L13-SIN(L13)))*(($C13^2/8*(L13-SIN(L13)))/($C13*L13/2))^(2/3)*$D13^0.5/$E13)</f>
        <v>0.00348461067403781</v>
      </c>
      <c r="N13" s="17" t="n">
        <f aca="false">L13+IF(M13&lt;$B13,1,-1)*설정!$B$10/2^5</f>
        <v>1.48404465345229</v>
      </c>
      <c r="O13" s="17" t="n">
        <f aca="false">IF($D13&lt;=0,0,($C13^2/8*(N13-SIN(N13)))*(($C13^2/8*(N13-SIN(N13)))/($C13*N13/2))^(2/3)*$D13^0.5/$E13)</f>
        <v>0.00230498647883485</v>
      </c>
      <c r="P13" s="17" t="n">
        <f aca="false">N13+IF(O13&lt;$B13,1,-1)*설정!$B$10/2^6</f>
        <v>1.4015977282605</v>
      </c>
      <c r="Q13" s="17" t="n">
        <f aca="false">IF($D13&lt;=0,0,($C13^2/8*(P13-SIN(P13)))*(($C13^2/8*(P13-SIN(P13)))/($C13*P13/2))^(2/3)*$D13^0.5/$E13)</f>
        <v>0.00183547896480975</v>
      </c>
      <c r="R13" s="17" t="n">
        <f aca="false">P13+IF(Q13&lt;$B13,1,-1)*설정!$B$10/2^7</f>
        <v>1.3603742656646</v>
      </c>
      <c r="S13" s="17" t="n">
        <f aca="false">IF($D13&lt;=0,0,($C13^2/8*(R13-SIN(R13)))*(($C13^2/8*(R13-SIN(R13)))/($C13*R13/2))^(2/3)*$D13^0.5/$E13)</f>
        <v>0.00162819329290743</v>
      </c>
      <c r="T13" s="17" t="n">
        <f aca="false">R13+IF(S13&lt;$B13,1,-1)*설정!$B$10/2^8</f>
        <v>1.38098599696255</v>
      </c>
      <c r="U13" s="17" t="n">
        <f aca="false">IF($D13&lt;=0,0,($C13^2/8*(T13-SIN(T13)))*(($C13^2/8*(T13-SIN(T13)))/($C13*T13/2))^(2/3)*$D13^0.5/$E13)</f>
        <v>0.00172962872051952</v>
      </c>
      <c r="V13" s="17" t="n">
        <f aca="false">T13+IF(U13&lt;$B13,1,-1)*설정!$B$10/2^9</f>
        <v>1.39129186261152</v>
      </c>
      <c r="W13" s="17" t="n">
        <f aca="false">IF($D13&lt;=0,0,($C13^2/8*(V13-SIN(V13)))*(($C13^2/8*(V13-SIN(V13)))/($C13*V13/2))^(2/3)*$D13^0.5/$E13)</f>
        <v>0.00178199578728174</v>
      </c>
      <c r="X13" s="17" t="n">
        <f aca="false">V13+IF(W13&lt;$B13,1,-1)*설정!$B$10/2^10</f>
        <v>1.39644479543601</v>
      </c>
      <c r="Y13" s="17" t="n">
        <f aca="false">IF($D13&lt;=0,0,($C13^2/8*(X13-SIN(X13)))*(($C13^2/8*(X13-SIN(X13)))/($C13*X13/2))^(2/3)*$D13^0.5/$E13)</f>
        <v>0.00180859709050942</v>
      </c>
      <c r="Z13" s="17" t="n">
        <f aca="false">X13+IF(Y13&lt;$B13,1,-1)*설정!$B$10/2^11</f>
        <v>1.39386832902376</v>
      </c>
      <c r="AA13" s="17" t="n">
        <f aca="false">IF($D13&lt;=0,0,($C13^2/8*(Z13-SIN(Z13)))*(($C13^2/8*(Z13-SIN(Z13)))/($C13*Z13/2))^(2/3)*$D13^0.5/$E13)</f>
        <v>0.001795261463801</v>
      </c>
      <c r="AB13" s="17" t="n">
        <f aca="false">Z13+IF(AA13&lt;$B13,1,-1)*설정!$B$10/2^12</f>
        <v>1.39258009581764</v>
      </c>
      <c r="AC13" s="17" t="n">
        <f aca="false">IF($D13&lt;=0,0,($C13^2/8*(AB13-SIN(AB13)))*(($C13^2/8*(AB13-SIN(AB13)))/($C13*AB13/2))^(2/3)*$D13^0.5/$E13)</f>
        <v>0.00178861989381912</v>
      </c>
      <c r="AD13" s="17" t="n">
        <f aca="false">AB13+IF(AC13&lt;$B13,1,-1)*설정!$B$10/2^13</f>
        <v>1.3932242124207</v>
      </c>
      <c r="AE13" s="17" t="n">
        <f aca="false">IF($D13&lt;=0,0,($C13^2/8*(AD13-SIN(AD13)))*(($C13^2/8*(AD13-SIN(AD13)))/($C13*AD13/2))^(2/3)*$D13^0.5/$E13)</f>
        <v>0.0017919384943724</v>
      </c>
      <c r="AF13" s="17" t="n">
        <f aca="false">AD13+IF(AE13&lt;$B13,1,-1)*설정!$B$10/2^14</f>
        <v>1.39290215411917</v>
      </c>
      <c r="AG13" s="17" t="n">
        <f aca="false">IF($D13&lt;=0,0,($C13^2/8*(AF13-SIN(AF13)))*(($C13^2/8*(AF13-SIN(AF13)))/($C13*AF13/2))^(2/3)*$D13^0.5/$E13)</f>
        <v>0.00179027864817469</v>
      </c>
      <c r="AH13" s="17" t="n">
        <f aca="false">AF13+IF(AG13&lt;$B13,1,-1)*설정!$B$10/2^15</f>
        <v>1.39274112496841</v>
      </c>
      <c r="AI13" s="17" t="n">
        <f aca="false">IF($D13&lt;=0,0,($C13^2/8*(AH13-SIN(AH13)))*(($C13^2/8*(AH13-SIN(AH13)))/($C13*AH13/2))^(2/3)*$D13^0.5/$E13)</f>
        <v>0.00178944913454018</v>
      </c>
      <c r="AJ13" s="17" t="n">
        <f aca="false">AH13+IF(AI13&lt;$B13,1,-1)*설정!$B$10/2^16</f>
        <v>1.39266061039303</v>
      </c>
      <c r="AK13" s="17" t="n">
        <f aca="false">IF($D13&lt;=0,0,($C13^2/8*(AJ13-SIN(AJ13)))*(($C13^2/8*(AJ13-SIN(AJ13)))/($C13*AJ13/2))^(2/3)*$D13^0.5/$E13)</f>
        <v>0.00178903448006841</v>
      </c>
      <c r="AL13" s="17" t="n">
        <f aca="false">AJ13+IF(AK13&lt;$B13,1,-1)*설정!$B$10/2^17</f>
        <v>1.39262035310533</v>
      </c>
      <c r="AM13" s="17" t="n">
        <f aca="false">IF($D13&lt;=0,0,($C13^2/8*(AL13-SIN(AL13)))*(($C13^2/8*(AL13-SIN(AL13)))/($C13*AL13/2))^(2/3)*$D13^0.5/$E13)</f>
        <v>0.00178882717841632</v>
      </c>
      <c r="AN13" s="17" t="n">
        <f aca="false">AL13+IF(AM13&lt;$B13,1,-1)*설정!$B$10/2^18</f>
        <v>1.39264048174918</v>
      </c>
      <c r="AO13" s="17" t="n">
        <f aca="false">IF($D13&lt;=0,0,($C13^2/8*(AN13-SIN(AN13)))*(($C13^2/8*(AN13-SIN(AN13)))/($C13*AN13/2))^(2/3)*$D13^0.5/$E13)</f>
        <v>0.00178893082711046</v>
      </c>
      <c r="AP13" s="17" t="n">
        <f aca="false">AN13+IF(AO13&lt;$B13,1,-1)*설정!$B$10/2^19</f>
        <v>1.3926505460711</v>
      </c>
      <c r="AQ13" s="17" t="n">
        <f aca="false">IF($D13&lt;=0,0,($C13^2/8*(AP13-SIN(AP13)))*(($C13^2/8*(AP13-SIN(AP13)))/($C13*AP13/2))^(2/3)*$D13^0.5/$E13)</f>
        <v>0.00178898265305646</v>
      </c>
      <c r="AR13" s="17" t="n">
        <f aca="false">AP13+IF(AQ13&lt;$B13,1,-1)*설정!$B$10/2^20</f>
        <v>1.39265557823206</v>
      </c>
      <c r="AS13" s="17" t="n">
        <f aca="false">IF($D13&lt;=0,0,($C13^2/8*(AR13-SIN(AR13)))*(($C13^2/8*(AR13-SIN(AR13)))/($C13*AR13/2))^(2/3)*$D13^0.5/$E13)</f>
        <v>0.00178900856642919</v>
      </c>
      <c r="AT13" s="17" t="n">
        <f aca="false">AR13+IF(AS13&lt;$B13,1,-1)*설정!$B$10/2^21</f>
        <v>1.39265306215158</v>
      </c>
      <c r="AU13" s="17" t="n">
        <f aca="false">IF($D13&lt;=0,0,($C13^2/8*(AT13-SIN(AT13)))*(($C13^2/8*(AT13-SIN(AT13)))/($C13*AT13/2))^(2/3)*$D13^0.5/$E13)</f>
        <v>0.00178899560970951</v>
      </c>
      <c r="AV13" s="17" t="n">
        <f aca="false">AT13+IF(AU13&lt;$B13,1,-1)*설정!$B$10/2^22</f>
        <v>1.39265432019182</v>
      </c>
      <c r="AW13" s="17" t="n">
        <f aca="false">IF($D13&lt;=0,0,($C13^2/8*(AV13-SIN(AV13)))*(($C13^2/8*(AV13-SIN(AV13)))/($C13*AV13/2))^(2/3)*$D13^0.5/$E13)</f>
        <v>0.00178900208806102</v>
      </c>
      <c r="AX13" s="17" t="n">
        <f aca="false">AV13+IF(AW13&lt;$B13,1,-1)*설정!$B$10/2^23</f>
        <v>1.39265494921194</v>
      </c>
      <c r="AY13" s="17" t="n">
        <f aca="false">IF($D13&lt;=0,0,($C13^2/8*(AX13-SIN(AX13)))*(($C13^2/8*(AX13-SIN(AX13)))/($C13*AX13/2))^(2/3)*$D13^0.5/$E13)</f>
        <v>0.00178900532724302</v>
      </c>
      <c r="AZ13" s="17" t="n">
        <f aca="false">AX13+IF(AY13&lt;$B13,1,-1)*설정!$B$10/2^24</f>
        <v>1.39265463470188</v>
      </c>
      <c r="BA13" s="17" t="n">
        <f aca="false">IF($D13&lt;=0,0,($C13^2/8*(AZ13-SIN(AZ13)))*(($C13^2/8*(AZ13-SIN(AZ13)))/($C13*AZ13/2))^(2/3)*$D13^0.5/$E13)</f>
        <v>0.0017890037076515</v>
      </c>
      <c r="BB13" s="17" t="n">
        <f aca="false">AZ13+IF(BA13&lt;$B13,1,-1)*설정!$B$10/2^25</f>
        <v>1.39265479195691</v>
      </c>
      <c r="BC13" s="17" t="n">
        <f aca="false">IF($D13&lt;=0,0,($C13^2/8*(BB13-SIN(BB13)))*(($C13^2/8*(BB13-SIN(BB13)))/($C13*BB13/2))^(2/3)*$D13^0.5/$E13)</f>
        <v>0.00178900451744713</v>
      </c>
      <c r="BD13" s="17" t="n">
        <f aca="false">BB13+IF(BC13&lt;$B13,1,-1)*설정!$B$10/2^26</f>
        <v>1.39265487058443</v>
      </c>
      <c r="BE13" s="17" t="n">
        <f aca="false">IF($D13&lt;=0,0,($C13^2/8*(BD13-SIN(BD13)))*(($C13^2/8*(BD13-SIN(BD13)))/($C13*BD13/2))^(2/3)*$D13^0.5/$E13)</f>
        <v>0.00178900492234505</v>
      </c>
      <c r="BF13" s="17" t="n">
        <f aca="false">BD13+IF(BE13&lt;$B13,1,-1)*설정!$B$10/2^27</f>
        <v>1.39265483127067</v>
      </c>
      <c r="BG13" s="17" t="n">
        <f aca="false">IF($D13&lt;=0,0,($C13^2/8*(BF13-SIN(BF13)))*(($C13^2/8*(BF13-SIN(BF13)))/($C13*BF13/2))^(2/3)*$D13^0.5/$E13)</f>
        <v>0.00178900471989608</v>
      </c>
      <c r="BH13" s="17" t="n">
        <f aca="false">BF13+IF(BG13&lt;$B13,1,-1)*설정!$B$10/2^28</f>
        <v>1.39265481161379</v>
      </c>
      <c r="BI13" s="17" t="n">
        <f aca="false">IF($D13&lt;=0,0,($C13^2/8*(BH13-SIN(BH13)))*(($C13^2/8*(BH13-SIN(BH13)))/($C13*BH13/2))^(2/3)*$D13^0.5/$E13)</f>
        <v>0.00178900461867161</v>
      </c>
      <c r="BJ13" s="17" t="n">
        <f aca="false">BH13+IF(BI13&lt;$B13,1,-1)*설정!$B$10/2^29</f>
        <v>1.39265482144223</v>
      </c>
      <c r="BK13" s="17" t="n">
        <f aca="false">IF($D13&lt;=0,0,($C13^2/8*(BJ13-SIN(BJ13)))*(($C13^2/8*(BJ13-SIN(BJ13)))/($C13*BJ13/2))^(2/3)*$D13^0.5/$E13)</f>
        <v>0.00178900466928384</v>
      </c>
      <c r="BL13" s="17" t="n">
        <f aca="false">BJ13+IF(BK13&lt;$B13,1,-1)*설정!$B$10/2^30</f>
        <v>1.39265481652801</v>
      </c>
      <c r="BM13" s="17" t="n">
        <f aca="false">IF($D13&lt;=0,0,($C13^2/8*(BL13-SIN(BL13)))*(($C13^2/8*(BL13-SIN(BL13)))/($C13*BL13/2))^(2/3)*$D13^0.5/$E13)</f>
        <v>0.00178900464397772</v>
      </c>
      <c r="BN13" s="17" t="n">
        <f aca="false">BL13+IF(BM13&lt;$B13,1,-1)*설정!$B$10/2^31</f>
        <v>1.3926548140709</v>
      </c>
      <c r="BO13" s="17" t="n">
        <f aca="false">IF($D13&lt;=0,0,($C13^2/8*(BN13-SIN(BN13)))*(($C13^2/8*(BN13-SIN(BN13)))/($C13*BN13/2))^(2/3)*$D13^0.5/$E13)</f>
        <v>0.00178900463132466</v>
      </c>
      <c r="BP13" s="17" t="n">
        <f aca="false">BN13+IF(BO13&lt;$B13,1,-1)*설정!$B$10/2^32</f>
        <v>1.39265481284235</v>
      </c>
      <c r="BQ13" s="17" t="n">
        <f aca="false">IF($D13&lt;=0,0,($C13^2/8*(BP13-SIN(BP13)))*(($C13^2/8*(BP13-SIN(BP13)))/($C13*BP13/2))^(2/3)*$D13^0.5/$E13)</f>
        <v>0.00178900462499814</v>
      </c>
      <c r="BR13" s="17" t="n">
        <f aca="false">BP13+IF(BQ13&lt;$B13,1,-1)*설정!$B$10/2^33</f>
        <v>1.39265481345663</v>
      </c>
      <c r="BS13" s="17" t="n">
        <f aca="false">IF($D13&lt;=0,0,($C13^2/8*(BR13-SIN(BR13)))*(($C13^2/8*(BR13-SIN(BR13)))/($C13*BR13/2))^(2/3)*$D13^0.5/$E13)</f>
        <v>0.0017890046281614</v>
      </c>
      <c r="BT13" s="17" t="n">
        <f aca="false">BR13+IF(BS13&lt;$B13,1,-1)*설정!$B$10/2^34</f>
        <v>1.39265481376376</v>
      </c>
      <c r="BU13" s="17" t="n">
        <f aca="false">IF($D13&lt;=0,0,($C13^2/8*(BT13-SIN(BT13)))*(($C13^2/8*(BT13-SIN(BT13)))/($C13*BT13/2))^(2/3)*$D13^0.5/$E13)</f>
        <v>0.00178900462974303</v>
      </c>
      <c r="BV13" s="17" t="n">
        <f aca="false">BT13+IF(BU13&lt;$B13,1,-1)*설정!$B$10/2^35</f>
        <v>1.39265481361019</v>
      </c>
      <c r="BW13" s="17" t="n">
        <f aca="false">IF($D13&lt;=0,0,($C13^2/8*(BV13-SIN(BV13)))*(($C13^2/8*(BV13-SIN(BV13)))/($C13*BV13/2))^(2/3)*$D13^0.5/$E13)</f>
        <v>0.00178900462895222</v>
      </c>
      <c r="BX13" s="17" t="n">
        <f aca="false">BV13+IF(BW13&lt;$B13,1,-1)*설정!$B$10/2^36</f>
        <v>1.39265481368698</v>
      </c>
      <c r="BY13" s="17" t="n">
        <f aca="false">IF($D13&lt;=0,0,($C13^2/8*(BX13-SIN(BX13)))*(($C13^2/8*(BX13-SIN(BX13)))/($C13*BX13/2))^(2/3)*$D13^0.5/$E13)</f>
        <v>0.00178900462934762</v>
      </c>
      <c r="BZ13" s="17" t="n">
        <f aca="false">BX13+IF(BY13&lt;$B13,1,-1)*설정!$B$10/2^37</f>
        <v>1.39265481372537</v>
      </c>
      <c r="CA13" s="17" t="n">
        <f aca="false">IF($D13&lt;=0,0,($C13^2/8*(BZ13-SIN(BZ13)))*(($C13^2/8*(BZ13-SIN(BZ13)))/($C13*BZ13/2))^(2/3)*$D13^0.5/$E13)</f>
        <v>0.00178900462954533</v>
      </c>
      <c r="CB13" s="17" t="n">
        <f aca="false">BZ13+IF(CA13&lt;$B13,1,-1)*설정!$B$10/2^38</f>
        <v>1.39265481374457</v>
      </c>
      <c r="CC13" s="17" t="n">
        <f aca="false">IF($D13&lt;=0,0,($C13^2/8*(CB13-SIN(CB13)))*(($C13^2/8*(CB13-SIN(CB13)))/($C13*CB13/2))^(2/3)*$D13^0.5/$E13)</f>
        <v>0.00178900462964418</v>
      </c>
      <c r="CD13" s="17" t="n">
        <f aca="false">CB13+IF(CC13&lt;$B13,1,-1)*설정!$B$10/2^39</f>
        <v>1.39265481373497</v>
      </c>
      <c r="CE13" s="17" t="n">
        <f aca="false">IF($D13&lt;=0,0,($C13^2/8*(CD13-SIN(CD13)))*(($C13^2/8*(CD13-SIN(CD13)))/($C13*CD13/2))^(2/3)*$D13^0.5/$E13)</f>
        <v>0.00178900462959475</v>
      </c>
      <c r="CF13" s="17" t="n">
        <f aca="false">CD13+IF(CE13&lt;$B13,1,-1)*설정!$B$10/2^40</f>
        <v>1.39265481373977</v>
      </c>
      <c r="CG13" s="17" t="n">
        <f aca="false">IF($D13&lt;=0,0,($C13^2/8*(CF13-SIN(CF13)))*(($C13^2/8*(CF13-SIN(CF13)))/($C13*CF13/2))^(2/3)*$D13^0.5/$E13)</f>
        <v>0.00178900462961947</v>
      </c>
      <c r="CH13" s="17" t="n">
        <f aca="false">CF13+IF(CG13&lt;$B13,1,-1)*설정!$B$10/2^41</f>
        <v>1.39265481374217</v>
      </c>
    </row>
    <row r="14" customFormat="false" ht="15" hidden="false" customHeight="false" outlineLevel="0" collapsed="false">
      <c r="A14" s="14" t="str">
        <f aca="false">계산!A14</f>
        <v>BC-10</v>
      </c>
      <c r="B14" s="15" t="n">
        <f aca="false">계산!E14</f>
        <v>0.00178900462962963</v>
      </c>
      <c r="C14" s="14" t="n">
        <f aca="false">입력!E14/1000</f>
        <v>0.2</v>
      </c>
      <c r="D14" s="14" t="n">
        <f aca="false">(입력!F14-입력!G14)/입력!D14</f>
        <v>0.0163333333333334</v>
      </c>
      <c r="E14" s="14" t="n">
        <f aca="false">입력!J14</f>
        <v>0.011</v>
      </c>
      <c r="F14" s="16" t="n">
        <f aca="false">설정!$B$10/2</f>
        <v>2.6383016061374</v>
      </c>
      <c r="G14" s="17" t="n">
        <f aca="false">IF($D14&lt;=0,0,($C14^2/8*(F14-SIN(F14)))*(($C14^2/8*(F14-SIN(F14)))/($C14*F14/2))^(2/3)*$D14^0.5/$E14)</f>
        <v>0.0148578685821014</v>
      </c>
      <c r="H14" s="17" t="n">
        <f aca="false">F14+IF(G14&lt;$B14,1,-1)*설정!$B$10/2^2</f>
        <v>1.3191508030687</v>
      </c>
      <c r="I14" s="17" t="n">
        <f aca="false">IF($D14&lt;=0,0,($C14^2/8*(H14-SIN(H14)))*(($C14^2/8*(H14-SIN(H14)))/($C14*H14/2))^(2/3)*$D14^0.5/$E14)</f>
        <v>0.00114291756686912</v>
      </c>
      <c r="J14" s="17" t="n">
        <f aca="false">H14+IF(I14&lt;$B14,1,-1)*설정!$B$10/2^3</f>
        <v>1.97872620460305</v>
      </c>
      <c r="K14" s="17" t="n">
        <f aca="false">IF($D14&lt;=0,0,($C14^2/8*(J14-SIN(J14)))*(($C14^2/8*(J14-SIN(J14)))/($C14*J14/2))^(2/3)*$D14^0.5/$E14)</f>
        <v>0.00551926553312508</v>
      </c>
      <c r="L14" s="17" t="n">
        <f aca="false">J14+IF(K14&lt;$B14,1,-1)*설정!$B$10/2^4</f>
        <v>1.64893850383588</v>
      </c>
      <c r="M14" s="17" t="n">
        <f aca="false">IF($D14&lt;=0,0,($C14^2/8*(L14-SIN(L14)))*(($C14^2/8*(L14-SIN(L14)))/($C14*L14/2))^(2/3)*$D14^0.5/$E14)</f>
        <v>0.00276923647014099</v>
      </c>
      <c r="N14" s="17" t="n">
        <f aca="false">L14+IF(M14&lt;$B14,1,-1)*설정!$B$10/2^5</f>
        <v>1.48404465345229</v>
      </c>
      <c r="O14" s="17" t="n">
        <f aca="false">IF($D14&lt;=0,0,($C14^2/8*(N14-SIN(N14)))*(($C14^2/8*(N14-SIN(N14)))/($C14*N14/2))^(2/3)*$D14^0.5/$E14)</f>
        <v>0.00183178358142803</v>
      </c>
      <c r="P14" s="17" t="n">
        <f aca="false">N14+IF(O14&lt;$B14,1,-1)*설정!$B$10/2^6</f>
        <v>1.4015977282605</v>
      </c>
      <c r="Q14" s="17" t="n">
        <f aca="false">IF($D14&lt;=0,0,($C14^2/8*(P14-SIN(P14)))*(($C14^2/8*(P14-SIN(P14)))/($C14*P14/2))^(2/3)*$D14^0.5/$E14)</f>
        <v>0.00145866375471955</v>
      </c>
      <c r="R14" s="17" t="n">
        <f aca="false">P14+IF(Q14&lt;$B14,1,-1)*설정!$B$10/2^7</f>
        <v>1.44282119085639</v>
      </c>
      <c r="S14" s="17" t="n">
        <f aca="false">IF($D14&lt;=0,0,($C14^2/8*(R14-SIN(R14)))*(($C14^2/8*(R14-SIN(R14)))/($C14*R14/2))^(2/3)*$D14^0.5/$E14)</f>
        <v>0.00163774179497928</v>
      </c>
      <c r="T14" s="17" t="n">
        <f aca="false">R14+IF(S14&lt;$B14,1,-1)*설정!$B$10/2^8</f>
        <v>1.46343292215434</v>
      </c>
      <c r="U14" s="17" t="n">
        <f aca="false">IF($D14&lt;=0,0,($C14^2/8*(T14-SIN(T14)))*(($C14^2/8*(T14-SIN(T14)))/($C14*T14/2))^(2/3)*$D14^0.5/$E14)</f>
        <v>0.00173285434491976</v>
      </c>
      <c r="V14" s="17" t="n">
        <f aca="false">T14+IF(U14&lt;$B14,1,-1)*설정!$B$10/2^9</f>
        <v>1.47373878780331</v>
      </c>
      <c r="W14" s="17" t="n">
        <f aca="false">IF($D14&lt;=0,0,($C14^2/8*(V14-SIN(V14)))*(($C14^2/8*(V14-SIN(V14)))/($C14*V14/2))^(2/3)*$D14^0.5/$E14)</f>
        <v>0.00178183720638546</v>
      </c>
      <c r="X14" s="17" t="n">
        <f aca="false">V14+IF(W14&lt;$B14,1,-1)*설정!$B$10/2^10</f>
        <v>1.4788917206278</v>
      </c>
      <c r="Y14" s="17" t="n">
        <f aca="false">IF($D14&lt;=0,0,($C14^2/8*(X14-SIN(X14)))*(($C14^2/8*(X14-SIN(X14)))/($C14*X14/2))^(2/3)*$D14^0.5/$E14)</f>
        <v>0.00180668937503168</v>
      </c>
      <c r="Z14" s="17" t="n">
        <f aca="false">X14+IF(Y14&lt;$B14,1,-1)*설정!$B$10/2^11</f>
        <v>1.47631525421556</v>
      </c>
      <c r="AA14" s="17" t="n">
        <f aca="false">IF($D14&lt;=0,0,($C14^2/8*(Z14-SIN(Z14)))*(($C14^2/8*(Z14-SIN(Z14)))/($C14*Z14/2))^(2/3)*$D14^0.5/$E14)</f>
        <v>0.00179423310825793</v>
      </c>
      <c r="AB14" s="17" t="n">
        <f aca="false">Z14+IF(AA14&lt;$B14,1,-1)*설정!$B$10/2^12</f>
        <v>1.47502702100944</v>
      </c>
      <c r="AC14" s="17" t="n">
        <f aca="false">IF($D14&lt;=0,0,($C14^2/8*(AB14-SIN(AB14)))*(($C14^2/8*(AB14-SIN(AB14)))/($C14*AB14/2))^(2/3)*$D14^0.5/$E14)</f>
        <v>0.00178802762075945</v>
      </c>
      <c r="AD14" s="17" t="n">
        <f aca="false">AB14+IF(AC14&lt;$B14,1,-1)*설정!$B$10/2^13</f>
        <v>1.4756711376125</v>
      </c>
      <c r="AE14" s="17" t="n">
        <f aca="false">IF($D14&lt;=0,0,($C14^2/8*(AD14-SIN(AD14)))*(($C14^2/8*(AD14-SIN(AD14)))/($C14*AD14/2))^(2/3)*$D14^0.5/$E14)</f>
        <v>0.00179112847923608</v>
      </c>
      <c r="AF14" s="17" t="n">
        <f aca="false">AD14+IF(AE14&lt;$B14,1,-1)*설정!$B$10/2^14</f>
        <v>1.47534907931097</v>
      </c>
      <c r="AG14" s="17" t="n">
        <f aca="false">IF($D14&lt;=0,0,($C14^2/8*(AF14-SIN(AF14)))*(($C14^2/8*(AF14-SIN(AF14)))/($C14*AF14/2))^(2/3)*$D14^0.5/$E14)</f>
        <v>0.00178957757882107</v>
      </c>
      <c r="AH14" s="17" t="n">
        <f aca="false">AF14+IF(AG14&lt;$B14,1,-1)*설정!$B$10/2^15</f>
        <v>1.4751880501602</v>
      </c>
      <c r="AI14" s="17" t="n">
        <f aca="false">IF($D14&lt;=0,0,($C14^2/8*(AH14-SIN(AH14)))*(($C14^2/8*(AH14-SIN(AH14)))/($C14*AH14/2))^(2/3)*$D14^0.5/$E14)</f>
        <v>0.00178880248201377</v>
      </c>
      <c r="AJ14" s="17" t="n">
        <f aca="false">AH14+IF(AI14&lt;$B14,1,-1)*설정!$B$10/2^16</f>
        <v>1.47526856473558</v>
      </c>
      <c r="AK14" s="17" t="n">
        <f aca="false">IF($D14&lt;=0,0,($C14^2/8*(AJ14-SIN(AJ14)))*(($C14^2/8*(AJ14-SIN(AJ14)))/($C14*AJ14/2))^(2/3)*$D14^0.5/$E14)</f>
        <v>0.00178919000097109</v>
      </c>
      <c r="AL14" s="17" t="n">
        <f aca="false">AJ14+IF(AK14&lt;$B14,1,-1)*설정!$B$10/2^17</f>
        <v>1.47522830744789</v>
      </c>
      <c r="AM14" s="17" t="n">
        <f aca="false">IF($D14&lt;=0,0,($C14^2/8*(AL14-SIN(AL14)))*(($C14^2/8*(AL14-SIN(AL14)))/($C14*AL14/2))^(2/3)*$D14^0.5/$E14)</f>
        <v>0.00178899623413113</v>
      </c>
      <c r="AN14" s="17" t="n">
        <f aca="false">AL14+IF(AM14&lt;$B14,1,-1)*설정!$B$10/2^18</f>
        <v>1.47524843609174</v>
      </c>
      <c r="AO14" s="17" t="n">
        <f aca="false">IF($D14&lt;=0,0,($C14^2/8*(AN14-SIN(AN14)))*(($C14^2/8*(AN14-SIN(AN14)))/($C14*AN14/2))^(2/3)*$D14^0.5/$E14)</f>
        <v>0.00178909311571075</v>
      </c>
      <c r="AP14" s="17" t="n">
        <f aca="false">AN14+IF(AO14&lt;$B14,1,-1)*설정!$B$10/2^19</f>
        <v>1.47523837176982</v>
      </c>
      <c r="AQ14" s="17" t="n">
        <f aca="false">IF($D14&lt;=0,0,($C14^2/8*(AP14-SIN(AP14)))*(($C14^2/8*(AP14-SIN(AP14)))/($C14*AP14/2))^(2/3)*$D14^0.5/$E14)</f>
        <v>0.00178904467446085</v>
      </c>
      <c r="AR14" s="17" t="n">
        <f aca="false">AP14+IF(AQ14&lt;$B14,1,-1)*설정!$B$10/2^20</f>
        <v>1.47523333960885</v>
      </c>
      <c r="AS14" s="17" t="n">
        <f aca="false">IF($D14&lt;=0,0,($C14^2/8*(AR14-SIN(AR14)))*(($C14^2/8*(AR14-SIN(AR14)))/($C14*AR14/2))^(2/3)*$D14^0.5/$E14)</f>
        <v>0.00178902045418097</v>
      </c>
      <c r="AT14" s="17" t="n">
        <f aca="false">AR14+IF(AS14&lt;$B14,1,-1)*설정!$B$10/2^21</f>
        <v>1.47523082352837</v>
      </c>
      <c r="AU14" s="17" t="n">
        <f aca="false">IF($D14&lt;=0,0,($C14^2/8*(AT14-SIN(AT14)))*(($C14^2/8*(AT14-SIN(AT14)))/($C14*AT14/2))^(2/3)*$D14^0.5/$E14)</f>
        <v>0.00178900834412729</v>
      </c>
      <c r="AV14" s="17" t="n">
        <f aca="false">AT14+IF(AU14&lt;$B14,1,-1)*설정!$B$10/2^22</f>
        <v>1.47522956548813</v>
      </c>
      <c r="AW14" s="17" t="n">
        <f aca="false">IF($D14&lt;=0,0,($C14^2/8*(AV14-SIN(AV14)))*(($C14^2/8*(AV14-SIN(AV14)))/($C14*AV14/2))^(2/3)*$D14^0.5/$E14)</f>
        <v>0.00178900228912202</v>
      </c>
      <c r="AX14" s="17" t="n">
        <f aca="false">AV14+IF(AW14&lt;$B14,1,-1)*설정!$B$10/2^23</f>
        <v>1.47523019450825</v>
      </c>
      <c r="AY14" s="17" t="n">
        <f aca="false">IF($D14&lt;=0,0,($C14^2/8*(AX14-SIN(AX14)))*(($C14^2/8*(AX14-SIN(AX14)))/($C14*AX14/2))^(2/3)*$D14^0.5/$E14)</f>
        <v>0.00178900531662286</v>
      </c>
      <c r="AZ14" s="17" t="n">
        <f aca="false">AX14+IF(AY14&lt;$B14,1,-1)*설정!$B$10/2^24</f>
        <v>1.47522987999819</v>
      </c>
      <c r="BA14" s="17" t="n">
        <f aca="false">IF($D14&lt;=0,0,($C14^2/8*(AZ14-SIN(AZ14)))*(($C14^2/8*(AZ14-SIN(AZ14)))/($C14*AZ14/2))^(2/3)*$D14^0.5/$E14)</f>
        <v>0.00178900380287199</v>
      </c>
      <c r="BB14" s="17" t="n">
        <f aca="false">AZ14+IF(BA14&lt;$B14,1,-1)*설정!$B$10/2^25</f>
        <v>1.47523003725322</v>
      </c>
      <c r="BC14" s="17" t="n">
        <f aca="false">IF($D14&lt;=0,0,($C14^2/8*(BB14-SIN(BB14)))*(($C14^2/8*(BB14-SIN(BB14)))/($C14*BB14/2))^(2/3)*$D14^0.5/$E14)</f>
        <v>0.00178900455974731</v>
      </c>
      <c r="BD14" s="17" t="n">
        <f aca="false">BB14+IF(BC14&lt;$B14,1,-1)*설정!$B$10/2^26</f>
        <v>1.47523011588074</v>
      </c>
      <c r="BE14" s="17" t="n">
        <f aca="false">IF($D14&lt;=0,0,($C14^2/8*(BD14-SIN(BD14)))*(($C14^2/8*(BD14-SIN(BD14)))/($C14*BD14/2))^(2/3)*$D14^0.5/$E14)</f>
        <v>0.00178900493818506</v>
      </c>
      <c r="BF14" s="17" t="n">
        <f aca="false">BD14+IF(BE14&lt;$B14,1,-1)*설정!$B$10/2^27</f>
        <v>1.47523007656698</v>
      </c>
      <c r="BG14" s="17" t="n">
        <f aca="false">IF($D14&lt;=0,0,($C14^2/8*(BF14-SIN(BF14)))*(($C14^2/8*(BF14-SIN(BF14)))/($C14*BF14/2))^(2/3)*$D14^0.5/$E14)</f>
        <v>0.00178900474896618</v>
      </c>
      <c r="BH14" s="17" t="n">
        <f aca="false">BF14+IF(BG14&lt;$B14,1,-1)*설정!$B$10/2^28</f>
        <v>1.4752300569101</v>
      </c>
      <c r="BI14" s="17" t="n">
        <f aca="false">IF($D14&lt;=0,0,($C14^2/8*(BH14-SIN(BH14)))*(($C14^2/8*(BH14-SIN(BH14)))/($C14*BH14/2))^(2/3)*$D14^0.5/$E14)</f>
        <v>0.00178900465435674</v>
      </c>
      <c r="BJ14" s="17" t="n">
        <f aca="false">BH14+IF(BI14&lt;$B14,1,-1)*설정!$B$10/2^29</f>
        <v>1.47523004708166</v>
      </c>
      <c r="BK14" s="17" t="n">
        <f aca="false">IF($D14&lt;=0,0,($C14^2/8*(BJ14-SIN(BJ14)))*(($C14^2/8*(BJ14-SIN(BJ14)))/($C14*BJ14/2))^(2/3)*$D14^0.5/$E14)</f>
        <v>0.00178900460705203</v>
      </c>
      <c r="BL14" s="17" t="n">
        <f aca="false">BJ14+IF(BK14&lt;$B14,1,-1)*설정!$B$10/2^30</f>
        <v>1.47523005199588</v>
      </c>
      <c r="BM14" s="17" t="n">
        <f aca="false">IF($D14&lt;=0,0,($C14^2/8*(BL14-SIN(BL14)))*(($C14^2/8*(BL14-SIN(BL14)))/($C14*BL14/2))^(2/3)*$D14^0.5/$E14)</f>
        <v>0.00178900463070438</v>
      </c>
      <c r="BN14" s="17" t="n">
        <f aca="false">BL14+IF(BM14&lt;$B14,1,-1)*설정!$B$10/2^31</f>
        <v>1.47523004953877</v>
      </c>
      <c r="BO14" s="17" t="n">
        <f aca="false">IF($D14&lt;=0,0,($C14^2/8*(BN14-SIN(BN14)))*(($C14^2/8*(BN14-SIN(BN14)))/($C14*BN14/2))^(2/3)*$D14^0.5/$E14)</f>
        <v>0.0017890046188782</v>
      </c>
      <c r="BP14" s="17" t="n">
        <f aca="false">BN14+IF(BO14&lt;$B14,1,-1)*설정!$B$10/2^32</f>
        <v>1.47523005076733</v>
      </c>
      <c r="BQ14" s="17" t="n">
        <f aca="false">IF($D14&lt;=0,0,($C14^2/8*(BP14-SIN(BP14)))*(($C14^2/8*(BP14-SIN(BP14)))/($C14*BP14/2))^(2/3)*$D14^0.5/$E14)</f>
        <v>0.00178900462479129</v>
      </c>
      <c r="BR14" s="17" t="n">
        <f aca="false">BP14+IF(BQ14&lt;$B14,1,-1)*설정!$B$10/2^33</f>
        <v>1.47523005138161</v>
      </c>
      <c r="BS14" s="17" t="n">
        <f aca="false">IF($D14&lt;=0,0,($C14^2/8*(BR14-SIN(BR14)))*(($C14^2/8*(BR14-SIN(BR14)))/($C14*BR14/2))^(2/3)*$D14^0.5/$E14)</f>
        <v>0.00178900462774784</v>
      </c>
      <c r="BT14" s="17" t="n">
        <f aca="false">BR14+IF(BS14&lt;$B14,1,-1)*설정!$B$10/2^34</f>
        <v>1.47523005168874</v>
      </c>
      <c r="BU14" s="17" t="n">
        <f aca="false">IF($D14&lt;=0,0,($C14^2/8*(BT14-SIN(BT14)))*(($C14^2/8*(BT14-SIN(BT14)))/($C14*BT14/2))^(2/3)*$D14^0.5/$E14)</f>
        <v>0.00178900462922611</v>
      </c>
      <c r="BV14" s="17" t="n">
        <f aca="false">BT14+IF(BU14&lt;$B14,1,-1)*설정!$B$10/2^35</f>
        <v>1.47523005184231</v>
      </c>
      <c r="BW14" s="17" t="n">
        <f aca="false">IF($D14&lt;=0,0,($C14^2/8*(BV14-SIN(BV14)))*(($C14^2/8*(BV14-SIN(BV14)))/($C14*BV14/2))^(2/3)*$D14^0.5/$E14)</f>
        <v>0.00178900462996525</v>
      </c>
      <c r="BX14" s="17" t="n">
        <f aca="false">BV14+IF(BW14&lt;$B14,1,-1)*설정!$B$10/2^36</f>
        <v>1.47523005176553</v>
      </c>
      <c r="BY14" s="17" t="n">
        <f aca="false">IF($D14&lt;=0,0,($C14^2/8*(BX14-SIN(BX14)))*(($C14^2/8*(BX14-SIN(BX14)))/($C14*BX14/2))^(2/3)*$D14^0.5/$E14)</f>
        <v>0.00178900462959568</v>
      </c>
      <c r="BZ14" s="17" t="n">
        <f aca="false">BX14+IF(BY14&lt;$B14,1,-1)*설정!$B$10/2^37</f>
        <v>1.47523005180392</v>
      </c>
      <c r="CA14" s="17" t="n">
        <f aca="false">IF($D14&lt;=0,0,($C14^2/8*(BZ14-SIN(BZ14)))*(($C14^2/8*(BZ14-SIN(BZ14)))/($C14*BZ14/2))^(2/3)*$D14^0.5/$E14)</f>
        <v>0.00178900462978046</v>
      </c>
      <c r="CB14" s="17" t="n">
        <f aca="false">BZ14+IF(CA14&lt;$B14,1,-1)*설정!$B$10/2^38</f>
        <v>1.47523005178472</v>
      </c>
      <c r="CC14" s="17" t="n">
        <f aca="false">IF($D14&lt;=0,0,($C14^2/8*(CB14-SIN(CB14)))*(($C14^2/8*(CB14-SIN(CB14)))/($C14*CB14/2))^(2/3)*$D14^0.5/$E14)</f>
        <v>0.00178900462968807</v>
      </c>
      <c r="CD14" s="17" t="n">
        <f aca="false">CB14+IF(CC14&lt;$B14,1,-1)*설정!$B$10/2^39</f>
        <v>1.47523005177513</v>
      </c>
      <c r="CE14" s="17" t="n">
        <f aca="false">IF($D14&lt;=0,0,($C14^2/8*(CD14-SIN(CD14)))*(($C14^2/8*(CD14-SIN(CD14)))/($C14*CD14/2))^(2/3)*$D14^0.5/$E14)</f>
        <v>0.00178900462964188</v>
      </c>
      <c r="CF14" s="17" t="n">
        <f aca="false">CD14+IF(CE14&lt;$B14,1,-1)*설정!$B$10/2^40</f>
        <v>1.47523005177033</v>
      </c>
      <c r="CG14" s="17" t="n">
        <f aca="false">IF($D14&lt;=0,0,($C14^2/8*(CF14-SIN(CF14)))*(($C14^2/8*(CF14-SIN(CF14)))/($C14*CF14/2))^(2/3)*$D14^0.5/$E14)</f>
        <v>0.00178900462961878</v>
      </c>
      <c r="CH14" s="17" t="n">
        <f aca="false">CF14+IF(CG14&lt;$B14,1,-1)*설정!$B$10/2^41</f>
        <v>1.47523005177273</v>
      </c>
    </row>
    <row r="15" customFormat="false" ht="15" hidden="false" customHeight="false" outlineLevel="0" collapsed="false">
      <c r="A15" s="14" t="str">
        <f aca="false">계산!A15</f>
        <v>BC-11</v>
      </c>
      <c r="B15" s="15" t="n">
        <f aca="false">계산!E15</f>
        <v>0.00178900462962963</v>
      </c>
      <c r="C15" s="14" t="n">
        <f aca="false">입력!E15/1000</f>
        <v>0.2</v>
      </c>
      <c r="D15" s="14" t="n">
        <f aca="false">(입력!F15-입력!G15)/입력!D15</f>
        <v>0.0115</v>
      </c>
      <c r="E15" s="14" t="n">
        <f aca="false">입력!J15</f>
        <v>0.011</v>
      </c>
      <c r="F15" s="16" t="n">
        <f aca="false">설정!$B$10/2</f>
        <v>2.6383016061374</v>
      </c>
      <c r="G15" s="17" t="n">
        <f aca="false">IF($D15&lt;=0,0,($C15^2/8*(F15-SIN(F15)))*(($C15^2/8*(F15-SIN(F15)))/($C15*F15/2))^(2/3)*$D15^0.5/$E15)</f>
        <v>0.0124671739827594</v>
      </c>
      <c r="H15" s="17" t="n">
        <f aca="false">F15+IF(G15&lt;$B15,1,-1)*설정!$B$10/2^2</f>
        <v>1.3191508030687</v>
      </c>
      <c r="I15" s="17" t="n">
        <f aca="false">IF($D15&lt;=0,0,($C15^2/8*(H15-SIN(H15)))*(($C15^2/8*(H15-SIN(H15)))/($C15*H15/2))^(2/3)*$D15^0.5/$E15)</f>
        <v>0.000959017242303148</v>
      </c>
      <c r="J15" s="17" t="n">
        <f aca="false">H15+IF(I15&lt;$B15,1,-1)*설정!$B$10/2^3</f>
        <v>1.97872620460305</v>
      </c>
      <c r="K15" s="17" t="n">
        <f aca="false">IF($D15&lt;=0,0,($C15^2/8*(J15-SIN(J15)))*(($C15^2/8*(J15-SIN(J15)))/($C15*J15/2))^(2/3)*$D15^0.5/$E15)</f>
        <v>0.00463119210392061</v>
      </c>
      <c r="L15" s="17" t="n">
        <f aca="false">J15+IF(K15&lt;$B15,1,-1)*설정!$B$10/2^4</f>
        <v>1.64893850383588</v>
      </c>
      <c r="M15" s="17" t="n">
        <f aca="false">IF($D15&lt;=0,0,($C15^2/8*(L15-SIN(L15)))*(($C15^2/8*(L15-SIN(L15)))/($C15*L15/2))^(2/3)*$D15^0.5/$E15)</f>
        <v>0.00232365447855964</v>
      </c>
      <c r="N15" s="17" t="n">
        <f aca="false">L15+IF(M15&lt;$B15,1,-1)*설정!$B$10/2^5</f>
        <v>1.48404465345229</v>
      </c>
      <c r="O15" s="17" t="n">
        <f aca="false">IF($D15&lt;=0,0,($C15^2/8*(N15-SIN(N15)))*(($C15^2/8*(N15-SIN(N15)))/($C15*N15/2))^(2/3)*$D15^0.5/$E15)</f>
        <v>0.00153704176896116</v>
      </c>
      <c r="P15" s="17" t="n">
        <f aca="false">N15+IF(O15&lt;$B15,1,-1)*설정!$B$10/2^6</f>
        <v>1.56649157864408</v>
      </c>
      <c r="Q15" s="17" t="n">
        <f aca="false">IF($D15&lt;=0,0,($C15^2/8*(P15-SIN(P15)))*(($C15^2/8*(P15-SIN(P15)))/($C15*P15/2))^(2/3)*$D15^0.5/$E15)</f>
        <v>0.00190234143784422</v>
      </c>
      <c r="R15" s="17" t="n">
        <f aca="false">P15+IF(Q15&lt;$B15,1,-1)*설정!$B$10/2^7</f>
        <v>1.52526811604819</v>
      </c>
      <c r="S15" s="17" t="n">
        <f aca="false">IF($D15&lt;=0,0,($C15^2/8*(R15-SIN(R15)))*(($C15^2/8*(R15-SIN(R15)))/($C15*R15/2))^(2/3)*$D15^0.5/$E15)</f>
        <v>0.00171291984698733</v>
      </c>
      <c r="T15" s="17" t="n">
        <f aca="false">R15+IF(S15&lt;$B15,1,-1)*설정!$B$10/2^8</f>
        <v>1.54587984734613</v>
      </c>
      <c r="U15" s="17" t="n">
        <f aca="false">IF($D15&lt;=0,0,($C15^2/8*(T15-SIN(T15)))*(($C15^2/8*(T15-SIN(T15)))/($C15*T15/2))^(2/3)*$D15^0.5/$E15)</f>
        <v>0.00180590812971989</v>
      </c>
      <c r="V15" s="17" t="n">
        <f aca="false">T15+IF(U15&lt;$B15,1,-1)*설정!$B$10/2^9</f>
        <v>1.53557398169716</v>
      </c>
      <c r="W15" s="17" t="n">
        <f aca="false">IF($D15&lt;=0,0,($C15^2/8*(V15-SIN(V15)))*(($C15^2/8*(V15-SIN(V15)))/($C15*V15/2))^(2/3)*$D15^0.5/$E15)</f>
        <v>0.00175898700784559</v>
      </c>
      <c r="X15" s="17" t="n">
        <f aca="false">V15+IF(W15&lt;$B15,1,-1)*설정!$B$10/2^10</f>
        <v>1.54072691452165</v>
      </c>
      <c r="Y15" s="17" t="n">
        <f aca="false">IF($D15&lt;=0,0,($C15^2/8*(X15-SIN(X15)))*(($C15^2/8*(X15-SIN(X15)))/($C15*X15/2))^(2/3)*$D15^0.5/$E15)</f>
        <v>0.00178234036453492</v>
      </c>
      <c r="Z15" s="17" t="n">
        <f aca="false">X15+IF(Y15&lt;$B15,1,-1)*설정!$B$10/2^11</f>
        <v>1.54330338093389</v>
      </c>
      <c r="AA15" s="17" t="n">
        <f aca="false">IF($D15&lt;=0,0,($C15^2/8*(Z15-SIN(Z15)))*(($C15^2/8*(Z15-SIN(Z15)))/($C15*Z15/2))^(2/3)*$D15^0.5/$E15)</f>
        <v>0.00179409738894858</v>
      </c>
      <c r="AB15" s="17" t="n">
        <f aca="false">Z15+IF(AA15&lt;$B15,1,-1)*설정!$B$10/2^12</f>
        <v>1.54201514772777</v>
      </c>
      <c r="AC15" s="17" t="n">
        <f aca="false">IF($D15&lt;=0,0,($C15^2/8*(AB15-SIN(AB15)))*(($C15^2/8*(AB15-SIN(AB15)))/($C15*AB15/2))^(2/3)*$D15^0.5/$E15)</f>
        <v>0.00178821216932434</v>
      </c>
      <c r="AD15" s="17" t="n">
        <f aca="false">AB15+IF(AC15&lt;$B15,1,-1)*설정!$B$10/2^13</f>
        <v>1.54265926433083</v>
      </c>
      <c r="AE15" s="17" t="n">
        <f aca="false">IF($D15&lt;=0,0,($C15^2/8*(AD15-SIN(AD15)))*(($C15^2/8*(AD15-SIN(AD15)))/($C15*AD15/2))^(2/3)*$D15^0.5/$E15)</f>
        <v>0.00179115310139042</v>
      </c>
      <c r="AF15" s="17" t="n">
        <f aca="false">AD15+IF(AE15&lt;$B15,1,-1)*설정!$B$10/2^14</f>
        <v>1.5423372060293</v>
      </c>
      <c r="AG15" s="17" t="n">
        <f aca="false">IF($D15&lt;=0,0,($C15^2/8*(AF15-SIN(AF15)))*(($C15^2/8*(AF15-SIN(AF15)))/($C15*AF15/2))^(2/3)*$D15^0.5/$E15)</f>
        <v>0.00178968221603228</v>
      </c>
      <c r="AH15" s="17" t="n">
        <f aca="false">AF15+IF(AG15&lt;$B15,1,-1)*설정!$B$10/2^15</f>
        <v>1.54217617687853</v>
      </c>
      <c r="AI15" s="17" t="n">
        <f aca="false">IF($D15&lt;=0,0,($C15^2/8*(AH15-SIN(AH15)))*(($C15^2/8*(AH15-SIN(AH15)))/($C15*AH15/2))^(2/3)*$D15^0.5/$E15)</f>
        <v>0.00178894708786097</v>
      </c>
      <c r="AJ15" s="17" t="n">
        <f aca="false">AH15+IF(AI15&lt;$B15,1,-1)*설정!$B$10/2^16</f>
        <v>1.54225669145392</v>
      </c>
      <c r="AK15" s="17" t="n">
        <f aca="false">IF($D15&lt;=0,0,($C15^2/8*(AJ15-SIN(AJ15)))*(($C15^2/8*(AJ15-SIN(AJ15)))/($C15*AJ15/2))^(2/3)*$D15^0.5/$E15)</f>
        <v>0.00178931462574055</v>
      </c>
      <c r="AL15" s="17" t="n">
        <f aca="false">AJ15+IF(AK15&lt;$B15,1,-1)*설정!$B$10/2^17</f>
        <v>1.54221643416623</v>
      </c>
      <c r="AM15" s="17" t="n">
        <f aca="false">IF($D15&lt;=0,0,($C15^2/8*(AL15-SIN(AL15)))*(($C15^2/8*(AL15-SIN(AL15)))/($C15*AL15/2))^(2/3)*$D15^0.5/$E15)</f>
        <v>0.00178913085024946</v>
      </c>
      <c r="AN15" s="17" t="n">
        <f aca="false">AL15+IF(AM15&lt;$B15,1,-1)*설정!$B$10/2^18</f>
        <v>1.54219630552238</v>
      </c>
      <c r="AO15" s="17" t="n">
        <f aca="false">IF($D15&lt;=0,0,($C15^2/8*(AN15-SIN(AN15)))*(($C15^2/8*(AN15-SIN(AN15)))/($C15*AN15/2))^(2/3)*$D15^0.5/$E15)</f>
        <v>0.00178903896741741</v>
      </c>
      <c r="AP15" s="17" t="n">
        <f aca="false">AN15+IF(AO15&lt;$B15,1,-1)*설정!$B$10/2^19</f>
        <v>1.54218624120046</v>
      </c>
      <c r="AQ15" s="17" t="n">
        <f aca="false">IF($D15&lt;=0,0,($C15^2/8*(AP15-SIN(AP15)))*(($C15^2/8*(AP15-SIN(AP15)))/($C15*AP15/2))^(2/3)*$D15^0.5/$E15)</f>
        <v>0.00178899302722975</v>
      </c>
      <c r="AR15" s="17" t="n">
        <f aca="false">AP15+IF(AQ15&lt;$B15,1,-1)*설정!$B$10/2^20</f>
        <v>1.54219127336142</v>
      </c>
      <c r="AS15" s="17" t="n">
        <f aca="false">IF($D15&lt;=0,0,($C15^2/8*(AR15-SIN(AR15)))*(($C15^2/8*(AR15-SIN(AR15)))/($C15*AR15/2))^(2/3)*$D15^0.5/$E15)</f>
        <v>0.00178901599722122</v>
      </c>
      <c r="AT15" s="17" t="n">
        <f aca="false">AR15+IF(AS15&lt;$B15,1,-1)*설정!$B$10/2^21</f>
        <v>1.54218875728094</v>
      </c>
      <c r="AU15" s="17" t="n">
        <f aca="false">IF($D15&lt;=0,0,($C15^2/8*(AT15-SIN(AT15)))*(($C15^2/8*(AT15-SIN(AT15)))/($C15*AT15/2))^(2/3)*$D15^0.5/$E15)</f>
        <v>0.00178900451219989</v>
      </c>
      <c r="AV15" s="17" t="n">
        <f aca="false">AT15+IF(AU15&lt;$B15,1,-1)*설정!$B$10/2^22</f>
        <v>1.54219001532118</v>
      </c>
      <c r="AW15" s="17" t="n">
        <f aca="false">IF($D15&lt;=0,0,($C15^2/8*(AV15-SIN(AV15)))*(($C15^2/8*(AV15-SIN(AV15)))/($C15*AV15/2))^(2/3)*$D15^0.5/$E15)</f>
        <v>0.00178901025470416</v>
      </c>
      <c r="AX15" s="17" t="n">
        <f aca="false">AV15+IF(AW15&lt;$B15,1,-1)*설정!$B$10/2^23</f>
        <v>1.54218938630106</v>
      </c>
      <c r="AY15" s="17" t="n">
        <f aca="false">IF($D15&lt;=0,0,($C15^2/8*(AX15-SIN(AX15)))*(($C15^2/8*(AX15-SIN(AX15)))/($C15*AX15/2))^(2/3)*$D15^0.5/$E15)</f>
        <v>0.00178900738345043</v>
      </c>
      <c r="AZ15" s="17" t="n">
        <f aca="false">AX15+IF(AY15&lt;$B15,1,-1)*설정!$B$10/2^24</f>
        <v>1.542189071791</v>
      </c>
      <c r="BA15" s="17" t="n">
        <f aca="false">IF($D15&lt;=0,0,($C15^2/8*(AZ15-SIN(AZ15)))*(($C15^2/8*(AZ15-SIN(AZ15)))/($C15*AZ15/2))^(2/3)*$D15^0.5/$E15)</f>
        <v>0.00178900594782476</v>
      </c>
      <c r="BB15" s="17" t="n">
        <f aca="false">AZ15+IF(BA15&lt;$B15,1,-1)*설정!$B$10/2^25</f>
        <v>1.54218891453597</v>
      </c>
      <c r="BC15" s="17" t="n">
        <f aca="false">IF($D15&lt;=0,0,($C15^2/8*(BB15-SIN(BB15)))*(($C15^2/8*(BB15-SIN(BB15)))/($C15*BB15/2))^(2/3)*$D15^0.5/$E15)</f>
        <v>0.00178900523001223</v>
      </c>
      <c r="BD15" s="17" t="n">
        <f aca="false">BB15+IF(BC15&lt;$B15,1,-1)*설정!$B$10/2^26</f>
        <v>1.54218883590845</v>
      </c>
      <c r="BE15" s="17" t="n">
        <f aca="false">IF($D15&lt;=0,0,($C15^2/8*(BD15-SIN(BD15)))*(($C15^2/8*(BD15-SIN(BD15)))/($C15*BD15/2))^(2/3)*$D15^0.5/$E15)</f>
        <v>0.00178900487110603</v>
      </c>
      <c r="BF15" s="17" t="n">
        <f aca="false">BD15+IF(BE15&lt;$B15,1,-1)*설정!$B$10/2^27</f>
        <v>1.5421887965947</v>
      </c>
      <c r="BG15" s="17" t="n">
        <f aca="false">IF($D15&lt;=0,0,($C15^2/8*(BF15-SIN(BF15)))*(($C15^2/8*(BF15-SIN(BF15)))/($C15*BF15/2))^(2/3)*$D15^0.5/$E15)</f>
        <v>0.00178900469165296</v>
      </c>
      <c r="BH15" s="17" t="n">
        <f aca="false">BF15+IF(BG15&lt;$B15,1,-1)*설정!$B$10/2^28</f>
        <v>1.54218877693782</v>
      </c>
      <c r="BI15" s="17" t="n">
        <f aca="false">IF($D15&lt;=0,0,($C15^2/8*(BH15-SIN(BH15)))*(($C15^2/8*(BH15-SIN(BH15)))/($C15*BH15/2))^(2/3)*$D15^0.5/$E15)</f>
        <v>0.00178900460192642</v>
      </c>
      <c r="BJ15" s="17" t="n">
        <f aca="false">BH15+IF(BI15&lt;$B15,1,-1)*설정!$B$10/2^29</f>
        <v>1.54218878676626</v>
      </c>
      <c r="BK15" s="17" t="n">
        <f aca="false">IF($D15&lt;=0,0,($C15^2/8*(BJ15-SIN(BJ15)))*(($C15^2/8*(BJ15-SIN(BJ15)))/($C15*BJ15/2))^(2/3)*$D15^0.5/$E15)</f>
        <v>0.00178900464678969</v>
      </c>
      <c r="BL15" s="17" t="n">
        <f aca="false">BJ15+IF(BK15&lt;$B15,1,-1)*설정!$B$10/2^30</f>
        <v>1.54218878185204</v>
      </c>
      <c r="BM15" s="17" t="n">
        <f aca="false">IF($D15&lt;=0,0,($C15^2/8*(BL15-SIN(BL15)))*(($C15^2/8*(BL15-SIN(BL15)))/($C15*BL15/2))^(2/3)*$D15^0.5/$E15)</f>
        <v>0.00178900462435806</v>
      </c>
      <c r="BN15" s="17" t="n">
        <f aca="false">BL15+IF(BM15&lt;$B15,1,-1)*설정!$B$10/2^31</f>
        <v>1.54218878430915</v>
      </c>
      <c r="BO15" s="17" t="n">
        <f aca="false">IF($D15&lt;=0,0,($C15^2/8*(BN15-SIN(BN15)))*(($C15^2/8*(BN15-SIN(BN15)))/($C15*BN15/2))^(2/3)*$D15^0.5/$E15)</f>
        <v>0.00178900463557387</v>
      </c>
      <c r="BP15" s="17" t="n">
        <f aca="false">BN15+IF(BO15&lt;$B15,1,-1)*설정!$B$10/2^32</f>
        <v>1.54218878308059</v>
      </c>
      <c r="BQ15" s="17" t="n">
        <f aca="false">IF($D15&lt;=0,0,($C15^2/8*(BP15-SIN(BP15)))*(($C15^2/8*(BP15-SIN(BP15)))/($C15*BP15/2))^(2/3)*$D15^0.5/$E15)</f>
        <v>0.00178900462996597</v>
      </c>
      <c r="BR15" s="17" t="n">
        <f aca="false">BP15+IF(BQ15&lt;$B15,1,-1)*설정!$B$10/2^33</f>
        <v>1.54218878246631</v>
      </c>
      <c r="BS15" s="17" t="n">
        <f aca="false">IF($D15&lt;=0,0,($C15^2/8*(BR15-SIN(BR15)))*(($C15^2/8*(BR15-SIN(BR15)))/($C15*BR15/2))^(2/3)*$D15^0.5/$E15)</f>
        <v>0.00178900462716201</v>
      </c>
      <c r="BT15" s="17" t="n">
        <f aca="false">BR15+IF(BS15&lt;$B15,1,-1)*설정!$B$10/2^34</f>
        <v>1.54218878277345</v>
      </c>
      <c r="BU15" s="17" t="n">
        <f aca="false">IF($D15&lt;=0,0,($C15^2/8*(BT15-SIN(BT15)))*(($C15^2/8*(BT15-SIN(BT15)))/($C15*BT15/2))^(2/3)*$D15^0.5/$E15)</f>
        <v>0.00178900462856399</v>
      </c>
      <c r="BV15" s="17" t="n">
        <f aca="false">BT15+IF(BU15&lt;$B15,1,-1)*설정!$B$10/2^35</f>
        <v>1.54218878292702</v>
      </c>
      <c r="BW15" s="17" t="n">
        <f aca="false">IF($D15&lt;=0,0,($C15^2/8*(BV15-SIN(BV15)))*(($C15^2/8*(BV15-SIN(BV15)))/($C15*BV15/2))^(2/3)*$D15^0.5/$E15)</f>
        <v>0.00178900462926498</v>
      </c>
      <c r="BX15" s="17" t="n">
        <f aca="false">BV15+IF(BW15&lt;$B15,1,-1)*설정!$B$10/2^36</f>
        <v>1.54218878300381</v>
      </c>
      <c r="BY15" s="17" t="n">
        <f aca="false">IF($D15&lt;=0,0,($C15^2/8*(BX15-SIN(BX15)))*(($C15^2/8*(BX15-SIN(BX15)))/($C15*BX15/2))^(2/3)*$D15^0.5/$E15)</f>
        <v>0.00178900462961547</v>
      </c>
      <c r="BZ15" s="17" t="n">
        <f aca="false">BX15+IF(BY15&lt;$B15,1,-1)*설정!$B$10/2^37</f>
        <v>1.5421887830422</v>
      </c>
      <c r="CA15" s="17" t="n">
        <f aca="false">IF($D15&lt;=0,0,($C15^2/8*(BZ15-SIN(BZ15)))*(($C15^2/8*(BZ15-SIN(BZ15)))/($C15*BZ15/2))^(2/3)*$D15^0.5/$E15)</f>
        <v>0.00178900462979072</v>
      </c>
      <c r="CB15" s="17" t="n">
        <f aca="false">BZ15+IF(CA15&lt;$B15,1,-1)*설정!$B$10/2^38</f>
        <v>1.542188783023</v>
      </c>
      <c r="CC15" s="17" t="n">
        <f aca="false">IF($D15&lt;=0,0,($C15^2/8*(CB15-SIN(CB15)))*(($C15^2/8*(CB15-SIN(CB15)))/($C15*CB15/2))^(2/3)*$D15^0.5/$E15)</f>
        <v>0.00178900462970309</v>
      </c>
      <c r="CD15" s="17" t="n">
        <f aca="false">CB15+IF(CC15&lt;$B15,1,-1)*설정!$B$10/2^39</f>
        <v>1.5421887830134</v>
      </c>
      <c r="CE15" s="17" t="n">
        <f aca="false">IF($D15&lt;=0,0,($C15^2/8*(CD15-SIN(CD15)))*(($C15^2/8*(CD15-SIN(CD15)))/($C15*CD15/2))^(2/3)*$D15^0.5/$E15)</f>
        <v>0.00178900462965928</v>
      </c>
      <c r="CF15" s="17" t="n">
        <f aca="false">CD15+IF(CE15&lt;$B15,1,-1)*설정!$B$10/2^40</f>
        <v>1.54218878300861</v>
      </c>
      <c r="CG15" s="17" t="n">
        <f aca="false">IF($D15&lt;=0,0,($C15^2/8*(CF15-SIN(CF15)))*(($C15^2/8*(CF15-SIN(CF15)))/($C15*CF15/2))^(2/3)*$D15^0.5/$E15)</f>
        <v>0.00178900462963738</v>
      </c>
      <c r="CH15" s="17" t="n">
        <f aca="false">CF15+IF(CG15&lt;$B15,1,-1)*설정!$B$10/2^41</f>
        <v>1.54218878300621</v>
      </c>
    </row>
    <row r="16" customFormat="false" ht="15" hidden="false" customHeight="false" outlineLevel="0" collapsed="false">
      <c r="A16" s="14" t="str">
        <f aca="false">계산!A16</f>
        <v>BC-12</v>
      </c>
      <c r="B16" s="15" t="n">
        <f aca="false">계산!E16</f>
        <v>0.00178900462962963</v>
      </c>
      <c r="C16" s="14" t="n">
        <f aca="false">입력!E16/1000</f>
        <v>0.2</v>
      </c>
      <c r="D16" s="14" t="n">
        <f aca="false">(입력!F16-입력!G16)/입력!D16</f>
        <v>0.0135</v>
      </c>
      <c r="E16" s="14" t="n">
        <f aca="false">입력!J16</f>
        <v>0.011</v>
      </c>
      <c r="F16" s="16" t="n">
        <f aca="false">설정!$B$10/2</f>
        <v>2.6383016061374</v>
      </c>
      <c r="G16" s="17" t="n">
        <f aca="false">IF($D16&lt;=0,0,($C16^2/8*(F16-SIN(F16)))*(($C16^2/8*(F16-SIN(F16)))/($C16*F16/2))^(2/3)*$D16^0.5/$E16)</f>
        <v>0.0135078423793488</v>
      </c>
      <c r="H16" s="17" t="n">
        <f aca="false">F16+IF(G16&lt;$B16,1,-1)*설정!$B$10/2^2</f>
        <v>1.3191508030687</v>
      </c>
      <c r="I16" s="17" t="n">
        <f aca="false">IF($D16&lt;=0,0,($C16^2/8*(H16-SIN(H16)))*(($C16^2/8*(H16-SIN(H16)))/($C16*H16/2))^(2/3)*$D16^0.5/$E16)</f>
        <v>0.00103906897954763</v>
      </c>
      <c r="J16" s="17" t="n">
        <f aca="false">H16+IF(I16&lt;$B16,1,-1)*설정!$B$10/2^3</f>
        <v>1.97872620460305</v>
      </c>
      <c r="K16" s="17" t="n">
        <f aca="false">IF($D16&lt;=0,0,($C16^2/8*(J16-SIN(J16)))*(($C16^2/8*(J16-SIN(J16)))/($C16*J16/2))^(2/3)*$D16^0.5/$E16)</f>
        <v>0.00501777011011104</v>
      </c>
      <c r="L16" s="17" t="n">
        <f aca="false">J16+IF(K16&lt;$B16,1,-1)*설정!$B$10/2^4</f>
        <v>1.64893850383588</v>
      </c>
      <c r="M16" s="17" t="n">
        <f aca="false">IF($D16&lt;=0,0,($C16^2/8*(L16-SIN(L16)))*(($C16^2/8*(L16-SIN(L16)))/($C16*L16/2))^(2/3)*$D16^0.5/$E16)</f>
        <v>0.00251761614010173</v>
      </c>
      <c r="N16" s="17" t="n">
        <f aca="false">L16+IF(M16&lt;$B16,1,-1)*설정!$B$10/2^5</f>
        <v>1.48404465345229</v>
      </c>
      <c r="O16" s="17" t="n">
        <f aca="false">IF($D16&lt;=0,0,($C16^2/8*(N16-SIN(N16)))*(($C16^2/8*(N16-SIN(N16)))/($C16*N16/2))^(2/3)*$D16^0.5/$E16)</f>
        <v>0.00166534276126364</v>
      </c>
      <c r="P16" s="17" t="n">
        <f aca="false">N16+IF(O16&lt;$B16,1,-1)*설정!$B$10/2^6</f>
        <v>1.56649157864408</v>
      </c>
      <c r="Q16" s="17" t="n">
        <f aca="false">IF($D16&lt;=0,0,($C16^2/8*(P16-SIN(P16)))*(($C16^2/8*(P16-SIN(P16)))/($C16*P16/2))^(2/3)*$D16^0.5/$E16)</f>
        <v>0.00206113497169756</v>
      </c>
      <c r="R16" s="17" t="n">
        <f aca="false">P16+IF(Q16&lt;$B16,1,-1)*설정!$B$10/2^7</f>
        <v>1.52526811604819</v>
      </c>
      <c r="S16" s="17" t="n">
        <f aca="false">IF($D16&lt;=0,0,($C16^2/8*(R16-SIN(R16)))*(($C16^2/8*(R16-SIN(R16)))/($C16*R16/2))^(2/3)*$D16^0.5/$E16)</f>
        <v>0.00185590185342403</v>
      </c>
      <c r="T16" s="17" t="n">
        <f aca="false">R16+IF(S16&lt;$B16,1,-1)*설정!$B$10/2^8</f>
        <v>1.50465638475024</v>
      </c>
      <c r="U16" s="17" t="n">
        <f aca="false">IF($D16&lt;=0,0,($C16^2/8*(T16-SIN(T16)))*(($C16^2/8*(T16-SIN(T16)))/($C16*T16/2))^(2/3)*$D16^0.5/$E16)</f>
        <v>0.00175882043031605</v>
      </c>
      <c r="V16" s="17" t="n">
        <f aca="false">T16+IF(U16&lt;$B16,1,-1)*설정!$B$10/2^9</f>
        <v>1.51496225039921</v>
      </c>
      <c r="W16" s="17" t="n">
        <f aca="false">IF($D16&lt;=0,0,($C16^2/8*(V16-SIN(V16)))*(($C16^2/8*(V16-SIN(V16)))/($C16*V16/2))^(2/3)*$D16^0.5/$E16)</f>
        <v>0.00180690657431815</v>
      </c>
      <c r="X16" s="17" t="n">
        <f aca="false">V16+IF(W16&lt;$B16,1,-1)*설정!$B$10/2^10</f>
        <v>1.50980931757473</v>
      </c>
      <c r="Y16" s="17" t="n">
        <f aca="false">IF($D16&lt;=0,0,($C16^2/8*(X16-SIN(X16)))*(($C16^2/8*(X16-SIN(X16)))/($C16*X16/2))^(2/3)*$D16^0.5/$E16)</f>
        <v>0.0017827503696189</v>
      </c>
      <c r="Z16" s="17" t="n">
        <f aca="false">X16+IF(Y16&lt;$B16,1,-1)*설정!$B$10/2^11</f>
        <v>1.51238578398697</v>
      </c>
      <c r="AA16" s="17" t="n">
        <f aca="false">IF($D16&lt;=0,0,($C16^2/8*(Z16-SIN(Z16)))*(($C16^2/8*(Z16-SIN(Z16)))/($C16*Z16/2))^(2/3)*$D16^0.5/$E16)</f>
        <v>0.00179480012494833</v>
      </c>
      <c r="AB16" s="17" t="n">
        <f aca="false">Z16+IF(AA16&lt;$B16,1,-1)*설정!$B$10/2^12</f>
        <v>1.51109755078085</v>
      </c>
      <c r="AC16" s="17" t="n">
        <f aca="false">IF($D16&lt;=0,0,($C16^2/8*(AB16-SIN(AB16)))*(($C16^2/8*(AB16-SIN(AB16)))/($C16*AB16/2))^(2/3)*$D16^0.5/$E16)</f>
        <v>0.00178876816849707</v>
      </c>
      <c r="AD16" s="17" t="n">
        <f aca="false">AB16+IF(AC16&lt;$B16,1,-1)*설정!$B$10/2^13</f>
        <v>1.51174166738391</v>
      </c>
      <c r="AE16" s="17" t="n">
        <f aca="false">IF($D16&lt;=0,0,($C16^2/8*(AD16-SIN(AD16)))*(($C16^2/8*(AD16-SIN(AD16)))/($C16*AD16/2))^(2/3)*$D16^0.5/$E16)</f>
        <v>0.00179178237602924</v>
      </c>
      <c r="AF16" s="17" t="n">
        <f aca="false">AD16+IF(AE16&lt;$B16,1,-1)*설정!$B$10/2^14</f>
        <v>1.51141960908238</v>
      </c>
      <c r="AG16" s="17" t="n">
        <f aca="false">IF($D16&lt;=0,0,($C16^2/8*(AF16-SIN(AF16)))*(($C16^2/8*(AF16-SIN(AF16)))/($C16*AF16/2))^(2/3)*$D16^0.5/$E16)</f>
        <v>0.00179027482971434</v>
      </c>
      <c r="AH16" s="17" t="n">
        <f aca="false">AF16+IF(AG16&lt;$B16,1,-1)*설정!$B$10/2^15</f>
        <v>1.51125857993161</v>
      </c>
      <c r="AI16" s="17" t="n">
        <f aca="false">IF($D16&lt;=0,0,($C16^2/8*(AH16-SIN(AH16)))*(($C16^2/8*(AH16-SIN(AH16)))/($C16*AH16/2))^(2/3)*$D16^0.5/$E16)</f>
        <v>0.00178952138848408</v>
      </c>
      <c r="AJ16" s="17" t="n">
        <f aca="false">AH16+IF(AI16&lt;$B16,1,-1)*설정!$B$10/2^16</f>
        <v>1.51117806535623</v>
      </c>
      <c r="AK16" s="17" t="n">
        <f aca="false">IF($D16&lt;=0,0,($C16^2/8*(AJ16-SIN(AJ16)))*(($C16^2/8*(AJ16-SIN(AJ16)))/($C16*AJ16/2))^(2/3)*$D16^0.5/$E16)</f>
        <v>0.00178914475083711</v>
      </c>
      <c r="AL16" s="17" t="n">
        <f aca="false">AJ16+IF(AK16&lt;$B16,1,-1)*설정!$B$10/2^17</f>
        <v>1.51113780806854</v>
      </c>
      <c r="AM16" s="17" t="n">
        <f aca="false">IF($D16&lt;=0,0,($C16^2/8*(AL16-SIN(AL16)))*(($C16^2/8*(AL16-SIN(AL16)))/($C16*AL16/2))^(2/3)*$D16^0.5/$E16)</f>
        <v>0.00178895645275397</v>
      </c>
      <c r="AN16" s="17" t="n">
        <f aca="false">AL16+IF(AM16&lt;$B16,1,-1)*설정!$B$10/2^18</f>
        <v>1.51115793671238</v>
      </c>
      <c r="AO16" s="17" t="n">
        <f aca="false">IF($D16&lt;=0,0,($C16^2/8*(AN16-SIN(AN16)))*(($C16^2/8*(AN16-SIN(AN16)))/($C16*AN16/2))^(2/3)*$D16^0.5/$E16)</f>
        <v>0.00178905060006723</v>
      </c>
      <c r="AP16" s="17" t="n">
        <f aca="false">AN16+IF(AO16&lt;$B16,1,-1)*설정!$B$10/2^19</f>
        <v>1.51114787239046</v>
      </c>
      <c r="AQ16" s="17" t="n">
        <f aca="false">IF($D16&lt;=0,0,($C16^2/8*(AP16-SIN(AP16)))*(($C16^2/8*(AP16-SIN(AP16)))/($C16*AP16/2))^(2/3)*$D16^0.5/$E16)</f>
        <v>0.00178900352597853</v>
      </c>
      <c r="AR16" s="17" t="n">
        <f aca="false">AP16+IF(AQ16&lt;$B16,1,-1)*설정!$B$10/2^20</f>
        <v>1.51115290455142</v>
      </c>
      <c r="AS16" s="17" t="n">
        <f aca="false">IF($D16&lt;=0,0,($C16^2/8*(AR16-SIN(AR16)))*(($C16^2/8*(AR16-SIN(AR16)))/($C16*AR16/2))^(2/3)*$D16^0.5/$E16)</f>
        <v>0.00178902706291486</v>
      </c>
      <c r="AT16" s="17" t="n">
        <f aca="false">AR16+IF(AS16&lt;$B16,1,-1)*설정!$B$10/2^21</f>
        <v>1.51115038847094</v>
      </c>
      <c r="AU16" s="17" t="n">
        <f aca="false">IF($D16&lt;=0,0,($C16^2/8*(AT16-SIN(AT16)))*(($C16^2/8*(AT16-SIN(AT16)))/($C16*AT16/2))^(2/3)*$D16^0.5/$E16)</f>
        <v>0.00178901529441969</v>
      </c>
      <c r="AV16" s="17" t="n">
        <f aca="false">AT16+IF(AU16&lt;$B16,1,-1)*설정!$B$10/2^22</f>
        <v>1.5111491304307</v>
      </c>
      <c r="AW16" s="17" t="n">
        <f aca="false">IF($D16&lt;=0,0,($C16^2/8*(AV16-SIN(AV16)))*(($C16^2/8*(AV16-SIN(AV16)))/($C16*AV16/2))^(2/3)*$D16^0.5/$E16)</f>
        <v>0.00178900941019236</v>
      </c>
      <c r="AX16" s="17" t="n">
        <f aca="false">AV16+IF(AW16&lt;$B16,1,-1)*설정!$B$10/2^23</f>
        <v>1.51114850141058</v>
      </c>
      <c r="AY16" s="17" t="n">
        <f aca="false">IF($D16&lt;=0,0,($C16^2/8*(AX16-SIN(AX16)))*(($C16^2/8*(AX16-SIN(AX16)))/($C16*AX16/2))^(2/3)*$D16^0.5/$E16)</f>
        <v>0.00178900646808375</v>
      </c>
      <c r="AZ16" s="17" t="n">
        <f aca="false">AX16+IF(AY16&lt;$B16,1,-1)*설정!$B$10/2^24</f>
        <v>1.51114818690052</v>
      </c>
      <c r="BA16" s="17" t="n">
        <f aca="false">IF($D16&lt;=0,0,($C16^2/8*(AZ16-SIN(AZ16)))*(($C16^2/8*(AZ16-SIN(AZ16)))/($C16*AZ16/2))^(2/3)*$D16^0.5/$E16)</f>
        <v>0.00178900499703072</v>
      </c>
      <c r="BB16" s="17" t="n">
        <f aca="false">AZ16+IF(BA16&lt;$B16,1,-1)*설정!$B$10/2^25</f>
        <v>1.51114802964549</v>
      </c>
      <c r="BC16" s="17" t="n">
        <f aca="false">IF($D16&lt;=0,0,($C16^2/8*(BB16-SIN(BB16)))*(($C16^2/8*(BB16-SIN(BB16)))/($C16*BB16/2))^(2/3)*$D16^0.5/$E16)</f>
        <v>0.00178900426150452</v>
      </c>
      <c r="BD16" s="17" t="n">
        <f aca="false">BB16+IF(BC16&lt;$B16,1,-1)*설정!$B$10/2^26</f>
        <v>1.51114810827301</v>
      </c>
      <c r="BE16" s="17" t="n">
        <f aca="false">IF($D16&lt;=0,0,($C16^2/8*(BD16-SIN(BD16)))*(($C16^2/8*(BD16-SIN(BD16)))/($C16*BD16/2))^(2/3)*$D16^0.5/$E16)</f>
        <v>0.00178900462926759</v>
      </c>
      <c r="BF16" s="17" t="n">
        <f aca="false">BD16+IF(BE16&lt;$B16,1,-1)*설정!$B$10/2^27</f>
        <v>1.51114814758676</v>
      </c>
      <c r="BG16" s="17" t="n">
        <f aca="false">IF($D16&lt;=0,0,($C16^2/8*(BF16-SIN(BF16)))*(($C16^2/8*(BF16-SIN(BF16)))/($C16*BF16/2))^(2/3)*$D16^0.5/$E16)</f>
        <v>0.00178900481314915</v>
      </c>
      <c r="BH16" s="17" t="n">
        <f aca="false">BF16+IF(BG16&lt;$B16,1,-1)*설정!$B$10/2^28</f>
        <v>1.51114812792988</v>
      </c>
      <c r="BI16" s="17" t="n">
        <f aca="false">IF($D16&lt;=0,0,($C16^2/8*(BH16-SIN(BH16)))*(($C16^2/8*(BH16-SIN(BH16)))/($C16*BH16/2))^(2/3)*$D16^0.5/$E16)</f>
        <v>0.00178900472120837</v>
      </c>
      <c r="BJ16" s="17" t="n">
        <f aca="false">BH16+IF(BI16&lt;$B16,1,-1)*설정!$B$10/2^29</f>
        <v>1.51114811810145</v>
      </c>
      <c r="BK16" s="17" t="n">
        <f aca="false">IF($D16&lt;=0,0,($C16^2/8*(BJ16-SIN(BJ16)))*(($C16^2/8*(BJ16-SIN(BJ16)))/($C16*BJ16/2))^(2/3)*$D16^0.5/$E16)</f>
        <v>0.00178900467523798</v>
      </c>
      <c r="BL16" s="17" t="n">
        <f aca="false">BJ16+IF(BK16&lt;$B16,1,-1)*설정!$B$10/2^30</f>
        <v>1.51114811318723</v>
      </c>
      <c r="BM16" s="17" t="n">
        <f aca="false">IF($D16&lt;=0,0,($C16^2/8*(BL16-SIN(BL16)))*(($C16^2/8*(BL16-SIN(BL16)))/($C16*BL16/2))^(2/3)*$D16^0.5/$E16)</f>
        <v>0.00178900465225279</v>
      </c>
      <c r="BN16" s="17" t="n">
        <f aca="false">BL16+IF(BM16&lt;$B16,1,-1)*설정!$B$10/2^31</f>
        <v>1.51114811073012</v>
      </c>
      <c r="BO16" s="17" t="n">
        <f aca="false">IF($D16&lt;=0,0,($C16^2/8*(BN16-SIN(BN16)))*(($C16^2/8*(BN16-SIN(BN16)))/($C16*BN16/2))^(2/3)*$D16^0.5/$E16)</f>
        <v>0.00178900464076019</v>
      </c>
      <c r="BP16" s="17" t="n">
        <f aca="false">BN16+IF(BO16&lt;$B16,1,-1)*설정!$B$10/2^32</f>
        <v>1.51114810950156</v>
      </c>
      <c r="BQ16" s="17" t="n">
        <f aca="false">IF($D16&lt;=0,0,($C16^2/8*(BP16-SIN(BP16)))*(($C16^2/8*(BP16-SIN(BP16)))/($C16*BP16/2))^(2/3)*$D16^0.5/$E16)</f>
        <v>0.00178900463501389</v>
      </c>
      <c r="BR16" s="17" t="n">
        <f aca="false">BP16+IF(BQ16&lt;$B16,1,-1)*설정!$B$10/2^33</f>
        <v>1.51114810888728</v>
      </c>
      <c r="BS16" s="17" t="n">
        <f aca="false">IF($D16&lt;=0,0,($C16^2/8*(BR16-SIN(BR16)))*(($C16^2/8*(BR16-SIN(BR16)))/($C16*BR16/2))^(2/3)*$D16^0.5/$E16)</f>
        <v>0.00178900463214074</v>
      </c>
      <c r="BT16" s="17" t="n">
        <f aca="false">BR16+IF(BS16&lt;$B16,1,-1)*설정!$B$10/2^34</f>
        <v>1.51114810858014</v>
      </c>
      <c r="BU16" s="17" t="n">
        <f aca="false">IF($D16&lt;=0,0,($C16^2/8*(BT16-SIN(BT16)))*(($C16^2/8*(BT16-SIN(BT16)))/($C16*BT16/2))^(2/3)*$D16^0.5/$E16)</f>
        <v>0.00178900463070417</v>
      </c>
      <c r="BV16" s="17" t="n">
        <f aca="false">BT16+IF(BU16&lt;$B16,1,-1)*설정!$B$10/2^35</f>
        <v>1.51114810842658</v>
      </c>
      <c r="BW16" s="17" t="n">
        <f aca="false">IF($D16&lt;=0,0,($C16^2/8*(BV16-SIN(BV16)))*(($C16^2/8*(BV16-SIN(BV16)))/($C16*BV16/2))^(2/3)*$D16^0.5/$E16)</f>
        <v>0.00178900462998588</v>
      </c>
      <c r="BX16" s="17" t="n">
        <f aca="false">BV16+IF(BW16&lt;$B16,1,-1)*설정!$B$10/2^36</f>
        <v>1.51114810834979</v>
      </c>
      <c r="BY16" s="17" t="n">
        <f aca="false">IF($D16&lt;=0,0,($C16^2/8*(BX16-SIN(BX16)))*(($C16^2/8*(BX16-SIN(BX16)))/($C16*BX16/2))^(2/3)*$D16^0.5/$E16)</f>
        <v>0.00178900462962674</v>
      </c>
      <c r="BZ16" s="17" t="n">
        <f aca="false">BX16+IF(BY16&lt;$B16,1,-1)*설정!$B$10/2^37</f>
        <v>1.51114810838818</v>
      </c>
      <c r="CA16" s="17" t="n">
        <f aca="false">IF($D16&lt;=0,0,($C16^2/8*(BZ16-SIN(BZ16)))*(($C16^2/8*(BZ16-SIN(BZ16)))/($C16*BZ16/2))^(2/3)*$D16^0.5/$E16)</f>
        <v>0.00178900462980631</v>
      </c>
      <c r="CB16" s="17" t="n">
        <f aca="false">BZ16+IF(CA16&lt;$B16,1,-1)*설정!$B$10/2^38</f>
        <v>1.51114810836899</v>
      </c>
      <c r="CC16" s="17" t="n">
        <f aca="false">IF($D16&lt;=0,0,($C16^2/8*(CB16-SIN(CB16)))*(($C16^2/8*(CB16-SIN(CB16)))/($C16*CB16/2))^(2/3)*$D16^0.5/$E16)</f>
        <v>0.00178900462971652</v>
      </c>
      <c r="CD16" s="17" t="n">
        <f aca="false">CB16+IF(CC16&lt;$B16,1,-1)*설정!$B$10/2^39</f>
        <v>1.51114810835939</v>
      </c>
      <c r="CE16" s="17" t="n">
        <f aca="false">IF($D16&lt;=0,0,($C16^2/8*(CD16-SIN(CD16)))*(($C16^2/8*(CD16-SIN(CD16)))/($C16*CD16/2))^(2/3)*$D16^0.5/$E16)</f>
        <v>0.00178900462967163</v>
      </c>
      <c r="CF16" s="17" t="n">
        <f aca="false">CD16+IF(CE16&lt;$B16,1,-1)*설정!$B$10/2^40</f>
        <v>1.51114810835459</v>
      </c>
      <c r="CG16" s="17" t="n">
        <f aca="false">IF($D16&lt;=0,0,($C16^2/8*(CF16-SIN(CF16)))*(($C16^2/8*(CF16-SIN(CF16)))/($C16*CF16/2))^(2/3)*$D16^0.5/$E16)</f>
        <v>0.00178900462964918</v>
      </c>
      <c r="CH16" s="17" t="n">
        <f aca="false">CF16+IF(CG16&lt;$B16,1,-1)*설정!$B$10/2^41</f>
        <v>1.51114810835219</v>
      </c>
    </row>
    <row r="17" customFormat="false" ht="15" hidden="false" customHeight="false" outlineLevel="0" collapsed="false">
      <c r="A17" s="14" t="str">
        <f aca="false">계산!A17</f>
        <v>BC-13</v>
      </c>
      <c r="B17" s="15" t="n">
        <f aca="false">계산!E17</f>
        <v>0.00178900462962963</v>
      </c>
      <c r="C17" s="14" t="n">
        <f aca="false">입력!E17/1000</f>
        <v>0.2</v>
      </c>
      <c r="D17" s="14" t="n">
        <f aca="false">(입력!F17-입력!G17)/입력!D17</f>
        <v>0.0183333333333332</v>
      </c>
      <c r="E17" s="14" t="n">
        <f aca="false">입력!J17</f>
        <v>0.011</v>
      </c>
      <c r="F17" s="16" t="n">
        <f aca="false">설정!$B$10/2</f>
        <v>2.6383016061374</v>
      </c>
      <c r="G17" s="17" t="n">
        <f aca="false">IF($D17&lt;=0,0,($C17^2/8*(F17-SIN(F17)))*(($C17^2/8*(F17-SIN(F17)))/($C17*F17/2))^(2/3)*$D17^0.5/$E17)</f>
        <v>0.0157412717857208</v>
      </c>
      <c r="H17" s="17" t="n">
        <f aca="false">F17+IF(G17&lt;$B17,1,-1)*설정!$B$10/2^2</f>
        <v>1.3191508030687</v>
      </c>
      <c r="I17" s="17" t="n">
        <f aca="false">IF($D17&lt;=0,0,($C17^2/8*(H17-SIN(H17)))*(($C17^2/8*(H17-SIN(H17)))/($C17*H17/2))^(2/3)*$D17^0.5/$E17)</f>
        <v>0.00121087193289854</v>
      </c>
      <c r="J17" s="17" t="n">
        <f aca="false">H17+IF(I17&lt;$B17,1,-1)*설정!$B$10/2^3</f>
        <v>1.97872620460305</v>
      </c>
      <c r="K17" s="17" t="n">
        <f aca="false">IF($D17&lt;=0,0,($C17^2/8*(J17-SIN(J17)))*(($C17^2/8*(J17-SIN(J17)))/($C17*J17/2))^(2/3)*$D17^0.5/$E17)</f>
        <v>0.00584742409952018</v>
      </c>
      <c r="L17" s="17" t="n">
        <f aca="false">J17+IF(K17&lt;$B17,1,-1)*설정!$B$10/2^4</f>
        <v>1.64893850383588</v>
      </c>
      <c r="M17" s="17" t="n">
        <f aca="false">IF($D17&lt;=0,0,($C17^2/8*(L17-SIN(L17)))*(($C17^2/8*(L17-SIN(L17)))/($C17*L17/2))^(2/3)*$D17^0.5/$E17)</f>
        <v>0.00293388676003852</v>
      </c>
      <c r="N17" s="17" t="n">
        <f aca="false">L17+IF(M17&lt;$B17,1,-1)*설정!$B$10/2^5</f>
        <v>1.48404465345229</v>
      </c>
      <c r="O17" s="17" t="n">
        <f aca="false">IF($D17&lt;=0,0,($C17^2/8*(N17-SIN(N17)))*(($C17^2/8*(N17-SIN(N17)))/($C17*N17/2))^(2/3)*$D17^0.5/$E17)</f>
        <v>0.00194069580361046</v>
      </c>
      <c r="P17" s="17" t="n">
        <f aca="false">N17+IF(O17&lt;$B17,1,-1)*설정!$B$10/2^6</f>
        <v>1.4015977282605</v>
      </c>
      <c r="Q17" s="17" t="n">
        <f aca="false">IF($D17&lt;=0,0,($C17^2/8*(P17-SIN(P17)))*(($C17^2/8*(P17-SIN(P17)))/($C17*P17/2))^(2/3)*$D17^0.5/$E17)</f>
        <v>0.00154539141870462</v>
      </c>
      <c r="R17" s="17" t="n">
        <f aca="false">P17+IF(Q17&lt;$B17,1,-1)*설정!$B$10/2^7</f>
        <v>1.44282119085639</v>
      </c>
      <c r="S17" s="17" t="n">
        <f aca="false">IF($D17&lt;=0,0,($C17^2/8*(R17-SIN(R17)))*(($C17^2/8*(R17-SIN(R17)))/($C17*R17/2))^(2/3)*$D17^0.5/$E17)</f>
        <v>0.00173511688888265</v>
      </c>
      <c r="T17" s="17" t="n">
        <f aca="false">R17+IF(S17&lt;$B17,1,-1)*설정!$B$10/2^8</f>
        <v>1.46343292215434</v>
      </c>
      <c r="U17" s="17" t="n">
        <f aca="false">IF($D17&lt;=0,0,($C17^2/8*(T17-SIN(T17)))*(($C17^2/8*(T17-SIN(T17)))/($C17*T17/2))^(2/3)*$D17^0.5/$E17)</f>
        <v>0.00183588453873586</v>
      </c>
      <c r="V17" s="17" t="n">
        <f aca="false">T17+IF(U17&lt;$B17,1,-1)*설정!$B$10/2^9</f>
        <v>1.45312705650537</v>
      </c>
      <c r="W17" s="17" t="n">
        <f aca="false">IF($D17&lt;=0,0,($C17^2/8*(V17-SIN(V17)))*(($C17^2/8*(V17-SIN(V17)))/($C17*V17/2))^(2/3)*$D17^0.5/$E17)</f>
        <v>0.00178500023055776</v>
      </c>
      <c r="X17" s="17" t="n">
        <f aca="false">V17+IF(W17&lt;$B17,1,-1)*설정!$B$10/2^10</f>
        <v>1.45827998932985</v>
      </c>
      <c r="Y17" s="17" t="n">
        <f aca="false">IF($D17&lt;=0,0,($C17^2/8*(X17-SIN(X17)))*(($C17^2/8*(X17-SIN(X17)))/($C17*X17/2))^(2/3)*$D17^0.5/$E17)</f>
        <v>0.0018103166396752</v>
      </c>
      <c r="Z17" s="17" t="n">
        <f aca="false">X17+IF(Y17&lt;$B17,1,-1)*설정!$B$10/2^11</f>
        <v>1.45570352291761</v>
      </c>
      <c r="AA17" s="17" t="n">
        <f aca="false">IF($D17&lt;=0,0,($C17^2/8*(Z17-SIN(Z17)))*(($C17^2/8*(Z17-SIN(Z17)))/($C17*Z17/2))^(2/3)*$D17^0.5/$E17)</f>
        <v>0.00179762707670488</v>
      </c>
      <c r="AB17" s="17" t="n">
        <f aca="false">Z17+IF(AA17&lt;$B17,1,-1)*설정!$B$10/2^12</f>
        <v>1.45441528971149</v>
      </c>
      <c r="AC17" s="17" t="n">
        <f aca="false">IF($D17&lt;=0,0,($C17^2/8*(AB17-SIN(AB17)))*(($C17^2/8*(AB17-SIN(AB17)))/($C17*AB17/2))^(2/3)*$D17^0.5/$E17)</f>
        <v>0.00179130582377397</v>
      </c>
      <c r="AD17" s="17" t="n">
        <f aca="false">AB17+IF(AC17&lt;$B17,1,-1)*설정!$B$10/2^13</f>
        <v>1.45377117310843</v>
      </c>
      <c r="AE17" s="17" t="n">
        <f aca="false">IF($D17&lt;=0,0,($C17^2/8*(AD17-SIN(AD17)))*(($C17^2/8*(AD17-SIN(AD17)))/($C17*AD17/2))^(2/3)*$D17^0.5/$E17)</f>
        <v>0.00178815107092076</v>
      </c>
      <c r="AF17" s="17" t="n">
        <f aca="false">AD17+IF(AE17&lt;$B17,1,-1)*설정!$B$10/2^14</f>
        <v>1.45409323140996</v>
      </c>
      <c r="AG17" s="17" t="n">
        <f aca="false">IF($D17&lt;=0,0,($C17^2/8*(AF17-SIN(AF17)))*(($C17^2/8*(AF17-SIN(AF17)))/($C17*AF17/2))^(2/3)*$D17^0.5/$E17)</f>
        <v>0.00178972795813364</v>
      </c>
      <c r="AH17" s="17" t="n">
        <f aca="false">AF17+IF(AG17&lt;$B17,1,-1)*설정!$B$10/2^15</f>
        <v>1.45393220225919</v>
      </c>
      <c r="AI17" s="17" t="n">
        <f aca="false">IF($D17&lt;=0,0,($C17^2/8*(AH17-SIN(AH17)))*(($C17^2/8*(AH17-SIN(AH17)))/($C17*AH17/2))^(2/3)*$D17^0.5/$E17)</f>
        <v>0.00178893939224282</v>
      </c>
      <c r="AJ17" s="17" t="n">
        <f aca="false">AH17+IF(AI17&lt;$B17,1,-1)*설정!$B$10/2^16</f>
        <v>1.45401271683458</v>
      </c>
      <c r="AK17" s="17" t="n">
        <f aca="false">IF($D17&lt;=0,0,($C17^2/8*(AJ17-SIN(AJ17)))*(($C17^2/8*(AJ17-SIN(AJ17)))/($C17*AJ17/2))^(2/3)*$D17^0.5/$E17)</f>
        <v>0.00178933364461475</v>
      </c>
      <c r="AL17" s="17" t="n">
        <f aca="false">AJ17+IF(AK17&lt;$B17,1,-1)*설정!$B$10/2^17</f>
        <v>1.45397245954688</v>
      </c>
      <c r="AM17" s="17" t="n">
        <f aca="false">IF($D17&lt;=0,0,($C17^2/8*(AL17-SIN(AL17)))*(($C17^2/8*(AL17-SIN(AL17)))/($C17*AL17/2))^(2/3)*$D17^0.5/$E17)</f>
        <v>0.00178913651078571</v>
      </c>
      <c r="AN17" s="17" t="n">
        <f aca="false">AL17+IF(AM17&lt;$B17,1,-1)*설정!$B$10/2^18</f>
        <v>1.45395233090304</v>
      </c>
      <c r="AO17" s="17" t="n">
        <f aca="false">IF($D17&lt;=0,0,($C17^2/8*(AN17-SIN(AN17)))*(($C17^2/8*(AN17-SIN(AN17)))/($C17*AN17/2))^(2/3)*$D17^0.5/$E17)</f>
        <v>0.00178903794960353</v>
      </c>
      <c r="AP17" s="17" t="n">
        <f aca="false">AN17+IF(AO17&lt;$B17,1,-1)*설정!$B$10/2^19</f>
        <v>1.45394226658112</v>
      </c>
      <c r="AQ17" s="17" t="n">
        <f aca="false">IF($D17&lt;=0,0,($C17^2/8*(AP17-SIN(AP17)))*(($C17^2/8*(AP17-SIN(AP17)))/($C17*AP17/2))^(2/3)*$D17^0.5/$E17)</f>
        <v>0.0017889886704455</v>
      </c>
      <c r="AR17" s="17" t="n">
        <f aca="false">AP17+IF(AQ17&lt;$B17,1,-1)*설정!$B$10/2^20</f>
        <v>1.45394729874208</v>
      </c>
      <c r="AS17" s="17" t="n">
        <f aca="false">IF($D17&lt;=0,0,($C17^2/8*(AR17-SIN(AR17)))*(($C17^2/8*(AR17-SIN(AR17)))/($C17*AR17/2))^(2/3)*$D17^0.5/$E17)</f>
        <v>0.0017890133099051</v>
      </c>
      <c r="AT17" s="17" t="n">
        <f aca="false">AR17+IF(AS17&lt;$B17,1,-1)*설정!$B$10/2^21</f>
        <v>1.4539447826616</v>
      </c>
      <c r="AU17" s="17" t="n">
        <f aca="false">IF($D17&lt;=0,0,($C17^2/8*(AT17-SIN(AT17)))*(($C17^2/8*(AT17-SIN(AT17)))/($C17*AT17/2))^(2/3)*$D17^0.5/$E17)</f>
        <v>0.00178900099014544</v>
      </c>
      <c r="AV17" s="17" t="n">
        <f aca="false">AT17+IF(AU17&lt;$B17,1,-1)*설정!$B$10/2^22</f>
        <v>1.45394604070184</v>
      </c>
      <c r="AW17" s="17" t="n">
        <f aca="false">IF($D17&lt;=0,0,($C17^2/8*(AV17-SIN(AV17)))*(($C17^2/8*(AV17-SIN(AV17)))/($C17*AV17/2))^(2/3)*$D17^0.5/$E17)</f>
        <v>0.00178900715001781</v>
      </c>
      <c r="AX17" s="17" t="n">
        <f aca="false">AV17+IF(AW17&lt;$B17,1,-1)*설정!$B$10/2^23</f>
        <v>1.45394541168172</v>
      </c>
      <c r="AY17" s="17" t="n">
        <f aca="false">IF($D17&lt;=0,0,($C17^2/8*(AX17-SIN(AX17)))*(($C17^2/8*(AX17-SIN(AX17)))/($C17*AX17/2))^(2/3)*$D17^0.5/$E17)</f>
        <v>0.00178900407007976</v>
      </c>
      <c r="AZ17" s="17" t="n">
        <f aca="false">AX17+IF(AY17&lt;$B17,1,-1)*설정!$B$10/2^24</f>
        <v>1.45394572619178</v>
      </c>
      <c r="BA17" s="17" t="n">
        <f aca="false">IF($D17&lt;=0,0,($C17^2/8*(AZ17-SIN(AZ17)))*(($C17^2/8*(AZ17-SIN(AZ17)))/($C17*AZ17/2))^(2/3)*$D17^0.5/$E17)</f>
        <v>0.00178900561004832</v>
      </c>
      <c r="BB17" s="17" t="n">
        <f aca="false">AZ17+IF(BA17&lt;$B17,1,-1)*설정!$B$10/2^25</f>
        <v>1.45394556893675</v>
      </c>
      <c r="BC17" s="17" t="n">
        <f aca="false">IF($D17&lt;=0,0,($C17^2/8*(BB17-SIN(BB17)))*(($C17^2/8*(BB17-SIN(BB17)))/($C17*BB17/2))^(2/3)*$D17^0.5/$E17)</f>
        <v>0.00178900484006392</v>
      </c>
      <c r="BD17" s="17" t="n">
        <f aca="false">BB17+IF(BC17&lt;$B17,1,-1)*설정!$B$10/2^26</f>
        <v>1.45394549030923</v>
      </c>
      <c r="BE17" s="17" t="n">
        <f aca="false">IF($D17&lt;=0,0,($C17^2/8*(BD17-SIN(BD17)))*(($C17^2/8*(BD17-SIN(BD17)))/($C17*BD17/2))^(2/3)*$D17^0.5/$E17)</f>
        <v>0.00178900445507181</v>
      </c>
      <c r="BF17" s="17" t="n">
        <f aca="false">BD17+IF(BE17&lt;$B17,1,-1)*설정!$B$10/2^27</f>
        <v>1.45394552962299</v>
      </c>
      <c r="BG17" s="17" t="n">
        <f aca="false">IF($D17&lt;=0,0,($C17^2/8*(BF17-SIN(BF17)))*(($C17^2/8*(BF17-SIN(BF17)))/($C17*BF17/2))^(2/3)*$D17^0.5/$E17)</f>
        <v>0.00178900464756786</v>
      </c>
      <c r="BH17" s="17" t="n">
        <f aca="false">BF17+IF(BG17&lt;$B17,1,-1)*설정!$B$10/2^28</f>
        <v>1.45394550996611</v>
      </c>
      <c r="BI17" s="17" t="n">
        <f aca="false">IF($D17&lt;=0,0,($C17^2/8*(BH17-SIN(BH17)))*(($C17^2/8*(BH17-SIN(BH17)))/($C17*BH17/2))^(2/3)*$D17^0.5/$E17)</f>
        <v>0.00178900455131983</v>
      </c>
      <c r="BJ17" s="17" t="n">
        <f aca="false">BH17+IF(BI17&lt;$B17,1,-1)*설정!$B$10/2^29</f>
        <v>1.45394551979455</v>
      </c>
      <c r="BK17" s="17" t="n">
        <f aca="false">IF($D17&lt;=0,0,($C17^2/8*(BJ17-SIN(BJ17)))*(($C17^2/8*(BJ17-SIN(BJ17)))/($C17*BJ17/2))^(2/3)*$D17^0.5/$E17)</f>
        <v>0.00178900459944385</v>
      </c>
      <c r="BL17" s="17" t="n">
        <f aca="false">BJ17+IF(BK17&lt;$B17,1,-1)*설정!$B$10/2^30</f>
        <v>1.45394552470877</v>
      </c>
      <c r="BM17" s="17" t="n">
        <f aca="false">IF($D17&lt;=0,0,($C17^2/8*(BL17-SIN(BL17)))*(($C17^2/8*(BL17-SIN(BL17)))/($C17*BL17/2))^(2/3)*$D17^0.5/$E17)</f>
        <v>0.00178900462350585</v>
      </c>
      <c r="BN17" s="17" t="n">
        <f aca="false">BL17+IF(BM17&lt;$B17,1,-1)*설정!$B$10/2^31</f>
        <v>1.45394552716588</v>
      </c>
      <c r="BO17" s="17" t="n">
        <f aca="false">IF($D17&lt;=0,0,($C17^2/8*(BN17-SIN(BN17)))*(($C17^2/8*(BN17-SIN(BN17)))/($C17*BN17/2))^(2/3)*$D17^0.5/$E17)</f>
        <v>0.00178900463553686</v>
      </c>
      <c r="BP17" s="17" t="n">
        <f aca="false">BN17+IF(BO17&lt;$B17,1,-1)*설정!$B$10/2^32</f>
        <v>1.45394552593732</v>
      </c>
      <c r="BQ17" s="17" t="n">
        <f aca="false">IF($D17&lt;=0,0,($C17^2/8*(BP17-SIN(BP17)))*(($C17^2/8*(BP17-SIN(BP17)))/($C17*BP17/2))^(2/3)*$D17^0.5/$E17)</f>
        <v>0.00178900462952135</v>
      </c>
      <c r="BR17" s="17" t="n">
        <f aca="false">BP17+IF(BQ17&lt;$B17,1,-1)*설정!$B$10/2^33</f>
        <v>1.4539455265516</v>
      </c>
      <c r="BS17" s="17" t="n">
        <f aca="false">IF($D17&lt;=0,0,($C17^2/8*(BR17-SIN(BR17)))*(($C17^2/8*(BR17-SIN(BR17)))/($C17*BR17/2))^(2/3)*$D17^0.5/$E17)</f>
        <v>0.0017890046325291</v>
      </c>
      <c r="BT17" s="17" t="n">
        <f aca="false">BR17+IF(BS17&lt;$B17,1,-1)*설정!$B$10/2^34</f>
        <v>1.45394552624446</v>
      </c>
      <c r="BU17" s="17" t="n">
        <f aca="false">IF($D17&lt;=0,0,($C17^2/8*(BT17-SIN(BT17)))*(($C17^2/8*(BT17-SIN(BT17)))/($C17*BT17/2))^(2/3)*$D17^0.5/$E17)</f>
        <v>0.00178900463102523</v>
      </c>
      <c r="BV17" s="17" t="n">
        <f aca="false">BT17+IF(BU17&lt;$B17,1,-1)*설정!$B$10/2^35</f>
        <v>1.45394552609089</v>
      </c>
      <c r="BW17" s="17" t="n">
        <f aca="false">IF($D17&lt;=0,0,($C17^2/8*(BV17-SIN(BV17)))*(($C17^2/8*(BV17-SIN(BV17)))/($C17*BV17/2))^(2/3)*$D17^0.5/$E17)</f>
        <v>0.00178900463027329</v>
      </c>
      <c r="BX17" s="17" t="n">
        <f aca="false">BV17+IF(BW17&lt;$B17,1,-1)*설정!$B$10/2^36</f>
        <v>1.45394552601411</v>
      </c>
      <c r="BY17" s="17" t="n">
        <f aca="false">IF($D17&lt;=0,0,($C17^2/8*(BX17-SIN(BX17)))*(($C17^2/8*(BX17-SIN(BX17)))/($C17*BX17/2))^(2/3)*$D17^0.5/$E17)</f>
        <v>0.00178900462989732</v>
      </c>
      <c r="BZ17" s="17" t="n">
        <f aca="false">BX17+IF(BY17&lt;$B17,1,-1)*설정!$B$10/2^37</f>
        <v>1.45394552597572</v>
      </c>
      <c r="CA17" s="17" t="n">
        <f aca="false">IF($D17&lt;=0,0,($C17^2/8*(BZ17-SIN(BZ17)))*(($C17^2/8*(BZ17-SIN(BZ17)))/($C17*BZ17/2))^(2/3)*$D17^0.5/$E17)</f>
        <v>0.00178900462970934</v>
      </c>
      <c r="CB17" s="17" t="n">
        <f aca="false">BZ17+IF(CA17&lt;$B17,1,-1)*설정!$B$10/2^38</f>
        <v>1.45394552595652</v>
      </c>
      <c r="CC17" s="17" t="n">
        <f aca="false">IF($D17&lt;=0,0,($C17^2/8*(CB17-SIN(CB17)))*(($C17^2/8*(CB17-SIN(CB17)))/($C17*CB17/2))^(2/3)*$D17^0.5/$E17)</f>
        <v>0.00178900462961535</v>
      </c>
      <c r="CD17" s="17" t="n">
        <f aca="false">CB17+IF(CC17&lt;$B17,1,-1)*설정!$B$10/2^39</f>
        <v>1.45394552596612</v>
      </c>
      <c r="CE17" s="17" t="n">
        <f aca="false">IF($D17&lt;=0,0,($C17^2/8*(CD17-SIN(CD17)))*(($C17^2/8*(CD17-SIN(CD17)))/($C17*CD17/2))^(2/3)*$D17^0.5/$E17)</f>
        <v>0.00178900462966234</v>
      </c>
      <c r="CF17" s="17" t="n">
        <f aca="false">CD17+IF(CE17&lt;$B17,1,-1)*설정!$B$10/2^40</f>
        <v>1.45394552596132</v>
      </c>
      <c r="CG17" s="17" t="n">
        <f aca="false">IF($D17&lt;=0,0,($C17^2/8*(CF17-SIN(CF17)))*(($C17^2/8*(CF17-SIN(CF17)))/($C17*CF17/2))^(2/3)*$D17^0.5/$E17)</f>
        <v>0.00178900462963884</v>
      </c>
      <c r="CH17" s="17" t="n">
        <f aca="false">CF17+IF(CG17&lt;$B17,1,-1)*설정!$B$10/2^41</f>
        <v>1.45394552595892</v>
      </c>
    </row>
    <row r="18" customFormat="false" ht="15" hidden="false" customHeight="false" outlineLevel="0" collapsed="false">
      <c r="A18" s="14" t="str">
        <f aca="false">계산!A18</f>
        <v>BC-14</v>
      </c>
      <c r="B18" s="15" t="n">
        <f aca="false">계산!E18</f>
        <v>0.00178900462962963</v>
      </c>
      <c r="C18" s="14" t="n">
        <f aca="false">입력!E18/1000</f>
        <v>0.2</v>
      </c>
      <c r="D18" s="14" t="n">
        <f aca="false">(입력!F18-입력!G18)/입력!D18</f>
        <v>0.0192</v>
      </c>
      <c r="E18" s="14" t="n">
        <f aca="false">입력!J18</f>
        <v>0.011</v>
      </c>
      <c r="F18" s="16" t="n">
        <f aca="false">설정!$B$10/2</f>
        <v>2.6383016061374</v>
      </c>
      <c r="G18" s="17" t="n">
        <f aca="false">IF($D18&lt;=0,0,($C18^2/8*(F18-SIN(F18)))*(($C18^2/8*(F18-SIN(F18)))/($C18*F18/2))^(2/3)*$D18^0.5/$E18)</f>
        <v>0.0161090420211074</v>
      </c>
      <c r="H18" s="17" t="n">
        <f aca="false">F18+IF(G18&lt;$B18,1,-1)*설정!$B$10/2^2</f>
        <v>1.3191508030687</v>
      </c>
      <c r="I18" s="17" t="n">
        <f aca="false">IF($D18&lt;=0,0,($C18^2/8*(H18-SIN(H18)))*(($C18^2/8*(H18-SIN(H18)))/($C18*H18/2))^(2/3)*$D18^0.5/$E18)</f>
        <v>0.00123916206484259</v>
      </c>
      <c r="J18" s="17" t="n">
        <f aca="false">H18+IF(I18&lt;$B18,1,-1)*설정!$B$10/2^3</f>
        <v>1.97872620460305</v>
      </c>
      <c r="K18" s="17" t="n">
        <f aca="false">IF($D18&lt;=0,0,($C18^2/8*(J18-SIN(J18)))*(($C18^2/8*(J18-SIN(J18)))/($C18*J18/2))^(2/3)*$D18^0.5/$E18)</f>
        <v>0.00598404003289328</v>
      </c>
      <c r="L18" s="17" t="n">
        <f aca="false">J18+IF(K18&lt;$B18,1,-1)*설정!$B$10/2^4</f>
        <v>1.64893850383588</v>
      </c>
      <c r="M18" s="17" t="n">
        <f aca="false">IF($D18&lt;=0,0,($C18^2/8*(L18-SIN(L18)))*(($C18^2/8*(L18-SIN(L18)))/($C18*L18/2))^(2/3)*$D18^0.5/$E18)</f>
        <v>0.00300243244294299</v>
      </c>
      <c r="N18" s="17" t="n">
        <f aca="false">L18+IF(M18&lt;$B18,1,-1)*설정!$B$10/2^5</f>
        <v>1.48404465345229</v>
      </c>
      <c r="O18" s="17" t="n">
        <f aca="false">IF($D18&lt;=0,0,($C18^2/8*(N18-SIN(N18)))*(($C18^2/8*(N18-SIN(N18)))/($C18*N18/2))^(2/3)*$D18^0.5/$E18)</f>
        <v>0.00198603713067877</v>
      </c>
      <c r="P18" s="17" t="n">
        <f aca="false">N18+IF(O18&lt;$B18,1,-1)*설정!$B$10/2^6</f>
        <v>1.4015977282605</v>
      </c>
      <c r="Q18" s="17" t="n">
        <f aca="false">IF($D18&lt;=0,0,($C18^2/8*(P18-SIN(P18)))*(($C18^2/8*(P18-SIN(P18)))/($C18*P18/2))^(2/3)*$D18^0.5/$E18)</f>
        <v>0.00158149707608466</v>
      </c>
      <c r="R18" s="17" t="n">
        <f aca="false">P18+IF(Q18&lt;$B18,1,-1)*설정!$B$10/2^7</f>
        <v>1.44282119085639</v>
      </c>
      <c r="S18" s="17" t="n">
        <f aca="false">IF($D18&lt;=0,0,($C18^2/8*(R18-SIN(R18)))*(($C18^2/8*(R18-SIN(R18)))/($C18*R18/2))^(2/3)*$D18^0.5/$E18)</f>
        <v>0.00177565518561841</v>
      </c>
      <c r="T18" s="17" t="n">
        <f aca="false">R18+IF(S18&lt;$B18,1,-1)*설정!$B$10/2^8</f>
        <v>1.46343292215434</v>
      </c>
      <c r="U18" s="17" t="n">
        <f aca="false">IF($D18&lt;=0,0,($C18^2/8*(T18-SIN(T18)))*(($C18^2/8*(T18-SIN(T18)))/($C18*T18/2))^(2/3)*$D18^0.5/$E18)</f>
        <v>0.00187877711426245</v>
      </c>
      <c r="V18" s="17" t="n">
        <f aca="false">T18+IF(U18&lt;$B18,1,-1)*설정!$B$10/2^9</f>
        <v>1.45312705650537</v>
      </c>
      <c r="W18" s="17" t="n">
        <f aca="false">IF($D18&lt;=0,0,($C18^2/8*(V18-SIN(V18)))*(($C18^2/8*(V18-SIN(V18)))/($C18*V18/2))^(2/3)*$D18^0.5/$E18)</f>
        <v>0.00182670397367926</v>
      </c>
      <c r="X18" s="17" t="n">
        <f aca="false">V18+IF(W18&lt;$B18,1,-1)*설정!$B$10/2^10</f>
        <v>1.44797412368088</v>
      </c>
      <c r="Y18" s="17" t="n">
        <f aca="false">IF($D18&lt;=0,0,($C18^2/8*(X18-SIN(X18)))*(($C18^2/8*(X18-SIN(X18)))/($C18*X18/2))^(2/3)*$D18^0.5/$E18)</f>
        <v>0.00180105217555251</v>
      </c>
      <c r="Z18" s="17" t="n">
        <f aca="false">X18+IF(Y18&lt;$B18,1,-1)*설정!$B$10/2^11</f>
        <v>1.44539765726864</v>
      </c>
      <c r="AA18" s="17" t="n">
        <f aca="false">IF($D18&lt;=0,0,($C18^2/8*(Z18-SIN(Z18)))*(($C18^2/8*(Z18-SIN(Z18)))/($C18*Z18/2))^(2/3)*$D18^0.5/$E18)</f>
        <v>0.00178832190982346</v>
      </c>
      <c r="AB18" s="17" t="n">
        <f aca="false">Z18+IF(AA18&lt;$B18,1,-1)*설정!$B$10/2^12</f>
        <v>1.44668589047476</v>
      </c>
      <c r="AC18" s="17" t="n">
        <f aca="false">IF($D18&lt;=0,0,($C18^2/8*(AB18-SIN(AB18)))*(($C18^2/8*(AB18-SIN(AB18)))/($C18*AB18/2))^(2/3)*$D18^0.5/$E18)</f>
        <v>0.001794679089953</v>
      </c>
      <c r="AD18" s="17" t="n">
        <f aca="false">AB18+IF(AC18&lt;$B18,1,-1)*설정!$B$10/2^13</f>
        <v>1.4460417738717</v>
      </c>
      <c r="AE18" s="17" t="n">
        <f aca="false">IF($D18&lt;=0,0,($C18^2/8*(AD18-SIN(AD18)))*(($C18^2/8*(AD18-SIN(AD18)))/($C18*AD18/2))^(2/3)*$D18^0.5/$E18)</f>
        <v>0.00179149851295932</v>
      </c>
      <c r="AF18" s="17" t="n">
        <f aca="false">AD18+IF(AE18&lt;$B18,1,-1)*설정!$B$10/2^14</f>
        <v>1.44571971557017</v>
      </c>
      <c r="AG18" s="17" t="n">
        <f aca="false">IF($D18&lt;=0,0,($C18^2/8*(AF18-SIN(AF18)))*(($C18^2/8*(AF18-SIN(AF18)))/($C18*AF18/2))^(2/3)*$D18^0.5/$E18)</f>
        <v>0.00178990971481608</v>
      </c>
      <c r="AH18" s="17" t="n">
        <f aca="false">AF18+IF(AG18&lt;$B18,1,-1)*설정!$B$10/2^15</f>
        <v>1.4455586864194</v>
      </c>
      <c r="AI18" s="17" t="n">
        <f aca="false">IF($D18&lt;=0,0,($C18^2/8*(AH18-SIN(AH18)))*(($C18^2/8*(AH18-SIN(AH18)))/($C18*AH18/2))^(2/3)*$D18^0.5/$E18)</f>
        <v>0.00178911568819556</v>
      </c>
      <c r="AJ18" s="17" t="n">
        <f aca="false">AH18+IF(AI18&lt;$B18,1,-1)*설정!$B$10/2^16</f>
        <v>1.44547817184402</v>
      </c>
      <c r="AK18" s="17" t="n">
        <f aca="false">IF($D18&lt;=0,0,($C18^2/8*(AJ18-SIN(AJ18)))*(($C18^2/8*(AJ18-SIN(AJ18)))/($C18*AJ18/2))^(2/3)*$D18^0.5/$E18)</f>
        <v>0.00178871876798091</v>
      </c>
      <c r="AL18" s="17" t="n">
        <f aca="false">AJ18+IF(AK18&lt;$B18,1,-1)*설정!$B$10/2^17</f>
        <v>1.44551842913171</v>
      </c>
      <c r="AM18" s="17" t="n">
        <f aca="false">IF($D18&lt;=0,0,($C18^2/8*(AL18-SIN(AL18)))*(($C18^2/8*(AL18-SIN(AL18)))/($C18*AL18/2))^(2/3)*$D18^0.5/$E18)</f>
        <v>0.00178891722033078</v>
      </c>
      <c r="AN18" s="17" t="n">
        <f aca="false">AL18+IF(AM18&lt;$B18,1,-1)*설정!$B$10/2^18</f>
        <v>1.44553855777556</v>
      </c>
      <c r="AO18" s="17" t="n">
        <f aca="false">IF($D18&lt;=0,0,($C18^2/8*(AN18-SIN(AN18)))*(($C18^2/8*(AN18-SIN(AN18)))/($C18*AN18/2))^(2/3)*$D18^0.5/$E18)</f>
        <v>0.00178901645232377</v>
      </c>
      <c r="AP18" s="17" t="n">
        <f aca="false">AN18+IF(AO18&lt;$B18,1,-1)*설정!$B$10/2^19</f>
        <v>1.44552849345363</v>
      </c>
      <c r="AQ18" s="17" t="n">
        <f aca="false">IF($D18&lt;=0,0,($C18^2/8*(AP18-SIN(AP18)))*(($C18^2/8*(AP18-SIN(AP18)))/($C18*AP18/2))^(2/3)*$D18^0.5/$E18)</f>
        <v>0.00178896683584243</v>
      </c>
      <c r="AR18" s="17" t="n">
        <f aca="false">AP18+IF(AQ18&lt;$B18,1,-1)*설정!$B$10/2^20</f>
        <v>1.44553352561459</v>
      </c>
      <c r="AS18" s="17" t="n">
        <f aca="false">IF($D18&lt;=0,0,($C18^2/8*(AR18-SIN(AR18)))*(($C18^2/8*(AR18-SIN(AR18)))/($C18*AR18/2))^(2/3)*$D18^0.5/$E18)</f>
        <v>0.00178899164396189</v>
      </c>
      <c r="AT18" s="17" t="n">
        <f aca="false">AR18+IF(AS18&lt;$B18,1,-1)*설정!$B$10/2^21</f>
        <v>1.44553604169507</v>
      </c>
      <c r="AU18" s="17" t="n">
        <f aca="false">IF($D18&lt;=0,0,($C18^2/8*(AT18-SIN(AT18)))*(($C18^2/8*(AT18-SIN(AT18)))/($C18*AT18/2))^(2/3)*$D18^0.5/$E18)</f>
        <v>0.00178900404811253</v>
      </c>
      <c r="AV18" s="17" t="n">
        <f aca="false">AT18+IF(AU18&lt;$B18,1,-1)*설정!$B$10/2^22</f>
        <v>1.44553729973532</v>
      </c>
      <c r="AW18" s="17" t="n">
        <f aca="false">IF($D18&lt;=0,0,($C18^2/8*(AV18-SIN(AV18)))*(($C18^2/8*(AV18-SIN(AV18)))/($C18*AV18/2))^(2/3)*$D18^0.5/$E18)</f>
        <v>0.00178901025021057</v>
      </c>
      <c r="AX18" s="17" t="n">
        <f aca="false">AV18+IF(AW18&lt;$B18,1,-1)*설정!$B$10/2^23</f>
        <v>1.44553667071519</v>
      </c>
      <c r="AY18" s="17" t="n">
        <f aca="false">IF($D18&lt;=0,0,($C18^2/8*(AX18-SIN(AX18)))*(($C18^2/8*(AX18-SIN(AX18)))/($C18*AX18/2))^(2/3)*$D18^0.5/$E18)</f>
        <v>0.00178900714915966</v>
      </c>
      <c r="AZ18" s="17" t="n">
        <f aca="false">AX18+IF(AY18&lt;$B18,1,-1)*설정!$B$10/2^24</f>
        <v>1.44553635620513</v>
      </c>
      <c r="BA18" s="17" t="n">
        <f aca="false">IF($D18&lt;=0,0,($C18^2/8*(AZ18-SIN(AZ18)))*(($C18^2/8*(AZ18-SIN(AZ18)))/($C18*AZ18/2))^(2/3)*$D18^0.5/$E18)</f>
        <v>0.00178900559863562</v>
      </c>
      <c r="BB18" s="17" t="n">
        <f aca="false">AZ18+IF(BA18&lt;$B18,1,-1)*설정!$B$10/2^25</f>
        <v>1.4455361989501</v>
      </c>
      <c r="BC18" s="17" t="n">
        <f aca="false">IF($D18&lt;=0,0,($C18^2/8*(BB18-SIN(BB18)))*(($C18^2/8*(BB18-SIN(BB18)))/($C18*BB18/2))^(2/3)*$D18^0.5/$E18)</f>
        <v>0.00178900482337395</v>
      </c>
      <c r="BD18" s="17" t="n">
        <f aca="false">BB18+IF(BC18&lt;$B18,1,-1)*설정!$B$10/2^26</f>
        <v>1.44553612032259</v>
      </c>
      <c r="BE18" s="17" t="n">
        <f aca="false">IF($D18&lt;=0,0,($C18^2/8*(BD18-SIN(BD18)))*(($C18^2/8*(BD18-SIN(BD18)))/($C18*BD18/2))^(2/3)*$D18^0.5/$E18)</f>
        <v>0.00178900443574321</v>
      </c>
      <c r="BF18" s="17" t="n">
        <f aca="false">BD18+IF(BE18&lt;$B18,1,-1)*설정!$B$10/2^27</f>
        <v>1.44553615963635</v>
      </c>
      <c r="BG18" s="17" t="n">
        <f aca="false">IF($D18&lt;=0,0,($C18^2/8*(BF18-SIN(BF18)))*(($C18^2/8*(BF18-SIN(BF18)))/($C18*BF18/2))^(2/3)*$D18^0.5/$E18)</f>
        <v>0.00178900462955858</v>
      </c>
      <c r="BH18" s="17" t="n">
        <f aca="false">BF18+IF(BG18&lt;$B18,1,-1)*설정!$B$10/2^28</f>
        <v>1.44553617929323</v>
      </c>
      <c r="BI18" s="17" t="n">
        <f aca="false">IF($D18&lt;=0,0,($C18^2/8*(BH18-SIN(BH18)))*(($C18^2/8*(BH18-SIN(BH18)))/($C18*BH18/2))^(2/3)*$D18^0.5/$E18)</f>
        <v>0.00178900472646626</v>
      </c>
      <c r="BJ18" s="17" t="n">
        <f aca="false">BH18+IF(BI18&lt;$B18,1,-1)*설정!$B$10/2^29</f>
        <v>1.44553616946479</v>
      </c>
      <c r="BK18" s="17" t="n">
        <f aca="false">IF($D18&lt;=0,0,($C18^2/8*(BJ18-SIN(BJ18)))*(($C18^2/8*(BJ18-SIN(BJ18)))/($C18*BJ18/2))^(2/3)*$D18^0.5/$E18)</f>
        <v>0.00178900467801242</v>
      </c>
      <c r="BL18" s="17" t="n">
        <f aca="false">BJ18+IF(BK18&lt;$B18,1,-1)*설정!$B$10/2^30</f>
        <v>1.44553616455057</v>
      </c>
      <c r="BM18" s="17" t="n">
        <f aca="false">IF($D18&lt;=0,0,($C18^2/8*(BL18-SIN(BL18)))*(($C18^2/8*(BL18-SIN(BL18)))/($C18*BL18/2))^(2/3)*$D18^0.5/$E18)</f>
        <v>0.0017890046537855</v>
      </c>
      <c r="BN18" s="17" t="n">
        <f aca="false">BL18+IF(BM18&lt;$B18,1,-1)*설정!$B$10/2^31</f>
        <v>1.44553616209346</v>
      </c>
      <c r="BO18" s="17" t="n">
        <f aca="false">IF($D18&lt;=0,0,($C18^2/8*(BN18-SIN(BN18)))*(($C18^2/8*(BN18-SIN(BN18)))/($C18*BN18/2))^(2/3)*$D18^0.5/$E18)</f>
        <v>0.00178900464167204</v>
      </c>
      <c r="BP18" s="17" t="n">
        <f aca="false">BN18+IF(BO18&lt;$B18,1,-1)*설정!$B$10/2^32</f>
        <v>1.4455361608649</v>
      </c>
      <c r="BQ18" s="17" t="n">
        <f aca="false">IF($D18&lt;=0,0,($C18^2/8*(BP18-SIN(BP18)))*(($C18^2/8*(BP18-SIN(BP18)))/($C18*BP18/2))^(2/3)*$D18^0.5/$E18)</f>
        <v>0.00178900463561531</v>
      </c>
      <c r="BR18" s="17" t="n">
        <f aca="false">BP18+IF(BQ18&lt;$B18,1,-1)*설정!$B$10/2^33</f>
        <v>1.44553616025063</v>
      </c>
      <c r="BS18" s="17" t="n">
        <f aca="false">IF($D18&lt;=0,0,($C18^2/8*(BR18-SIN(BR18)))*(($C18^2/8*(BR18-SIN(BR18)))/($C18*BR18/2))^(2/3)*$D18^0.5/$E18)</f>
        <v>0.00178900463258694</v>
      </c>
      <c r="BT18" s="17" t="n">
        <f aca="false">BR18+IF(BS18&lt;$B18,1,-1)*설정!$B$10/2^34</f>
        <v>1.44553615994349</v>
      </c>
      <c r="BU18" s="17" t="n">
        <f aca="false">IF($D18&lt;=0,0,($C18^2/8*(BT18-SIN(BT18)))*(($C18^2/8*(BT18-SIN(BT18)))/($C18*BT18/2))^(2/3)*$D18^0.5/$E18)</f>
        <v>0.00178900463107276</v>
      </c>
      <c r="BV18" s="17" t="n">
        <f aca="false">BT18+IF(BU18&lt;$B18,1,-1)*설정!$B$10/2^35</f>
        <v>1.44553615978992</v>
      </c>
      <c r="BW18" s="17" t="n">
        <f aca="false">IF($D18&lt;=0,0,($C18^2/8*(BV18-SIN(BV18)))*(($C18^2/8*(BV18-SIN(BV18)))/($C18*BV18/2))^(2/3)*$D18^0.5/$E18)</f>
        <v>0.00178900463031567</v>
      </c>
      <c r="BX18" s="17" t="n">
        <f aca="false">BV18+IF(BW18&lt;$B18,1,-1)*설정!$B$10/2^36</f>
        <v>1.44553615971313</v>
      </c>
      <c r="BY18" s="17" t="n">
        <f aca="false">IF($D18&lt;=0,0,($C18^2/8*(BX18-SIN(BX18)))*(($C18^2/8*(BX18-SIN(BX18)))/($C18*BX18/2))^(2/3)*$D18^0.5/$E18)</f>
        <v>0.00178900462993712</v>
      </c>
      <c r="BZ18" s="17" t="n">
        <f aca="false">BX18+IF(BY18&lt;$B18,1,-1)*설정!$B$10/2^37</f>
        <v>1.44553615967474</v>
      </c>
      <c r="CA18" s="17" t="n">
        <f aca="false">IF($D18&lt;=0,0,($C18^2/8*(BZ18-SIN(BZ18)))*(($C18^2/8*(BZ18-SIN(BZ18)))/($C18*BZ18/2))^(2/3)*$D18^0.5/$E18)</f>
        <v>0.00178900462974785</v>
      </c>
      <c r="CB18" s="17" t="n">
        <f aca="false">BZ18+IF(CA18&lt;$B18,1,-1)*설정!$B$10/2^38</f>
        <v>1.44553615965554</v>
      </c>
      <c r="CC18" s="17" t="n">
        <f aca="false">IF($D18&lt;=0,0,($C18^2/8*(CB18-SIN(CB18)))*(($C18^2/8*(CB18-SIN(CB18)))/($C18*CB18/2))^(2/3)*$D18^0.5/$E18)</f>
        <v>0.00178900462965321</v>
      </c>
      <c r="CD18" s="17" t="n">
        <f aca="false">CB18+IF(CC18&lt;$B18,1,-1)*설정!$B$10/2^39</f>
        <v>1.44553615964595</v>
      </c>
      <c r="CE18" s="17" t="n">
        <f aca="false">IF($D18&lt;=0,0,($C18^2/8*(CD18-SIN(CD18)))*(($C18^2/8*(CD18-SIN(CD18)))/($C18*CD18/2))^(2/3)*$D18^0.5/$E18)</f>
        <v>0.00178900462960589</v>
      </c>
      <c r="CF18" s="17" t="n">
        <f aca="false">CD18+IF(CE18&lt;$B18,1,-1)*설정!$B$10/2^40</f>
        <v>1.44553615965074</v>
      </c>
      <c r="CG18" s="17" t="n">
        <f aca="false">IF($D18&lt;=0,0,($C18^2/8*(CF18-SIN(CF18)))*(($C18^2/8*(CF18-SIN(CF18)))/($C18*CF18/2))^(2/3)*$D18^0.5/$E18)</f>
        <v>0.00178900462962955</v>
      </c>
      <c r="CH18" s="17" t="n">
        <f aca="false">CF18+IF(CG18&lt;$B18,1,-1)*설정!$B$10/2^41</f>
        <v>1.44553615965314</v>
      </c>
    </row>
    <row r="19" customFormat="false" ht="15" hidden="false" customHeight="false" outlineLevel="0" collapsed="false">
      <c r="A19" s="14" t="str">
        <f aca="false">계산!A19</f>
        <v>BC-15</v>
      </c>
      <c r="B19" s="15" t="n">
        <f aca="false">계산!E19</f>
        <v>0.00178900462962963</v>
      </c>
      <c r="C19" s="14" t="n">
        <f aca="false">입력!E19/1000</f>
        <v>0.2</v>
      </c>
      <c r="D19" s="14" t="n">
        <f aca="false">(입력!F19-입력!G19)/입력!D19</f>
        <v>0.0134666666666666</v>
      </c>
      <c r="E19" s="14" t="n">
        <f aca="false">입력!J19</f>
        <v>0.011</v>
      </c>
      <c r="F19" s="16" t="n">
        <f aca="false">설정!$B$10/2</f>
        <v>2.6383016061374</v>
      </c>
      <c r="G19" s="17" t="n">
        <f aca="false">IF($D19&lt;=0,0,($C19^2/8*(F19-SIN(F19)))*(($C19^2/8*(F19-SIN(F19)))/($C19*F19/2))^(2/3)*$D19^0.5/$E19)</f>
        <v>0.0134911557239616</v>
      </c>
      <c r="H19" s="17" t="n">
        <f aca="false">F19+IF(G19&lt;$B19,1,-1)*설정!$B$10/2^2</f>
        <v>1.3191508030687</v>
      </c>
      <c r="I19" s="17" t="n">
        <f aca="false">IF($D19&lt;=0,0,($C19^2/8*(H19-SIN(H19)))*(($C19^2/8*(H19-SIN(H19)))/($C19*H19/2))^(2/3)*$D19^0.5/$E19)</f>
        <v>0.00103778538550661</v>
      </c>
      <c r="J19" s="17" t="n">
        <f aca="false">H19+IF(I19&lt;$B19,1,-1)*설정!$B$10/2^3</f>
        <v>1.97872620460305</v>
      </c>
      <c r="K19" s="17" t="n">
        <f aca="false">IF($D19&lt;=0,0,($C19^2/8*(J19-SIN(J19)))*(($C19^2/8*(J19-SIN(J19)))/($C19*J19/2))^(2/3)*$D19^0.5/$E19)</f>
        <v>0.00501157150353213</v>
      </c>
      <c r="L19" s="17" t="n">
        <f aca="false">J19+IF(K19&lt;$B19,1,-1)*설정!$B$10/2^4</f>
        <v>1.64893850383588</v>
      </c>
      <c r="M19" s="17" t="n">
        <f aca="false">IF($D19&lt;=0,0,($C19^2/8*(L19-SIN(L19)))*(($C19^2/8*(L19-SIN(L19)))/($C19*L19/2))^(2/3)*$D19^0.5/$E19)</f>
        <v>0.00251450605103293</v>
      </c>
      <c r="N19" s="17" t="n">
        <f aca="false">L19+IF(M19&lt;$B19,1,-1)*설정!$B$10/2^5</f>
        <v>1.48404465345229</v>
      </c>
      <c r="O19" s="17" t="n">
        <f aca="false">IF($D19&lt;=0,0,($C19^2/8*(N19-SIN(N19)))*(($C19^2/8*(N19-SIN(N19)))/($C19*N19/2))^(2/3)*$D19^0.5/$E19)</f>
        <v>0.00166328551185412</v>
      </c>
      <c r="P19" s="17" t="n">
        <f aca="false">N19+IF(O19&lt;$B19,1,-1)*설정!$B$10/2^6</f>
        <v>1.56649157864408</v>
      </c>
      <c r="Q19" s="17" t="n">
        <f aca="false">IF($D19&lt;=0,0,($C19^2/8*(P19-SIN(P19)))*(($C19^2/8*(P19-SIN(P19)))/($C19*P19/2))^(2/3)*$D19^0.5/$E19)</f>
        <v>0.00205858878793162</v>
      </c>
      <c r="R19" s="17" t="n">
        <f aca="false">P19+IF(Q19&lt;$B19,1,-1)*설정!$B$10/2^7</f>
        <v>1.52526811604819</v>
      </c>
      <c r="S19" s="17" t="n">
        <f aca="false">IF($D19&lt;=0,0,($C19^2/8*(R19-SIN(R19)))*(($C19^2/8*(R19-SIN(R19)))/($C19*R19/2))^(2/3)*$D19^0.5/$E19)</f>
        <v>0.00185360920047541</v>
      </c>
      <c r="T19" s="17" t="n">
        <f aca="false">R19+IF(S19&lt;$B19,1,-1)*설정!$B$10/2^8</f>
        <v>1.50465638475024</v>
      </c>
      <c r="U19" s="17" t="n">
        <f aca="false">IF($D19&lt;=0,0,($C19^2/8*(T19-SIN(T19)))*(($C19^2/8*(T19-SIN(T19)))/($C19*T19/2))^(2/3)*$D19^0.5/$E19)</f>
        <v>0.0017566477050514</v>
      </c>
      <c r="V19" s="17" t="n">
        <f aca="false">T19+IF(U19&lt;$B19,1,-1)*설정!$B$10/2^9</f>
        <v>1.51496225039921</v>
      </c>
      <c r="W19" s="17" t="n">
        <f aca="false">IF($D19&lt;=0,0,($C19^2/8*(V19-SIN(V19)))*(($C19^2/8*(V19-SIN(V19)))/($C19*V19/2))^(2/3)*$D19^0.5/$E19)</f>
        <v>0.00180467444675287</v>
      </c>
      <c r="X19" s="17" t="n">
        <f aca="false">V19+IF(W19&lt;$B19,1,-1)*설정!$B$10/2^10</f>
        <v>1.50980931757473</v>
      </c>
      <c r="Y19" s="17" t="n">
        <f aca="false">IF($D19&lt;=0,0,($C19^2/8*(X19-SIN(X19)))*(($C19^2/8*(X19-SIN(X19)))/($C19*X19/2))^(2/3)*$D19^0.5/$E19)</f>
        <v>0.00178054808296025</v>
      </c>
      <c r="Z19" s="17" t="n">
        <f aca="false">X19+IF(Y19&lt;$B19,1,-1)*설정!$B$10/2^11</f>
        <v>1.51238578398697</v>
      </c>
      <c r="AA19" s="17" t="n">
        <f aca="false">IF($D19&lt;=0,0,($C19^2/8*(Z19-SIN(Z19)))*(($C19^2/8*(Z19-SIN(Z19)))/($C19*Z19/2))^(2/3)*$D19^0.5/$E19)</f>
        <v>0.00179258295285431</v>
      </c>
      <c r="AB19" s="17" t="n">
        <f aca="false">Z19+IF(AA19&lt;$B19,1,-1)*설정!$B$10/2^12</f>
        <v>1.51109755078085</v>
      </c>
      <c r="AC19" s="17" t="n">
        <f aca="false">IF($D19&lt;=0,0,($C19^2/8*(AB19-SIN(AB19)))*(($C19^2/8*(AB19-SIN(AB19)))/($C19*AB19/2))^(2/3)*$D19^0.5/$E19)</f>
        <v>0.00178655844786538</v>
      </c>
      <c r="AD19" s="17" t="n">
        <f aca="false">AB19+IF(AC19&lt;$B19,1,-1)*설정!$B$10/2^13</f>
        <v>1.51174166738391</v>
      </c>
      <c r="AE19" s="17" t="n">
        <f aca="false">IF($D19&lt;=0,0,($C19^2/8*(AD19-SIN(AD19)))*(($C19^2/8*(AD19-SIN(AD19)))/($C19*AD19/2))^(2/3)*$D19^0.5/$E19)</f>
        <v>0.00178956893185377</v>
      </c>
      <c r="AF19" s="17" t="n">
        <f aca="false">AD19+IF(AE19&lt;$B19,1,-1)*설정!$B$10/2^14</f>
        <v>1.51141960908238</v>
      </c>
      <c r="AG19" s="17" t="n">
        <f aca="false">IF($D19&lt;=0,0,($C19^2/8*(AF19-SIN(AF19)))*(($C19^2/8*(AF19-SIN(AF19)))/($C19*AF19/2))^(2/3)*$D19^0.5/$E19)</f>
        <v>0.00178806324785746</v>
      </c>
      <c r="AH19" s="17" t="n">
        <f aca="false">AF19+IF(AG19&lt;$B19,1,-1)*설정!$B$10/2^15</f>
        <v>1.51158063823314</v>
      </c>
      <c r="AI19" s="17" t="n">
        <f aca="false">IF($D19&lt;=0,0,($C19^2/8*(AH19-SIN(AH19)))*(($C19^2/8*(AH19-SIN(AH19)))/($C19*AH19/2))^(2/3)*$D19^0.5/$E19)</f>
        <v>0.00178881597933953</v>
      </c>
      <c r="AJ19" s="17" t="n">
        <f aca="false">AH19+IF(AI19&lt;$B19,1,-1)*설정!$B$10/2^16</f>
        <v>1.51166115280853</v>
      </c>
      <c r="AK19" s="17" t="n">
        <f aca="false">IF($D19&lt;=0,0,($C19^2/8*(AJ19-SIN(AJ19)))*(($C19^2/8*(AJ19-SIN(AJ19)))/($C19*AJ19/2))^(2/3)*$D19^0.5/$E19)</f>
        <v>0.00178919242796569</v>
      </c>
      <c r="AL19" s="17" t="n">
        <f aca="false">AJ19+IF(AK19&lt;$B19,1,-1)*설정!$B$10/2^17</f>
        <v>1.51162089552083</v>
      </c>
      <c r="AM19" s="17" t="n">
        <f aca="false">IF($D19&lt;=0,0,($C19^2/8*(AL19-SIN(AL19)))*(($C19^2/8*(AL19-SIN(AL19)))/($C19*AL19/2))^(2/3)*$D19^0.5/$E19)</f>
        <v>0.00178900419674511</v>
      </c>
      <c r="AN19" s="17" t="n">
        <f aca="false">AL19+IF(AM19&lt;$B19,1,-1)*설정!$B$10/2^18</f>
        <v>1.51164102416468</v>
      </c>
      <c r="AO19" s="17" t="n">
        <f aca="false">IF($D19&lt;=0,0,($C19^2/8*(AN19-SIN(AN19)))*(($C19^2/8*(AN19-SIN(AN19)))/($C19*AN19/2))^(2/3)*$D19^0.5/$E19)</f>
        <v>0.0017890983106285</v>
      </c>
      <c r="AP19" s="17" t="n">
        <f aca="false">AN19+IF(AO19&lt;$B19,1,-1)*설정!$B$10/2^19</f>
        <v>1.51163095984276</v>
      </c>
      <c r="AQ19" s="17" t="n">
        <f aca="false">IF($D19&lt;=0,0,($C19^2/8*(AP19-SIN(AP19)))*(($C19^2/8*(AP19-SIN(AP19)))/($C19*AP19/2))^(2/3)*$D19^0.5/$E19)</f>
        <v>0.00178905125325508</v>
      </c>
      <c r="AR19" s="17" t="n">
        <f aca="false">AP19+IF(AQ19&lt;$B19,1,-1)*설정!$B$10/2^20</f>
        <v>1.5116259276818</v>
      </c>
      <c r="AS19" s="17" t="n">
        <f aca="false">IF($D19&lt;=0,0,($C19^2/8*(AR19-SIN(AR19)))*(($C19^2/8*(AR19-SIN(AR19)))/($C19*AR19/2))^(2/3)*$D19^0.5/$E19)</f>
        <v>0.00178902772489217</v>
      </c>
      <c r="AT19" s="17" t="n">
        <f aca="false">AR19+IF(AS19&lt;$B19,1,-1)*설정!$B$10/2^21</f>
        <v>1.51162341160131</v>
      </c>
      <c r="AU19" s="17" t="n">
        <f aca="false">IF($D19&lt;=0,0,($C19^2/8*(AT19-SIN(AT19)))*(($C19^2/8*(AT19-SIN(AT19)))/($C19*AT19/2))^(2/3)*$D19^0.5/$E19)</f>
        <v>0.00178901596079166</v>
      </c>
      <c r="AV19" s="17" t="n">
        <f aca="false">AT19+IF(AU19&lt;$B19,1,-1)*설정!$B$10/2^22</f>
        <v>1.51162215356107</v>
      </c>
      <c r="AW19" s="17" t="n">
        <f aca="false">IF($D19&lt;=0,0,($C19^2/8*(AV19-SIN(AV19)))*(($C19^2/8*(AV19-SIN(AV19)))/($C19*AV19/2))^(2/3)*$D19^0.5/$E19)</f>
        <v>0.00178901007876164</v>
      </c>
      <c r="AX19" s="17" t="n">
        <f aca="false">AV19+IF(AW19&lt;$B19,1,-1)*설정!$B$10/2^23</f>
        <v>1.51162152454095</v>
      </c>
      <c r="AY19" s="17" t="n">
        <f aca="false">IF($D19&lt;=0,0,($C19^2/8*(AX19-SIN(AX19)))*(($C19^2/8*(AX19-SIN(AX19)))/($C19*AX19/2))^(2/3)*$D19^0.5/$E19)</f>
        <v>0.00178900713775169</v>
      </c>
      <c r="AZ19" s="17" t="n">
        <f aca="false">AX19+IF(AY19&lt;$B19,1,-1)*설정!$B$10/2^24</f>
        <v>1.51162121003089</v>
      </c>
      <c r="BA19" s="17" t="n">
        <f aca="false">IF($D19&lt;=0,0,($C19^2/8*(AZ19-SIN(AZ19)))*(($C19^2/8*(AZ19-SIN(AZ19)))/($C19*AZ19/2))^(2/3)*$D19^0.5/$E19)</f>
        <v>0.00178900566724798</v>
      </c>
      <c r="BB19" s="17" t="n">
        <f aca="false">AZ19+IF(BA19&lt;$B19,1,-1)*설정!$B$10/2^25</f>
        <v>1.51162105277586</v>
      </c>
      <c r="BC19" s="17" t="n">
        <f aca="false">IF($D19&lt;=0,0,($C19^2/8*(BB19-SIN(BB19)))*(($C19^2/8*(BB19-SIN(BB19)))/($C19*BB19/2))^(2/3)*$D19^0.5/$E19)</f>
        <v>0.00178900493199644</v>
      </c>
      <c r="BD19" s="17" t="n">
        <f aca="false">BB19+IF(BC19&lt;$B19,1,-1)*설정!$B$10/2^26</f>
        <v>1.51162097414835</v>
      </c>
      <c r="BE19" s="17" t="n">
        <f aca="false">IF($D19&lt;=0,0,($C19^2/8*(BD19-SIN(BD19)))*(($C19^2/8*(BD19-SIN(BD19)))/($C19*BD19/2))^(2/3)*$D19^0.5/$E19)</f>
        <v>0.00178900456437075</v>
      </c>
      <c r="BF19" s="17" t="n">
        <f aca="false">BD19+IF(BE19&lt;$B19,1,-1)*설정!$B$10/2^27</f>
        <v>1.51162101346211</v>
      </c>
      <c r="BG19" s="17" t="n">
        <f aca="false">IF($D19&lt;=0,0,($C19^2/8*(BF19-SIN(BF19)))*(($C19^2/8*(BF19-SIN(BF19)))/($C19*BF19/2))^(2/3)*$D19^0.5/$E19)</f>
        <v>0.00178900474818359</v>
      </c>
      <c r="BH19" s="17" t="n">
        <f aca="false">BF19+IF(BG19&lt;$B19,1,-1)*설정!$B$10/2^28</f>
        <v>1.51162099380523</v>
      </c>
      <c r="BI19" s="17" t="n">
        <f aca="false">IF($D19&lt;=0,0,($C19^2/8*(BH19-SIN(BH19)))*(($C19^2/8*(BH19-SIN(BH19)))/($C19*BH19/2))^(2/3)*$D19^0.5/$E19)</f>
        <v>0.00178900465627717</v>
      </c>
      <c r="BJ19" s="17" t="n">
        <f aca="false">BH19+IF(BI19&lt;$B19,1,-1)*설정!$B$10/2^29</f>
        <v>1.51162098397679</v>
      </c>
      <c r="BK19" s="17" t="n">
        <f aca="false">IF($D19&lt;=0,0,($C19^2/8*(BJ19-SIN(BJ19)))*(($C19^2/8*(BJ19-SIN(BJ19)))/($C19*BJ19/2))^(2/3)*$D19^0.5/$E19)</f>
        <v>0.00178900461032396</v>
      </c>
      <c r="BL19" s="17" t="n">
        <f aca="false">BJ19+IF(BK19&lt;$B19,1,-1)*설정!$B$10/2^30</f>
        <v>1.51162098889101</v>
      </c>
      <c r="BM19" s="17" t="n">
        <f aca="false">IF($D19&lt;=0,0,($C19^2/8*(BL19-SIN(BL19)))*(($C19^2/8*(BL19-SIN(BL19)))/($C19*BL19/2))^(2/3)*$D19^0.5/$E19)</f>
        <v>0.00178900463330057</v>
      </c>
      <c r="BN19" s="17" t="n">
        <f aca="false">BL19+IF(BM19&lt;$B19,1,-1)*설정!$B$10/2^31</f>
        <v>1.5116209864339</v>
      </c>
      <c r="BO19" s="17" t="n">
        <f aca="false">IF($D19&lt;=0,0,($C19^2/8*(BN19-SIN(BN19)))*(($C19^2/8*(BN19-SIN(BN19)))/($C19*BN19/2))^(2/3)*$D19^0.5/$E19)</f>
        <v>0.00178900462181226</v>
      </c>
      <c r="BP19" s="17" t="n">
        <f aca="false">BN19+IF(BO19&lt;$B19,1,-1)*설정!$B$10/2^32</f>
        <v>1.51162098766245</v>
      </c>
      <c r="BQ19" s="17" t="n">
        <f aca="false">IF($D19&lt;=0,0,($C19^2/8*(BP19-SIN(BP19)))*(($C19^2/8*(BP19-SIN(BP19)))/($C19*BP19/2))^(2/3)*$D19^0.5/$E19)</f>
        <v>0.00178900462755641</v>
      </c>
      <c r="BR19" s="17" t="n">
        <f aca="false">BP19+IF(BQ19&lt;$B19,1,-1)*설정!$B$10/2^33</f>
        <v>1.51162098827673</v>
      </c>
      <c r="BS19" s="17" t="n">
        <f aca="false">IF($D19&lt;=0,0,($C19^2/8*(BR19-SIN(BR19)))*(($C19^2/8*(BR19-SIN(BR19)))/($C19*BR19/2))^(2/3)*$D19^0.5/$E19)</f>
        <v>0.00178900463042849</v>
      </c>
      <c r="BT19" s="17" t="n">
        <f aca="false">BR19+IF(BS19&lt;$B19,1,-1)*설정!$B$10/2^34</f>
        <v>1.51162098796959</v>
      </c>
      <c r="BU19" s="17" t="n">
        <f aca="false">IF($D19&lt;=0,0,($C19^2/8*(BT19-SIN(BT19)))*(($C19^2/8*(BT19-SIN(BT19)))/($C19*BT19/2))^(2/3)*$D19^0.5/$E19)</f>
        <v>0.00178900462899245</v>
      </c>
      <c r="BV19" s="17" t="n">
        <f aca="false">BT19+IF(BU19&lt;$B19,1,-1)*설정!$B$10/2^35</f>
        <v>1.51162098812316</v>
      </c>
      <c r="BW19" s="17" t="n">
        <f aca="false">IF($D19&lt;=0,0,($C19^2/8*(BV19-SIN(BV19)))*(($C19^2/8*(BV19-SIN(BV19)))/($C19*BV19/2))^(2/3)*$D19^0.5/$E19)</f>
        <v>0.00178900462971047</v>
      </c>
      <c r="BX19" s="17" t="n">
        <f aca="false">BV19+IF(BW19&lt;$B19,1,-1)*설정!$B$10/2^36</f>
        <v>1.51162098804638</v>
      </c>
      <c r="BY19" s="17" t="n">
        <f aca="false">IF($D19&lt;=0,0,($C19^2/8*(BX19-SIN(BX19)))*(($C19^2/8*(BX19-SIN(BX19)))/($C19*BX19/2))^(2/3)*$D19^0.5/$E19)</f>
        <v>0.00178900462935146</v>
      </c>
      <c r="BZ19" s="17" t="n">
        <f aca="false">BX19+IF(BY19&lt;$B19,1,-1)*설정!$B$10/2^37</f>
        <v>1.51162098808477</v>
      </c>
      <c r="CA19" s="17" t="n">
        <f aca="false">IF($D19&lt;=0,0,($C19^2/8*(BZ19-SIN(BZ19)))*(($C19^2/8*(BZ19-SIN(BZ19)))/($C19*BZ19/2))^(2/3)*$D19^0.5/$E19)</f>
        <v>0.00178900462953097</v>
      </c>
      <c r="CB19" s="17" t="n">
        <f aca="false">BZ19+IF(CA19&lt;$B19,1,-1)*설정!$B$10/2^38</f>
        <v>1.51162098810397</v>
      </c>
      <c r="CC19" s="17" t="n">
        <f aca="false">IF($D19&lt;=0,0,($C19^2/8*(CB19-SIN(CB19)))*(($C19^2/8*(CB19-SIN(CB19)))/($C19*CB19/2))^(2/3)*$D19^0.5/$E19)</f>
        <v>0.00178900462962072</v>
      </c>
      <c r="CD19" s="17" t="n">
        <f aca="false">CB19+IF(CC19&lt;$B19,1,-1)*설정!$B$10/2^39</f>
        <v>1.51162098811356</v>
      </c>
      <c r="CE19" s="17" t="n">
        <f aca="false">IF($D19&lt;=0,0,($C19^2/8*(CD19-SIN(CD19)))*(($C19^2/8*(CD19-SIN(CD19)))/($C19*CD19/2))^(2/3)*$D19^0.5/$E19)</f>
        <v>0.00178900462966559</v>
      </c>
      <c r="CF19" s="17" t="n">
        <f aca="false">CD19+IF(CE19&lt;$B19,1,-1)*설정!$B$10/2^40</f>
        <v>1.51162098810876</v>
      </c>
      <c r="CG19" s="17" t="n">
        <f aca="false">IF($D19&lt;=0,0,($C19^2/8*(CF19-SIN(CF19)))*(($C19^2/8*(CF19-SIN(CF19)))/($C19*CF19/2))^(2/3)*$D19^0.5/$E19)</f>
        <v>0.00178900462964316</v>
      </c>
      <c r="CH19" s="17" t="n">
        <f aca="false">CF19+IF(CG19&lt;$B19,1,-1)*설정!$B$10/2^41</f>
        <v>1.51162098810636</v>
      </c>
    </row>
    <row r="20" customFormat="false" ht="15" hidden="false" customHeight="false" outlineLevel="0" collapsed="false">
      <c r="A20" s="14" t="str">
        <f aca="false">계산!A20</f>
        <v>BC-16</v>
      </c>
      <c r="B20" s="15" t="n">
        <f aca="false">계산!E20</f>
        <v>0.00178900462962963</v>
      </c>
      <c r="C20" s="14" t="n">
        <f aca="false">입력!E20/1000</f>
        <v>0.2</v>
      </c>
      <c r="D20" s="14" t="n">
        <f aca="false">(입력!F20-입력!G20)/입력!D20</f>
        <v>0.00973333333333339</v>
      </c>
      <c r="E20" s="14" t="n">
        <f aca="false">입력!J20</f>
        <v>0.011</v>
      </c>
      <c r="F20" s="16" t="n">
        <f aca="false">설정!$B$10/2</f>
        <v>2.6383016061374</v>
      </c>
      <c r="G20" s="17" t="n">
        <f aca="false">IF($D20&lt;=0,0,($C20^2/8*(F20-SIN(F20)))*(($C20^2/8*(F20-SIN(F20)))/($C20*F20/2))^(2/3)*$D20^0.5/$E20)</f>
        <v>0.0114696429468183</v>
      </c>
      <c r="H20" s="17" t="n">
        <f aca="false">F20+IF(G20&lt;$B20,1,-1)*설정!$B$10/2^2</f>
        <v>1.3191508030687</v>
      </c>
      <c r="I20" s="17" t="n">
        <f aca="false">IF($D20&lt;=0,0,($C20^2/8*(H20-SIN(H20)))*(($C20^2/8*(H20-SIN(H20)))/($C20*H20/2))^(2/3)*$D20^0.5/$E20)</f>
        <v>0.000882283776922542</v>
      </c>
      <c r="J20" s="17" t="n">
        <f aca="false">H20+IF(I20&lt;$B20,1,-1)*설정!$B$10/2^3</f>
        <v>1.97872620460305</v>
      </c>
      <c r="K20" s="17" t="n">
        <f aca="false">IF($D20&lt;=0,0,($C20^2/8*(J20-SIN(J20)))*(($C20^2/8*(J20-SIN(J20)))/($C20*J20/2))^(2/3)*$D20^0.5/$E20)</f>
        <v>0.00426063837109753</v>
      </c>
      <c r="L20" s="17" t="n">
        <f aca="false">J20+IF(K20&lt;$B20,1,-1)*설정!$B$10/2^4</f>
        <v>1.64893850383588</v>
      </c>
      <c r="M20" s="17" t="n">
        <f aca="false">IF($D20&lt;=0,0,($C20^2/8*(L20-SIN(L20)))*(($C20^2/8*(L20-SIN(L20)))/($C20*L20/2))^(2/3)*$D20^0.5/$E20)</f>
        <v>0.00213773283646398</v>
      </c>
      <c r="N20" s="17" t="n">
        <f aca="false">L20+IF(M20&lt;$B20,1,-1)*설정!$B$10/2^5</f>
        <v>1.48404465345229</v>
      </c>
      <c r="O20" s="17" t="n">
        <f aca="false">IF($D20&lt;=0,0,($C20^2/8*(N20-SIN(N20)))*(($C20^2/8*(N20-SIN(N20)))/($C20*N20/2))^(2/3)*$D20^0.5/$E20)</f>
        <v>0.00141405905690493</v>
      </c>
      <c r="P20" s="17" t="n">
        <f aca="false">N20+IF(O20&lt;$B20,1,-1)*설정!$B$10/2^6</f>
        <v>1.56649157864408</v>
      </c>
      <c r="Q20" s="17" t="n">
        <f aca="false">IF($D20&lt;=0,0,($C20^2/8*(P20-SIN(P20)))*(($C20^2/8*(P20-SIN(P20)))/($C20*P20/2))^(2/3)*$D20^0.5/$E20)</f>
        <v>0.00175013014859529</v>
      </c>
      <c r="R20" s="17" t="n">
        <f aca="false">P20+IF(Q20&lt;$B20,1,-1)*설정!$B$10/2^7</f>
        <v>1.60771504123998</v>
      </c>
      <c r="S20" s="17" t="n">
        <f aca="false">IF($D20&lt;=0,0,($C20^2/8*(R20-SIN(R20)))*(($C20^2/8*(R20-SIN(R20)))/($C20*R20/2))^(2/3)*$D20^0.5/$E20)</f>
        <v>0.00193728359423973</v>
      </c>
      <c r="T20" s="17" t="n">
        <f aca="false">R20+IF(S20&lt;$B20,1,-1)*설정!$B$10/2^8</f>
        <v>1.58710330994203</v>
      </c>
      <c r="U20" s="17" t="n">
        <f aca="false">IF($D20&lt;=0,0,($C20^2/8*(T20-SIN(T20)))*(($C20^2/8*(T20-SIN(T20)))/($C20*T20/2))^(2/3)*$D20^0.5/$E20)</f>
        <v>0.0018420698860701</v>
      </c>
      <c r="V20" s="17" t="n">
        <f aca="false">T20+IF(U20&lt;$B20,1,-1)*설정!$B$10/2^9</f>
        <v>1.57679744429306</v>
      </c>
      <c r="W20" s="17" t="n">
        <f aca="false">IF($D20&lt;=0,0,($C20^2/8*(V20-SIN(V20)))*(($C20^2/8*(V20-SIN(V20)))/($C20*V20/2))^(2/3)*$D20^0.5/$E20)</f>
        <v>0.00179569396934374</v>
      </c>
      <c r="X20" s="17" t="n">
        <f aca="false">V20+IF(W20&lt;$B20,1,-1)*설정!$B$10/2^10</f>
        <v>1.57164451146857</v>
      </c>
      <c r="Y20" s="17" t="n">
        <f aca="false">IF($D20&lt;=0,0,($C20^2/8*(X20-SIN(X20)))*(($C20^2/8*(X20-SIN(X20)))/($C20*X20/2))^(2/3)*$D20^0.5/$E20)</f>
        <v>0.00177281095126812</v>
      </c>
      <c r="Z20" s="17" t="n">
        <f aca="false">X20+IF(Y20&lt;$B20,1,-1)*설정!$B$10/2^11</f>
        <v>1.57422097788081</v>
      </c>
      <c r="AA20" s="17" t="n">
        <f aca="false">IF($D20&lt;=0,0,($C20^2/8*(Z20-SIN(Z20)))*(($C20^2/8*(Z20-SIN(Z20)))/($C20*Z20/2))^(2/3)*$D20^0.5/$E20)</f>
        <v>0.00178422713264584</v>
      </c>
      <c r="AB20" s="17" t="n">
        <f aca="false">Z20+IF(AA20&lt;$B20,1,-1)*설정!$B$10/2^12</f>
        <v>1.57550921108694</v>
      </c>
      <c r="AC20" s="17" t="n">
        <f aca="false">IF($D20&lt;=0,0,($C20^2/8*(AB20-SIN(AB20)))*(($C20^2/8*(AB20-SIN(AB20)))/($C20*AB20/2))^(2/3)*$D20^0.5/$E20)</f>
        <v>0.00178995421275513</v>
      </c>
      <c r="AD20" s="17" t="n">
        <f aca="false">AB20+IF(AC20&lt;$B20,1,-1)*설정!$B$10/2^13</f>
        <v>1.57486509448387</v>
      </c>
      <c r="AE20" s="17" t="n">
        <f aca="false">IF($D20&lt;=0,0,($C20^2/8*(AD20-SIN(AD20)))*(($C20^2/8*(AD20-SIN(AD20)))/($C20*AD20/2))^(2/3)*$D20^0.5/$E20)</f>
        <v>0.00178708908893038</v>
      </c>
      <c r="AF20" s="17" t="n">
        <f aca="false">AD20+IF(AE20&lt;$B20,1,-1)*설정!$B$10/2^14</f>
        <v>1.57518715278541</v>
      </c>
      <c r="AG20" s="17" t="n">
        <f aca="false">IF($D20&lt;=0,0,($C20^2/8*(AF20-SIN(AF20)))*(($C20^2/8*(AF20-SIN(AF20)))/($C20*AF20/2))^(2/3)*$D20^0.5/$E20)</f>
        <v>0.00178852125480146</v>
      </c>
      <c r="AH20" s="17" t="n">
        <f aca="false">AF20+IF(AG20&lt;$B20,1,-1)*설정!$B$10/2^15</f>
        <v>1.57534818193617</v>
      </c>
      <c r="AI20" s="17" t="n">
        <f aca="false">IF($D20&lt;=0,0,($C20^2/8*(AH20-SIN(AH20)))*(($C20^2/8*(AH20-SIN(AH20)))/($C20*AH20/2))^(2/3)*$D20^0.5/$E20)</f>
        <v>0.00178923763475563</v>
      </c>
      <c r="AJ20" s="17" t="n">
        <f aca="false">AH20+IF(AI20&lt;$B20,1,-1)*설정!$B$10/2^16</f>
        <v>1.57526766736079</v>
      </c>
      <c r="AK20" s="17" t="n">
        <f aca="false">IF($D20&lt;=0,0,($C20^2/8*(AJ20-SIN(AJ20)))*(($C20^2/8*(AJ20-SIN(AJ20)))/($C20*AJ20/2))^(2/3)*$D20^0.5/$E20)</f>
        <v>0.00178887942002442</v>
      </c>
      <c r="AL20" s="17" t="n">
        <f aca="false">AJ20+IF(AK20&lt;$B20,1,-1)*설정!$B$10/2^17</f>
        <v>1.57530792464848</v>
      </c>
      <c r="AM20" s="17" t="n">
        <f aca="false">IF($D20&lt;=0,0,($C20^2/8*(AL20-SIN(AL20)))*(($C20^2/8*(AL20-SIN(AL20)))/($C20*AL20/2))^(2/3)*$D20^0.5/$E20)</f>
        <v>0.0017890585212013</v>
      </c>
      <c r="AN20" s="17" t="n">
        <f aca="false">AL20+IF(AM20&lt;$B20,1,-1)*설정!$B$10/2^18</f>
        <v>1.57528779600463</v>
      </c>
      <c r="AO20" s="17" t="n">
        <f aca="false">IF($D20&lt;=0,0,($C20^2/8*(AN20-SIN(AN20)))*(($C20^2/8*(AN20-SIN(AN20)))/($C20*AN20/2))^(2/3)*$D20^0.5/$E20)</f>
        <v>0.0017889689690657</v>
      </c>
      <c r="AP20" s="17" t="n">
        <f aca="false">AN20+IF(AO20&lt;$B20,1,-1)*설정!$B$10/2^19</f>
        <v>1.57529786032656</v>
      </c>
      <c r="AQ20" s="17" t="n">
        <f aca="false">IF($D20&lt;=0,0,($C20^2/8*(AP20-SIN(AP20)))*(($C20^2/8*(AP20-SIN(AP20)))/($C20*AP20/2))^(2/3)*$D20^0.5/$E20)</f>
        <v>0.00178901374474671</v>
      </c>
      <c r="AR20" s="17" t="n">
        <f aca="false">AP20+IF(AQ20&lt;$B20,1,-1)*설정!$B$10/2^20</f>
        <v>1.57529282816559</v>
      </c>
      <c r="AS20" s="17" t="n">
        <f aca="false">IF($D20&lt;=0,0,($C20^2/8*(AR20-SIN(AR20)))*(($C20^2/8*(AR20-SIN(AR20)))/($C20*AR20/2))^(2/3)*$D20^0.5/$E20)</f>
        <v>0.00178899135680951</v>
      </c>
      <c r="AT20" s="17" t="n">
        <f aca="false">AR20+IF(AS20&lt;$B20,1,-1)*설정!$B$10/2^21</f>
        <v>1.57529534424608</v>
      </c>
      <c r="AU20" s="17" t="n">
        <f aca="false">IF($D20&lt;=0,0,($C20^2/8*(AT20-SIN(AT20)))*(($C20^2/8*(AT20-SIN(AT20)))/($C20*AT20/2))^(2/3)*$D20^0.5/$E20)</f>
        <v>0.00178900255075393</v>
      </c>
      <c r="AV20" s="17" t="n">
        <f aca="false">AT20+IF(AU20&lt;$B20,1,-1)*설정!$B$10/2^22</f>
        <v>1.57529660228632</v>
      </c>
      <c r="AW20" s="17" t="n">
        <f aca="false">IF($D20&lt;=0,0,($C20^2/8*(AV20-SIN(AV20)))*(($C20^2/8*(AV20-SIN(AV20)))/($C20*AV20/2))^(2/3)*$D20^0.5/$E20)</f>
        <v>0.00178900814774428</v>
      </c>
      <c r="AX20" s="17" t="n">
        <f aca="false">AV20+IF(AW20&lt;$B20,1,-1)*설정!$B$10/2^23</f>
        <v>1.5752959732662</v>
      </c>
      <c r="AY20" s="17" t="n">
        <f aca="false">IF($D20&lt;=0,0,($C20^2/8*(AX20-SIN(AX20)))*(($C20^2/8*(AX20-SIN(AX20)))/($C20*AX20/2))^(2/3)*$D20^0.5/$E20)</f>
        <v>0.00178900534924759</v>
      </c>
      <c r="AZ20" s="17" t="n">
        <f aca="false">AX20+IF(AY20&lt;$B20,1,-1)*설정!$B$10/2^24</f>
        <v>1.57529565875614</v>
      </c>
      <c r="BA20" s="17" t="n">
        <f aca="false">IF($D20&lt;=0,0,($C20^2/8*(AZ20-SIN(AZ20)))*(($C20^2/8*(AZ20-SIN(AZ20)))/($C20*AZ20/2))^(2/3)*$D20^0.5/$E20)</f>
        <v>0.00178900395000039</v>
      </c>
      <c r="BB20" s="17" t="n">
        <f aca="false">AZ20+IF(BA20&lt;$B20,1,-1)*설정!$B$10/2^25</f>
        <v>1.57529581601117</v>
      </c>
      <c r="BC20" s="17" t="n">
        <f aca="false">IF($D20&lt;=0,0,($C20^2/8*(BB20-SIN(BB20)))*(($C20^2/8*(BB20-SIN(BB20)))/($C20*BB20/2))^(2/3)*$D20^0.5/$E20)</f>
        <v>0.0017890046496239</v>
      </c>
      <c r="BD20" s="17" t="n">
        <f aca="false">BB20+IF(BC20&lt;$B20,1,-1)*설정!$B$10/2^26</f>
        <v>1.57529573738365</v>
      </c>
      <c r="BE20" s="17" t="n">
        <f aca="false">IF($D20&lt;=0,0,($C20^2/8*(BD20-SIN(BD20)))*(($C20^2/8*(BD20-SIN(BD20)))/($C20*BD20/2))^(2/3)*$D20^0.5/$E20)</f>
        <v>0.00178900429981212</v>
      </c>
      <c r="BF20" s="17" t="n">
        <f aca="false">BD20+IF(BE20&lt;$B20,1,-1)*설정!$B$10/2^27</f>
        <v>1.57529577669741</v>
      </c>
      <c r="BG20" s="17" t="n">
        <f aca="false">IF($D20&lt;=0,0,($C20^2/8*(BF20-SIN(BF20)))*(($C20^2/8*(BF20-SIN(BF20)))/($C20*BF20/2))^(2/3)*$D20^0.5/$E20)</f>
        <v>0.001789004474718</v>
      </c>
      <c r="BH20" s="17" t="n">
        <f aca="false">BF20+IF(BG20&lt;$B20,1,-1)*설정!$B$10/2^28</f>
        <v>1.57529579635429</v>
      </c>
      <c r="BI20" s="17" t="n">
        <f aca="false">IF($D20&lt;=0,0,($C20^2/8*(BH20-SIN(BH20)))*(($C20^2/8*(BH20-SIN(BH20)))/($C20*BH20/2))^(2/3)*$D20^0.5/$E20)</f>
        <v>0.00178900456217095</v>
      </c>
      <c r="BJ20" s="17" t="n">
        <f aca="false">BH20+IF(BI20&lt;$B20,1,-1)*설정!$B$10/2^29</f>
        <v>1.57529580618273</v>
      </c>
      <c r="BK20" s="17" t="n">
        <f aca="false">IF($D20&lt;=0,0,($C20^2/8*(BJ20-SIN(BJ20)))*(($C20^2/8*(BJ20-SIN(BJ20)))/($C20*BJ20/2))^(2/3)*$D20^0.5/$E20)</f>
        <v>0.00178900460589742</v>
      </c>
      <c r="BL20" s="17" t="n">
        <f aca="false">BJ20+IF(BK20&lt;$B20,1,-1)*설정!$B$10/2^30</f>
        <v>1.57529581109695</v>
      </c>
      <c r="BM20" s="17" t="n">
        <f aca="false">IF($D20&lt;=0,0,($C20^2/8*(BL20-SIN(BL20)))*(($C20^2/8*(BL20-SIN(BL20)))/($C20*BL20/2))^(2/3)*$D20^0.5/$E20)</f>
        <v>0.00178900462776066</v>
      </c>
      <c r="BN20" s="17" t="n">
        <f aca="false">BL20+IF(BM20&lt;$B20,1,-1)*설정!$B$10/2^31</f>
        <v>1.57529581355406</v>
      </c>
      <c r="BO20" s="17" t="n">
        <f aca="false">IF($D20&lt;=0,0,($C20^2/8*(BN20-SIN(BN20)))*(($C20^2/8*(BN20-SIN(BN20)))/($C20*BN20/2))^(2/3)*$D20^0.5/$E20)</f>
        <v>0.00178900463869228</v>
      </c>
      <c r="BP20" s="17" t="n">
        <f aca="false">BN20+IF(BO20&lt;$B20,1,-1)*설정!$B$10/2^32</f>
        <v>1.5752958123255</v>
      </c>
      <c r="BQ20" s="17" t="n">
        <f aca="false">IF($D20&lt;=0,0,($C20^2/8*(BP20-SIN(BP20)))*(($C20^2/8*(BP20-SIN(BP20)))/($C20*BP20/2))^(2/3)*$D20^0.5/$E20)</f>
        <v>0.00178900463322647</v>
      </c>
      <c r="BR20" s="17" t="n">
        <f aca="false">BP20+IF(BQ20&lt;$B20,1,-1)*설정!$B$10/2^33</f>
        <v>1.57529581171122</v>
      </c>
      <c r="BS20" s="17" t="n">
        <f aca="false">IF($D20&lt;=0,0,($C20^2/8*(BR20-SIN(BR20)))*(($C20^2/8*(BR20-SIN(BR20)))/($C20*BR20/2))^(2/3)*$D20^0.5/$E20)</f>
        <v>0.00178900463049357</v>
      </c>
      <c r="BT20" s="17" t="n">
        <f aca="false">BR20+IF(BS20&lt;$B20,1,-1)*설정!$B$10/2^34</f>
        <v>1.57529581140409</v>
      </c>
      <c r="BU20" s="17" t="n">
        <f aca="false">IF($D20&lt;=0,0,($C20^2/8*(BT20-SIN(BT20)))*(($C20^2/8*(BT20-SIN(BT20)))/($C20*BT20/2))^(2/3)*$D20^0.5/$E20)</f>
        <v>0.00178900462912711</v>
      </c>
      <c r="BV20" s="17" t="n">
        <f aca="false">BT20+IF(BU20&lt;$B20,1,-1)*설정!$B$10/2^35</f>
        <v>1.57529581155765</v>
      </c>
      <c r="BW20" s="17" t="n">
        <f aca="false">IF($D20&lt;=0,0,($C20^2/8*(BV20-SIN(BV20)))*(($C20^2/8*(BV20-SIN(BV20)))/($C20*BV20/2))^(2/3)*$D20^0.5/$E20)</f>
        <v>0.00178900462981034</v>
      </c>
      <c r="BX20" s="17" t="n">
        <f aca="false">BV20+IF(BW20&lt;$B20,1,-1)*설정!$B$10/2^36</f>
        <v>1.57529581148087</v>
      </c>
      <c r="BY20" s="17" t="n">
        <f aca="false">IF($D20&lt;=0,0,($C20^2/8*(BX20-SIN(BX20)))*(($C20^2/8*(BX20-SIN(BX20)))/($C20*BX20/2))^(2/3)*$D20^0.5/$E20)</f>
        <v>0.00178900462946873</v>
      </c>
      <c r="BZ20" s="17" t="n">
        <f aca="false">BX20+IF(BY20&lt;$B20,1,-1)*설정!$B$10/2^37</f>
        <v>1.57529581151926</v>
      </c>
      <c r="CA20" s="17" t="n">
        <f aca="false">IF($D20&lt;=0,0,($C20^2/8*(BZ20-SIN(BZ20)))*(($C20^2/8*(BZ20-SIN(BZ20)))/($C20*BZ20/2))^(2/3)*$D20^0.5/$E20)</f>
        <v>0.00178900462963953</v>
      </c>
      <c r="CB20" s="17" t="n">
        <f aca="false">BZ20+IF(CA20&lt;$B20,1,-1)*설정!$B$10/2^38</f>
        <v>1.57529581150007</v>
      </c>
      <c r="CC20" s="17" t="n">
        <f aca="false">IF($D20&lt;=0,0,($C20^2/8*(CB20-SIN(CB20)))*(($C20^2/8*(CB20-SIN(CB20)))/($C20*CB20/2))^(2/3)*$D20^0.5/$E20)</f>
        <v>0.00178900462955413</v>
      </c>
      <c r="CD20" s="17" t="n">
        <f aca="false">CB20+IF(CC20&lt;$B20,1,-1)*설정!$B$10/2^39</f>
        <v>1.57529581150966</v>
      </c>
      <c r="CE20" s="17" t="n">
        <f aca="false">IF($D20&lt;=0,0,($C20^2/8*(CD20-SIN(CD20)))*(($C20^2/8*(CD20-SIN(CD20)))/($C20*CD20/2))^(2/3)*$D20^0.5/$E20)</f>
        <v>0.00178900462959683</v>
      </c>
      <c r="CF20" s="17" t="n">
        <f aca="false">CD20+IF(CE20&lt;$B20,1,-1)*설정!$B$10/2^40</f>
        <v>1.57529581151446</v>
      </c>
      <c r="CG20" s="17" t="n">
        <f aca="false">IF($D20&lt;=0,0,($C20^2/8*(CF20-SIN(CF20)))*(($C20^2/8*(CF20-SIN(CF20)))/($C20*CF20/2))^(2/3)*$D20^0.5/$E20)</f>
        <v>0.00178900462961818</v>
      </c>
      <c r="CH20" s="17" t="n">
        <f aca="false">CF20+IF(CG20&lt;$B20,1,-1)*설정!$B$10/2^41</f>
        <v>1.57529581151686</v>
      </c>
    </row>
    <row r="21" customFormat="false" ht="15" hidden="false" customHeight="false" outlineLevel="0" collapsed="false">
      <c r="A21" s="14" t="str">
        <f aca="false">계산!A21</f>
        <v>BC-17</v>
      </c>
      <c r="B21" s="15" t="n">
        <f aca="false">계산!E21</f>
        <v>0.00178900462962963</v>
      </c>
      <c r="C21" s="14" t="n">
        <f aca="false">입력!E21/1000</f>
        <v>0.2</v>
      </c>
      <c r="D21" s="14" t="n">
        <f aca="false">(입력!F21-입력!G21)/입력!D21</f>
        <v>0.00439999999999998</v>
      </c>
      <c r="E21" s="14" t="n">
        <f aca="false">입력!J21</f>
        <v>0.011</v>
      </c>
      <c r="F21" s="16" t="n">
        <f aca="false">설정!$B$10/2</f>
        <v>2.6383016061374</v>
      </c>
      <c r="G21" s="17" t="n">
        <f aca="false">IF($D21&lt;=0,0,($C21^2/8*(F21-SIN(F21)))*(($C21^2/8*(F21-SIN(F21)))/($C21*F21/2))^(2/3)*$D21^0.5/$E21)</f>
        <v>0.00771161675549708</v>
      </c>
      <c r="H21" s="17" t="n">
        <f aca="false">F21+IF(G21&lt;$B21,1,-1)*설정!$B$10/2^2</f>
        <v>1.3191508030687</v>
      </c>
      <c r="I21" s="17" t="n">
        <f aca="false">IF($D21&lt;=0,0,($C21^2/8*(H21-SIN(H21)))*(($C21^2/8*(H21-SIN(H21)))/($C21*H21/2))^(2/3)*$D21^0.5/$E21)</f>
        <v>0.000593203675891804</v>
      </c>
      <c r="J21" s="17" t="n">
        <f aca="false">H21+IF(I21&lt;$B21,1,-1)*설정!$B$10/2^3</f>
        <v>1.97872620460305</v>
      </c>
      <c r="K21" s="17" t="n">
        <f aca="false">IF($D21&lt;=0,0,($C21^2/8*(J21-SIN(J21)))*(($C21^2/8*(J21-SIN(J21)))/($C21*J21/2))^(2/3)*$D21^0.5/$E21)</f>
        <v>0.00286464107069557</v>
      </c>
      <c r="L21" s="17" t="n">
        <f aca="false">J21+IF(K21&lt;$B21,1,-1)*설정!$B$10/2^4</f>
        <v>1.64893850383588</v>
      </c>
      <c r="M21" s="17" t="n">
        <f aca="false">IF($D21&lt;=0,0,($C21^2/8*(L21-SIN(L21)))*(($C21^2/8*(L21-SIN(L21)))/($C21*L21/2))^(2/3)*$D21^0.5/$E21)</f>
        <v>0.00143730510504035</v>
      </c>
      <c r="N21" s="17" t="n">
        <f aca="false">L21+IF(M21&lt;$B21,1,-1)*설정!$B$10/2^5</f>
        <v>1.81383235421946</v>
      </c>
      <c r="O21" s="17" t="n">
        <f aca="false">IF($D21&lt;=0,0,($C21^2/8*(N21-SIN(N21)))*(($C21^2/8*(N21-SIN(N21)))/($C21*N21/2))^(2/3)*$D21^0.5/$E21)</f>
        <v>0.0020707174699508</v>
      </c>
      <c r="P21" s="17" t="n">
        <f aca="false">N21+IF(O21&lt;$B21,1,-1)*설정!$B$10/2^6</f>
        <v>1.73138542902767</v>
      </c>
      <c r="Q21" s="17" t="n">
        <f aca="false">IF($D21&lt;=0,0,($C21^2/8*(P21-SIN(P21)))*(($C21^2/8*(P21-SIN(P21)))/($C21*P21/2))^(2/3)*$D21^0.5/$E21)</f>
        <v>0.00173468785966244</v>
      </c>
      <c r="R21" s="17" t="n">
        <f aca="false">P21+IF(Q21&lt;$B21,1,-1)*설정!$B$10/2^7</f>
        <v>1.77260889162357</v>
      </c>
      <c r="S21" s="17" t="n">
        <f aca="false">IF($D21&lt;=0,0,($C21^2/8*(R21-SIN(R21)))*(($C21^2/8*(R21-SIN(R21)))/($C21*R21/2))^(2/3)*$D21^0.5/$E21)</f>
        <v>0.00189776637908407</v>
      </c>
      <c r="T21" s="17" t="n">
        <f aca="false">R21+IF(S21&lt;$B21,1,-1)*설정!$B$10/2^8</f>
        <v>1.75199716032562</v>
      </c>
      <c r="U21" s="17" t="n">
        <f aca="false">IF($D21&lt;=0,0,($C21^2/8*(T21-SIN(T21)))*(($C21^2/8*(T21-SIN(T21)))/($C21*T21/2))^(2/3)*$D21^0.5/$E21)</f>
        <v>0.00181500547164335</v>
      </c>
      <c r="V21" s="17" t="n">
        <f aca="false">T21+IF(U21&lt;$B21,1,-1)*설정!$B$10/2^9</f>
        <v>1.74169129467665</v>
      </c>
      <c r="W21" s="17" t="n">
        <f aca="false">IF($D21&lt;=0,0,($C21^2/8*(V21-SIN(V21)))*(($C21^2/8*(V21-SIN(V21)))/($C21*V21/2))^(2/3)*$D21^0.5/$E21)</f>
        <v>0.00177454287460007</v>
      </c>
      <c r="X21" s="17" t="n">
        <f aca="false">V21+IF(W21&lt;$B21,1,-1)*설정!$B$10/2^10</f>
        <v>1.74684422750113</v>
      </c>
      <c r="Y21" s="17" t="n">
        <f aca="false">IF($D21&lt;=0,0,($C21^2/8*(X21-SIN(X21)))*(($C21^2/8*(X21-SIN(X21)))/($C21*X21/2))^(2/3)*$D21^0.5/$E21)</f>
        <v>0.00179469801977545</v>
      </c>
      <c r="Z21" s="17" t="n">
        <f aca="false">X21+IF(Y21&lt;$B21,1,-1)*설정!$B$10/2^11</f>
        <v>1.74426776108889</v>
      </c>
      <c r="AA21" s="17" t="n">
        <f aca="false">IF($D21&lt;=0,0,($C21^2/8*(Z21-SIN(Z21)))*(($C21^2/8*(Z21-SIN(Z21)))/($C21*Z21/2))^(2/3)*$D21^0.5/$E21)</f>
        <v>0.00178460143436484</v>
      </c>
      <c r="AB21" s="17" t="n">
        <f aca="false">Z21+IF(AA21&lt;$B21,1,-1)*설정!$B$10/2^12</f>
        <v>1.74555599429501</v>
      </c>
      <c r="AC21" s="17" t="n">
        <f aca="false">IF($D21&lt;=0,0,($C21^2/8*(AB21-SIN(AB21)))*(($C21^2/8*(AB21-SIN(AB21)))/($C21*AB21/2))^(2/3)*$D21^0.5/$E21)</f>
        <v>0.00178964497066365</v>
      </c>
      <c r="AD21" s="17" t="n">
        <f aca="false">AB21+IF(AC21&lt;$B21,1,-1)*설정!$B$10/2^13</f>
        <v>1.74491187769195</v>
      </c>
      <c r="AE21" s="17" t="n">
        <f aca="false">IF($D21&lt;=0,0,($C21^2/8*(AD21-SIN(AD21)))*(($C21^2/8*(AD21-SIN(AD21)))/($C21*AD21/2))^(2/3)*$D21^0.5/$E21)</f>
        <v>0.00178712201381199</v>
      </c>
      <c r="AF21" s="17" t="n">
        <f aca="false">AD21+IF(AE21&lt;$B21,1,-1)*설정!$B$10/2^14</f>
        <v>1.74523393599348</v>
      </c>
      <c r="AG21" s="17" t="n">
        <f aca="false">IF($D21&lt;=0,0,($C21^2/8*(AF21-SIN(AF21)))*(($C21^2/8*(AF21-SIN(AF21)))/($C21*AF21/2))^(2/3)*$D21^0.5/$E21)</f>
        <v>0.00178838319501229</v>
      </c>
      <c r="AH21" s="17" t="n">
        <f aca="false">AF21+IF(AG21&lt;$B21,1,-1)*설정!$B$10/2^15</f>
        <v>1.74539496514424</v>
      </c>
      <c r="AI21" s="17" t="n">
        <f aca="false">IF($D21&lt;=0,0,($C21^2/8*(AH21-SIN(AH21)))*(($C21^2/8*(AH21-SIN(AH21)))/($C21*AH21/2))^(2/3)*$D21^0.5/$E21)</f>
        <v>0.00178901400852534</v>
      </c>
      <c r="AJ21" s="17" t="n">
        <f aca="false">AH21+IF(AI21&lt;$B21,1,-1)*설정!$B$10/2^16</f>
        <v>1.74531445056886</v>
      </c>
      <c r="AK21" s="17" t="n">
        <f aca="false">IF($D21&lt;=0,0,($C21^2/8*(AJ21-SIN(AJ21)))*(($C21^2/8*(AJ21-SIN(AJ21)))/($C21*AJ21/2))^(2/3)*$D21^0.5/$E21)</f>
        <v>0.00178869858319144</v>
      </c>
      <c r="AL21" s="17" t="n">
        <f aca="false">AJ21+IF(AK21&lt;$B21,1,-1)*설정!$B$10/2^17</f>
        <v>1.74535470785655</v>
      </c>
      <c r="AM21" s="17" t="n">
        <f aca="false">IF($D21&lt;=0,0,($C21^2/8*(AL21-SIN(AL21)))*(($C21^2/8*(AL21-SIN(AL21)))/($C21*AL21/2))^(2/3)*$D21^0.5/$E21)</f>
        <v>0.00178885629121395</v>
      </c>
      <c r="AN21" s="17" t="n">
        <f aca="false">AL21+IF(AM21&lt;$B21,1,-1)*설정!$B$10/2^18</f>
        <v>1.7453748365004</v>
      </c>
      <c r="AO21" s="17" t="n">
        <f aca="false">IF($D21&lt;=0,0,($C21^2/8*(AN21-SIN(AN21)))*(($C21^2/8*(AN21-SIN(AN21)))/($C21*AN21/2))^(2/3)*$D21^0.5/$E21)</f>
        <v>0.00178893514870853</v>
      </c>
      <c r="AP21" s="17" t="n">
        <f aca="false">AN21+IF(AO21&lt;$B21,1,-1)*설정!$B$10/2^19</f>
        <v>1.74538490082232</v>
      </c>
      <c r="AQ21" s="17" t="n">
        <f aca="false">IF($D21&lt;=0,0,($C21^2/8*(AP21-SIN(AP21)))*(($C21^2/8*(AP21-SIN(AP21)))/($C21*AP21/2))^(2/3)*$D21^0.5/$E21)</f>
        <v>0.00178897457832665</v>
      </c>
      <c r="AR21" s="17" t="n">
        <f aca="false">AP21+IF(AQ21&lt;$B21,1,-1)*설정!$B$10/2^20</f>
        <v>1.74538993298328</v>
      </c>
      <c r="AS21" s="17" t="n">
        <f aca="false">IF($D21&lt;=0,0,($C21^2/8*(AR21-SIN(AR21)))*(($C21^2/8*(AR21-SIN(AR21)))/($C21*AR21/2))^(2/3)*$D21^0.5/$E21)</f>
        <v>0.00178899429335343</v>
      </c>
      <c r="AT21" s="17" t="n">
        <f aca="false">AR21+IF(AS21&lt;$B21,1,-1)*설정!$B$10/2^21</f>
        <v>1.74539244906376</v>
      </c>
      <c r="AU21" s="17" t="n">
        <f aca="false">IF($D21&lt;=0,0,($C21^2/8*(AT21-SIN(AT21)))*(($C21^2/8*(AT21-SIN(AT21)))/($C21*AT21/2))^(2/3)*$D21^0.5/$E21)</f>
        <v>0.00178900415092124</v>
      </c>
      <c r="AV21" s="17" t="n">
        <f aca="false">AT21+IF(AU21&lt;$B21,1,-1)*설정!$B$10/2^22</f>
        <v>1.745393707104</v>
      </c>
      <c r="AW21" s="17" t="n">
        <f aca="false">IF($D21&lt;=0,0,($C21^2/8*(AV21-SIN(AV21)))*(($C21^2/8*(AV21-SIN(AV21)))/($C21*AV21/2))^(2/3)*$D21^0.5/$E21)</f>
        <v>0.00178900907971876</v>
      </c>
      <c r="AX21" s="17" t="n">
        <f aca="false">AV21+IF(AW21&lt;$B21,1,-1)*설정!$B$10/2^23</f>
        <v>1.74539307808388</v>
      </c>
      <c r="AY21" s="17" t="n">
        <f aca="false">IF($D21&lt;=0,0,($C21^2/8*(AX21-SIN(AX21)))*(($C21^2/8*(AX21-SIN(AX21)))/($C21*AX21/2))^(2/3)*$D21^0.5/$E21)</f>
        <v>0.00178900661531887</v>
      </c>
      <c r="AZ21" s="17" t="n">
        <f aca="false">AX21+IF(AY21&lt;$B21,1,-1)*설정!$B$10/2^24</f>
        <v>1.74539276357382</v>
      </c>
      <c r="BA21" s="17" t="n">
        <f aca="false">IF($D21&lt;=0,0,($C21^2/8*(AZ21-SIN(AZ21)))*(($C21^2/8*(AZ21-SIN(AZ21)))/($C21*AZ21/2))^(2/3)*$D21^0.5/$E21)</f>
        <v>0.00178900538311977</v>
      </c>
      <c r="BB21" s="17" t="n">
        <f aca="false">AZ21+IF(BA21&lt;$B21,1,-1)*설정!$B$10/2^25</f>
        <v>1.74539260631879</v>
      </c>
      <c r="BC21" s="17" t="n">
        <f aca="false">IF($D21&lt;=0,0,($C21^2/8*(BB21-SIN(BB21)))*(($C21^2/8*(BB21-SIN(BB21)))/($C21*BB21/2))^(2/3)*$D21^0.5/$E21)</f>
        <v>0.00178900476702044</v>
      </c>
      <c r="BD21" s="17" t="n">
        <f aca="false">BB21+IF(BC21&lt;$B21,1,-1)*설정!$B$10/2^26</f>
        <v>1.74539252769128</v>
      </c>
      <c r="BE21" s="17" t="n">
        <f aca="false">IF($D21&lt;=0,0,($C21^2/8*(BD21-SIN(BD21)))*(($C21^2/8*(BD21-SIN(BD21)))/($C21*BD21/2))^(2/3)*$D21^0.5/$E21)</f>
        <v>0.00178900445897082</v>
      </c>
      <c r="BF21" s="17" t="n">
        <f aca="false">BD21+IF(BE21&lt;$B21,1,-1)*설정!$B$10/2^27</f>
        <v>1.74539256700504</v>
      </c>
      <c r="BG21" s="17" t="n">
        <f aca="false">IF($D21&lt;=0,0,($C21^2/8*(BF21-SIN(BF21)))*(($C21^2/8*(BF21-SIN(BF21)))/($C21*BF21/2))^(2/3)*$D21^0.5/$E21)</f>
        <v>0.00178900461299563</v>
      </c>
      <c r="BH21" s="17" t="n">
        <f aca="false">BF21+IF(BG21&lt;$B21,1,-1)*설정!$B$10/2^28</f>
        <v>1.74539258666192</v>
      </c>
      <c r="BI21" s="17" t="n">
        <f aca="false">IF($D21&lt;=0,0,($C21^2/8*(BH21-SIN(BH21)))*(($C21^2/8*(BH21-SIN(BH21)))/($C21*BH21/2))^(2/3)*$D21^0.5/$E21)</f>
        <v>0.00178900469000803</v>
      </c>
      <c r="BJ21" s="17" t="n">
        <f aca="false">BH21+IF(BI21&lt;$B21,1,-1)*설정!$B$10/2^29</f>
        <v>1.74539257683348</v>
      </c>
      <c r="BK21" s="17" t="n">
        <f aca="false">IF($D21&lt;=0,0,($C21^2/8*(BJ21-SIN(BJ21)))*(($C21^2/8*(BJ21-SIN(BJ21)))/($C21*BJ21/2))^(2/3)*$D21^0.5/$E21)</f>
        <v>0.00178900465150183</v>
      </c>
      <c r="BL21" s="17" t="n">
        <f aca="false">BJ21+IF(BK21&lt;$B21,1,-1)*설정!$B$10/2^30</f>
        <v>1.74539257191926</v>
      </c>
      <c r="BM21" s="17" t="n">
        <f aca="false">IF($D21&lt;=0,0,($C21^2/8*(BL21-SIN(BL21)))*(($C21^2/8*(BL21-SIN(BL21)))/($C21*BL21/2))^(2/3)*$D21^0.5/$E21)</f>
        <v>0.00178900463224873</v>
      </c>
      <c r="BN21" s="17" t="n">
        <f aca="false">BL21+IF(BM21&lt;$B21,1,-1)*설정!$B$10/2^31</f>
        <v>1.74539256946215</v>
      </c>
      <c r="BO21" s="17" t="n">
        <f aca="false">IF($D21&lt;=0,0,($C21^2/8*(BN21-SIN(BN21)))*(($C21^2/8*(BN21-SIN(BN21)))/($C21*BN21/2))^(2/3)*$D21^0.5/$E21)</f>
        <v>0.00178900462262218</v>
      </c>
      <c r="BP21" s="17" t="n">
        <f aca="false">BN21+IF(BO21&lt;$B21,1,-1)*설정!$B$10/2^32</f>
        <v>1.7453925706907</v>
      </c>
      <c r="BQ21" s="17" t="n">
        <f aca="false">IF($D21&lt;=0,0,($C21^2/8*(BP21-SIN(BP21)))*(($C21^2/8*(BP21-SIN(BP21)))/($C21*BP21/2))^(2/3)*$D21^0.5/$E21)</f>
        <v>0.00178900462743545</v>
      </c>
      <c r="BR21" s="17" t="n">
        <f aca="false">BP21+IF(BQ21&lt;$B21,1,-1)*설정!$B$10/2^33</f>
        <v>1.74539257130498</v>
      </c>
      <c r="BS21" s="17" t="n">
        <f aca="false">IF($D21&lt;=0,0,($C21^2/8*(BR21-SIN(BR21)))*(($C21^2/8*(BR21-SIN(BR21)))/($C21*BR21/2))^(2/3)*$D21^0.5/$E21)</f>
        <v>0.00178900462984209</v>
      </c>
      <c r="BT21" s="17" t="n">
        <f aca="false">BR21+IF(BS21&lt;$B21,1,-1)*설정!$B$10/2^34</f>
        <v>1.74539257099784</v>
      </c>
      <c r="BU21" s="17" t="n">
        <f aca="false">IF($D21&lt;=0,0,($C21^2/8*(BT21-SIN(BT21)))*(($C21^2/8*(BT21-SIN(BT21)))/($C21*BT21/2))^(2/3)*$D21^0.5/$E21)</f>
        <v>0.00178900462863877</v>
      </c>
      <c r="BV21" s="17" t="n">
        <f aca="false">BT21+IF(BU21&lt;$B21,1,-1)*설정!$B$10/2^35</f>
        <v>1.74539257115141</v>
      </c>
      <c r="BW21" s="17" t="n">
        <f aca="false">IF($D21&lt;=0,0,($C21^2/8*(BV21-SIN(BV21)))*(($C21^2/8*(BV21-SIN(BV21)))/($C21*BV21/2))^(2/3)*$D21^0.5/$E21)</f>
        <v>0.00178900462924043</v>
      </c>
      <c r="BX21" s="17" t="n">
        <f aca="false">BV21+IF(BW21&lt;$B21,1,-1)*설정!$B$10/2^36</f>
        <v>1.74539257122819</v>
      </c>
      <c r="BY21" s="17" t="n">
        <f aca="false">IF($D21&lt;=0,0,($C21^2/8*(BX21-SIN(BX21)))*(($C21^2/8*(BX21-SIN(BX21)))/($C21*BX21/2))^(2/3)*$D21^0.5/$E21)</f>
        <v>0.00178900462954126</v>
      </c>
      <c r="BZ21" s="17" t="n">
        <f aca="false">BX21+IF(BY21&lt;$B21,1,-1)*설정!$B$10/2^37</f>
        <v>1.74539257126659</v>
      </c>
      <c r="CA21" s="17" t="n">
        <f aca="false">IF($D21&lt;=0,0,($C21^2/8*(BZ21-SIN(BZ21)))*(($C21^2/8*(BZ21-SIN(BZ21)))/($C21*BZ21/2))^(2/3)*$D21^0.5/$E21)</f>
        <v>0.00178900462969167</v>
      </c>
      <c r="CB21" s="17" t="n">
        <f aca="false">BZ21+IF(CA21&lt;$B21,1,-1)*설정!$B$10/2^38</f>
        <v>1.74539257124739</v>
      </c>
      <c r="CC21" s="17" t="n">
        <f aca="false">IF($D21&lt;=0,0,($C21^2/8*(CB21-SIN(CB21)))*(($C21^2/8*(CB21-SIN(CB21)))/($C21*CB21/2))^(2/3)*$D21^0.5/$E21)</f>
        <v>0.00178900462961647</v>
      </c>
      <c r="CD21" s="17" t="n">
        <f aca="false">CB21+IF(CC21&lt;$B21,1,-1)*설정!$B$10/2^39</f>
        <v>1.74539257125699</v>
      </c>
      <c r="CE21" s="17" t="n">
        <f aca="false">IF($D21&lt;=0,0,($C21^2/8*(CD21-SIN(CD21)))*(($C21^2/8*(CD21-SIN(CD21)))/($C21*CD21/2))^(2/3)*$D21^0.5/$E21)</f>
        <v>0.00178900462965407</v>
      </c>
      <c r="CF21" s="17" t="n">
        <f aca="false">CD21+IF(CE21&lt;$B21,1,-1)*설정!$B$10/2^40</f>
        <v>1.74539257125219</v>
      </c>
      <c r="CG21" s="17" t="n">
        <f aca="false">IF($D21&lt;=0,0,($C21^2/8*(CF21-SIN(CF21)))*(($C21^2/8*(CF21-SIN(CF21)))/($C21*CF21/2))^(2/3)*$D21^0.5/$E21)</f>
        <v>0.00178900462963527</v>
      </c>
      <c r="CH21" s="17" t="n">
        <f aca="false">CF21+IF(CG21&lt;$B21,1,-1)*설정!$B$10/2^41</f>
        <v>1.74539257124979</v>
      </c>
    </row>
    <row r="22" customFormat="false" ht="15" hidden="false" customHeight="false" outlineLevel="0" collapsed="false">
      <c r="A22" s="14" t="str">
        <f aca="false">계산!A22</f>
        <v>BC-18</v>
      </c>
      <c r="B22" s="15" t="n">
        <f aca="false">계산!E22</f>
        <v>0.00178900462962963</v>
      </c>
      <c r="C22" s="14" t="n">
        <f aca="false">입력!E22/1000</f>
        <v>0.2</v>
      </c>
      <c r="D22" s="14" t="n">
        <f aca="false">(입력!F22-입력!G22)/입력!D22</f>
        <v>0.00219999999999999</v>
      </c>
      <c r="E22" s="14" t="n">
        <f aca="false">입력!J22</f>
        <v>0.011</v>
      </c>
      <c r="F22" s="16" t="n">
        <f aca="false">설정!$B$10/2</f>
        <v>2.6383016061374</v>
      </c>
      <c r="G22" s="17" t="n">
        <f aca="false">IF($D22&lt;=0,0,($C22^2/8*(F22-SIN(F22)))*(($C22^2/8*(F22-SIN(F22)))/($C22*F22/2))^(2/3)*$D22^0.5/$E22)</f>
        <v>0.00545293650172379</v>
      </c>
      <c r="H22" s="17" t="n">
        <f aca="false">F22+IF(G22&lt;$B22,1,-1)*설정!$B$10/2^2</f>
        <v>1.3191508030687</v>
      </c>
      <c r="I22" s="17" t="n">
        <f aca="false">IF($D22&lt;=0,0,($C22^2/8*(H22-SIN(H22)))*(($C22^2/8*(H22-SIN(H22)))/($C22*H22/2))^(2/3)*$D22^0.5/$E22)</f>
        <v>0.000419458341847881</v>
      </c>
      <c r="J22" s="17" t="n">
        <f aca="false">H22+IF(I22&lt;$B22,1,-1)*설정!$B$10/2^3</f>
        <v>1.97872620460305</v>
      </c>
      <c r="K22" s="17" t="n">
        <f aca="false">IF($D22&lt;=0,0,($C22^2/8*(J22-SIN(J22)))*(($C22^2/8*(J22-SIN(J22)))/($C22*J22/2))^(2/3)*$D22^0.5/$E22)</f>
        <v>0.00202560712675433</v>
      </c>
      <c r="L22" s="17" t="n">
        <f aca="false">J22+IF(K22&lt;$B22,1,-1)*설정!$B$10/2^4</f>
        <v>1.64893850383588</v>
      </c>
      <c r="M22" s="17" t="n">
        <f aca="false">IF($D22&lt;=0,0,($C22^2/8*(L22-SIN(L22)))*(($C22^2/8*(L22-SIN(L22)))/($C22*L22/2))^(2/3)*$D22^0.5/$E22)</f>
        <v>0.00101632818640807</v>
      </c>
      <c r="N22" s="17" t="n">
        <f aca="false">L22+IF(M22&lt;$B22,1,-1)*설정!$B$10/2^5</f>
        <v>1.81383235421946</v>
      </c>
      <c r="O22" s="17" t="n">
        <f aca="false">IF($D22&lt;=0,0,($C22^2/8*(N22-SIN(N22)))*(($C22^2/8*(N22-SIN(N22)))/($C22*N22/2))^(2/3)*$D22^0.5/$E22)</f>
        <v>0.00146421836492366</v>
      </c>
      <c r="P22" s="17" t="n">
        <f aca="false">N22+IF(O22&lt;$B22,1,-1)*설정!$B$10/2^6</f>
        <v>1.89627927941126</v>
      </c>
      <c r="Q22" s="17" t="n">
        <f aca="false">IF($D22&lt;=0,0,($C22^2/8*(P22-SIN(P22)))*(($C22^2/8*(P22-SIN(P22)))/($C22*P22/2))^(2/3)*$D22^0.5/$E22)</f>
        <v>0.00173026195231168</v>
      </c>
      <c r="R22" s="17" t="n">
        <f aca="false">P22+IF(Q22&lt;$B22,1,-1)*설정!$B$10/2^7</f>
        <v>1.93750274200716</v>
      </c>
      <c r="S22" s="17" t="n">
        <f aca="false">IF($D22&lt;=0,0,($C22^2/8*(R22-SIN(R22)))*(($C22^2/8*(R22-SIN(R22)))/($C22*R22/2))^(2/3)*$D22^0.5/$E22)</f>
        <v>0.00187422771864455</v>
      </c>
      <c r="T22" s="17" t="n">
        <f aca="false">R22+IF(S22&lt;$B22,1,-1)*설정!$B$10/2^8</f>
        <v>1.91689101070921</v>
      </c>
      <c r="U22" s="17" t="n">
        <f aca="false">IF($D22&lt;=0,0,($C22^2/8*(T22-SIN(T22)))*(($C22^2/8*(T22-SIN(T22)))/($C22*T22/2))^(2/3)*$D22^0.5/$E22)</f>
        <v>0.00180132299269603</v>
      </c>
      <c r="V22" s="17" t="n">
        <f aca="false">T22+IF(U22&lt;$B22,1,-1)*설정!$B$10/2^9</f>
        <v>1.90658514506023</v>
      </c>
      <c r="W22" s="17" t="n">
        <f aca="false">IF($D22&lt;=0,0,($C22^2/8*(V22-SIN(V22)))*(($C22^2/8*(V22-SIN(V22)))/($C22*V22/2))^(2/3)*$D22^0.5/$E22)</f>
        <v>0.00176556267775431</v>
      </c>
      <c r="X22" s="17" t="n">
        <f aca="false">V22+IF(W22&lt;$B22,1,-1)*설정!$B$10/2^10</f>
        <v>1.91173807788472</v>
      </c>
      <c r="Y22" s="17" t="n">
        <f aca="false">IF($D22&lt;=0,0,($C22^2/8*(X22-SIN(X22)))*(($C22^2/8*(X22-SIN(X22)))/($C22*X22/2))^(2/3)*$D22^0.5/$E22)</f>
        <v>0.00178338530073058</v>
      </c>
      <c r="Z22" s="17" t="n">
        <f aca="false">X22+IF(Y22&lt;$B22,1,-1)*설정!$B$10/2^11</f>
        <v>1.91431454429696</v>
      </c>
      <c r="AA22" s="17" t="n">
        <f aca="false">IF($D22&lt;=0,0,($C22^2/8*(Z22-SIN(Z22)))*(($C22^2/8*(Z22-SIN(Z22)))/($C22*Z22/2))^(2/3)*$D22^0.5/$E22)</f>
        <v>0.00179233975258712</v>
      </c>
      <c r="AB22" s="17" t="n">
        <f aca="false">Z22+IF(AA22&lt;$B22,1,-1)*설정!$B$10/2^12</f>
        <v>1.91302631109084</v>
      </c>
      <c r="AC22" s="17" t="n">
        <f aca="false">IF($D22&lt;=0,0,($C22^2/8*(AB22-SIN(AB22)))*(($C22^2/8*(AB22-SIN(AB22)))/($C22*AB22/2))^(2/3)*$D22^0.5/$E22)</f>
        <v>0.00178785892943012</v>
      </c>
      <c r="AD22" s="17" t="n">
        <f aca="false">AB22+IF(AC22&lt;$B22,1,-1)*설정!$B$10/2^13</f>
        <v>1.9136704276939</v>
      </c>
      <c r="AE22" s="17" t="n">
        <f aca="false">IF($D22&lt;=0,0,($C22^2/8*(AD22-SIN(AD22)))*(($C22^2/8*(AD22-SIN(AD22)))/($C22*AD22/2))^(2/3)*$D22^0.5/$E22)</f>
        <v>0.00179009844153796</v>
      </c>
      <c r="AF22" s="17" t="n">
        <f aca="false">AD22+IF(AE22&lt;$B22,1,-1)*설정!$B$10/2^14</f>
        <v>1.91334836939237</v>
      </c>
      <c r="AG22" s="17" t="n">
        <f aca="false">IF($D22&lt;=0,0,($C22^2/8*(AF22-SIN(AF22)))*(($C22^2/8*(AF22-SIN(AF22)))/($C22*AF22/2))^(2/3)*$D22^0.5/$E22)</f>
        <v>0.00178897846063677</v>
      </c>
      <c r="AH22" s="17" t="n">
        <f aca="false">AF22+IF(AG22&lt;$B22,1,-1)*설정!$B$10/2^15</f>
        <v>1.91350939854314</v>
      </c>
      <c r="AI22" s="17" t="n">
        <f aca="false">IF($D22&lt;=0,0,($C22^2/8*(AH22-SIN(AH22)))*(($C22^2/8*(AH22-SIN(AH22)))/($C22*AH22/2))^(2/3)*$D22^0.5/$E22)</f>
        <v>0.001789538394873</v>
      </c>
      <c r="AJ22" s="17" t="n">
        <f aca="false">AH22+IF(AI22&lt;$B22,1,-1)*설정!$B$10/2^16</f>
        <v>1.91342888396775</v>
      </c>
      <c r="AK22" s="17" t="n">
        <f aca="false">IF($D22&lt;=0,0,($C22^2/8*(AJ22-SIN(AJ22)))*(($C22^2/8*(AJ22-SIN(AJ22)))/($C22*AJ22/2))^(2/3)*$D22^0.5/$E22)</f>
        <v>0.00178925841370161</v>
      </c>
      <c r="AL22" s="17" t="n">
        <f aca="false">AJ22+IF(AK22&lt;$B22,1,-1)*설정!$B$10/2^17</f>
        <v>1.91338862668006</v>
      </c>
      <c r="AM22" s="17" t="n">
        <f aca="false">IF($D22&lt;=0,0,($C22^2/8*(AL22-SIN(AL22)))*(($C22^2/8*(AL22-SIN(AL22)))/($C22*AL22/2))^(2/3)*$D22^0.5/$E22)</f>
        <v>0.00178911843365591</v>
      </c>
      <c r="AN22" s="17" t="n">
        <f aca="false">AL22+IF(AM22&lt;$B22,1,-1)*설정!$B$10/2^18</f>
        <v>1.91336849803622</v>
      </c>
      <c r="AO22" s="17" t="n">
        <f aca="false">IF($D22&lt;=0,0,($C22^2/8*(AN22-SIN(AN22)))*(($C22^2/8*(AN22-SIN(AN22)))/($C22*AN22/2))^(2/3)*$D22^0.5/$E22)</f>
        <v>0.00178904844626802</v>
      </c>
      <c r="AP22" s="17" t="n">
        <f aca="false">AN22+IF(AO22&lt;$B22,1,-1)*설정!$B$10/2^19</f>
        <v>1.91335843371429</v>
      </c>
      <c r="AQ22" s="17" t="n">
        <f aca="false">IF($D22&lt;=0,0,($C22^2/8*(AP22-SIN(AP22)))*(($C22^2/8*(AP22-SIN(AP22)))/($C22*AP22/2))^(2/3)*$D22^0.5/$E22)</f>
        <v>0.00178901345323282</v>
      </c>
      <c r="AR22" s="17" t="n">
        <f aca="false">AP22+IF(AQ22&lt;$B22,1,-1)*설정!$B$10/2^20</f>
        <v>1.91335340155333</v>
      </c>
      <c r="AS22" s="17" t="n">
        <f aca="false">IF($D22&lt;=0,0,($C22^2/8*(AR22-SIN(AR22)))*(($C22^2/8*(AR22-SIN(AR22)))/($C22*AR22/2))^(2/3)*$D22^0.5/$E22)</f>
        <v>0.0017889959568799</v>
      </c>
      <c r="AT22" s="17" t="n">
        <f aca="false">AR22+IF(AS22&lt;$B22,1,-1)*설정!$B$10/2^21</f>
        <v>1.91335591763381</v>
      </c>
      <c r="AU22" s="17" t="n">
        <f aca="false">IF($D22&lt;=0,0,($C22^2/8*(AT22-SIN(AT22)))*(($C22^2/8*(AT22-SIN(AT22)))/($C22*AT22/2))^(2/3)*$D22^0.5/$E22)</f>
        <v>0.00178900470504263</v>
      </c>
      <c r="AV22" s="17" t="n">
        <f aca="false">AT22+IF(AU22&lt;$B22,1,-1)*설정!$B$10/2^22</f>
        <v>1.91335465959357</v>
      </c>
      <c r="AW22" s="17" t="n">
        <f aca="false">IF($D22&lt;=0,0,($C22^2/8*(AV22-SIN(AV22)))*(($C22^2/8*(AV22-SIN(AV22)))/($C22*AV22/2))^(2/3)*$D22^0.5/$E22)</f>
        <v>0.00178900033095784</v>
      </c>
      <c r="AX22" s="17" t="n">
        <f aca="false">AV22+IF(AW22&lt;$B22,1,-1)*설정!$B$10/2^23</f>
        <v>1.91335528861369</v>
      </c>
      <c r="AY22" s="17" t="n">
        <f aca="false">IF($D22&lt;=0,0,($C22^2/8*(AX22-SIN(AX22)))*(($C22^2/8*(AX22-SIN(AX22)))/($C22*AX22/2))^(2/3)*$D22^0.5/$E22)</f>
        <v>0.00178900251799938</v>
      </c>
      <c r="AZ22" s="17" t="n">
        <f aca="false">AX22+IF(AY22&lt;$B22,1,-1)*설정!$B$10/2^24</f>
        <v>1.91335560312375</v>
      </c>
      <c r="BA22" s="17" t="n">
        <f aca="false">IF($D22&lt;=0,0,($C22^2/8*(AZ22-SIN(AZ22)))*(($C22^2/8*(AZ22-SIN(AZ22)))/($C22*AZ22/2))^(2/3)*$D22^0.5/$E22)</f>
        <v>0.00178900361152079</v>
      </c>
      <c r="BB22" s="17" t="n">
        <f aca="false">AZ22+IF(BA22&lt;$B22,1,-1)*설정!$B$10/2^25</f>
        <v>1.91335576037878</v>
      </c>
      <c r="BC22" s="17" t="n">
        <f aca="false">IF($D22&lt;=0,0,($C22^2/8*(BB22-SIN(BB22)))*(($C22^2/8*(BB22-SIN(BB22)))/($C22*BB22/2))^(2/3)*$D22^0.5/$E22)</f>
        <v>0.00178900415828166</v>
      </c>
      <c r="BD22" s="17" t="n">
        <f aca="false">BB22+IF(BC22&lt;$B22,1,-1)*설정!$B$10/2^26</f>
        <v>1.9133558390063</v>
      </c>
      <c r="BE22" s="17" t="n">
        <f aca="false">IF($D22&lt;=0,0,($C22^2/8*(BD22-SIN(BD22)))*(($C22^2/8*(BD22-SIN(BD22)))/($C22*BD22/2))^(2/3)*$D22^0.5/$E22)</f>
        <v>0.00178900443166213</v>
      </c>
      <c r="BF22" s="17" t="n">
        <f aca="false">BD22+IF(BE22&lt;$B22,1,-1)*설정!$B$10/2^27</f>
        <v>1.91335587832006</v>
      </c>
      <c r="BG22" s="17" t="n">
        <f aca="false">IF($D22&lt;=0,0,($C22^2/8*(BF22-SIN(BF22)))*(($C22^2/8*(BF22-SIN(BF22)))/($C22*BF22/2))^(2/3)*$D22^0.5/$E22)</f>
        <v>0.00178900456835238</v>
      </c>
      <c r="BH22" s="17" t="n">
        <f aca="false">BF22+IF(BG22&lt;$B22,1,-1)*설정!$B$10/2^28</f>
        <v>1.91335589797694</v>
      </c>
      <c r="BI22" s="17" t="n">
        <f aca="false">IF($D22&lt;=0,0,($C22^2/8*(BH22-SIN(BH22)))*(($C22^2/8*(BH22-SIN(BH22)))/($C22*BH22/2))^(2/3)*$D22^0.5/$E22)</f>
        <v>0.00178900463669751</v>
      </c>
      <c r="BJ22" s="17" t="n">
        <f aca="false">BH22+IF(BI22&lt;$B22,1,-1)*설정!$B$10/2^29</f>
        <v>1.9133558881485</v>
      </c>
      <c r="BK22" s="17" t="n">
        <f aca="false">IF($D22&lt;=0,0,($C22^2/8*(BJ22-SIN(BJ22)))*(($C22^2/8*(BJ22-SIN(BJ22)))/($C22*BJ22/2))^(2/3)*$D22^0.5/$E22)</f>
        <v>0.00178900460252494</v>
      </c>
      <c r="BL22" s="17" t="n">
        <f aca="false">BJ22+IF(BK22&lt;$B22,1,-1)*설정!$B$10/2^30</f>
        <v>1.91335589306272</v>
      </c>
      <c r="BM22" s="17" t="n">
        <f aca="false">IF($D22&lt;=0,0,($C22^2/8*(BL22-SIN(BL22)))*(($C22^2/8*(BL22-SIN(BL22)))/($C22*BL22/2))^(2/3)*$D22^0.5/$E22)</f>
        <v>0.00178900461961123</v>
      </c>
      <c r="BN22" s="17" t="n">
        <f aca="false">BL22+IF(BM22&lt;$B22,1,-1)*설정!$B$10/2^31</f>
        <v>1.91335589551983</v>
      </c>
      <c r="BO22" s="17" t="n">
        <f aca="false">IF($D22&lt;=0,0,($C22^2/8*(BN22-SIN(BN22)))*(($C22^2/8*(BN22-SIN(BN22)))/($C22*BN22/2))^(2/3)*$D22^0.5/$E22)</f>
        <v>0.00178900462815437</v>
      </c>
      <c r="BP22" s="17" t="n">
        <f aca="false">BN22+IF(BO22&lt;$B22,1,-1)*설정!$B$10/2^32</f>
        <v>1.91335589674838</v>
      </c>
      <c r="BQ22" s="17" t="n">
        <f aca="false">IF($D22&lt;=0,0,($C22^2/8*(BP22-SIN(BP22)))*(($C22^2/8*(BP22-SIN(BP22)))/($C22*BP22/2))^(2/3)*$D22^0.5/$E22)</f>
        <v>0.00178900463242594</v>
      </c>
      <c r="BR22" s="17" t="n">
        <f aca="false">BP22+IF(BQ22&lt;$B22,1,-1)*설정!$B$10/2^33</f>
        <v>1.9133558961341</v>
      </c>
      <c r="BS22" s="17" t="n">
        <f aca="false">IF($D22&lt;=0,0,($C22^2/8*(BR22-SIN(BR22)))*(($C22^2/8*(BR22-SIN(BR22)))/($C22*BR22/2))^(2/3)*$D22^0.5/$E22)</f>
        <v>0.00178900463029015</v>
      </c>
      <c r="BT22" s="17" t="n">
        <f aca="false">BR22+IF(BS22&lt;$B22,1,-1)*설정!$B$10/2^34</f>
        <v>1.91335589582696</v>
      </c>
      <c r="BU22" s="17" t="n">
        <f aca="false">IF($D22&lt;=0,0,($C22^2/8*(BT22-SIN(BT22)))*(($C22^2/8*(BT22-SIN(BT22)))/($C22*BT22/2))^(2/3)*$D22^0.5/$E22)</f>
        <v>0.00178900462922226</v>
      </c>
      <c r="BV22" s="17" t="n">
        <f aca="false">BT22+IF(BU22&lt;$B22,1,-1)*설정!$B$10/2^35</f>
        <v>1.91335589598053</v>
      </c>
      <c r="BW22" s="17" t="n">
        <f aca="false">IF($D22&lt;=0,0,($C22^2/8*(BV22-SIN(BV22)))*(($C22^2/8*(BV22-SIN(BV22)))/($C22*BV22/2))^(2/3)*$D22^0.5/$E22)</f>
        <v>0.0017890046297562</v>
      </c>
      <c r="BX22" s="17" t="n">
        <f aca="false">BV22+IF(BW22&lt;$B22,1,-1)*설정!$B$10/2^36</f>
        <v>1.91335589590375</v>
      </c>
      <c r="BY22" s="17" t="n">
        <f aca="false">IF($D22&lt;=0,0,($C22^2/8*(BX22-SIN(BX22)))*(($C22^2/8*(BX22-SIN(BX22)))/($C22*BX22/2))^(2/3)*$D22^0.5/$E22)</f>
        <v>0.00178900462948923</v>
      </c>
      <c r="BZ22" s="17" t="n">
        <f aca="false">BX22+IF(BY22&lt;$B22,1,-1)*설정!$B$10/2^37</f>
        <v>1.91335589594214</v>
      </c>
      <c r="CA22" s="17" t="n">
        <f aca="false">IF($D22&lt;=0,0,($C22^2/8*(BZ22-SIN(BZ22)))*(($C22^2/8*(BZ22-SIN(BZ22)))/($C22*BZ22/2))^(2/3)*$D22^0.5/$E22)</f>
        <v>0.00178900462962272</v>
      </c>
      <c r="CB22" s="17" t="n">
        <f aca="false">BZ22+IF(CA22&lt;$B22,1,-1)*설정!$B$10/2^38</f>
        <v>1.91335589596134</v>
      </c>
      <c r="CC22" s="17" t="n">
        <f aca="false">IF($D22&lt;=0,0,($C22^2/8*(CB22-SIN(CB22)))*(($C22^2/8*(CB22-SIN(CB22)))/($C22*CB22/2))^(2/3)*$D22^0.5/$E22)</f>
        <v>0.00178900462968946</v>
      </c>
      <c r="CD22" s="17" t="n">
        <f aca="false">CB22+IF(CC22&lt;$B22,1,-1)*설정!$B$10/2^39</f>
        <v>1.91335589595174</v>
      </c>
      <c r="CE22" s="17" t="n">
        <f aca="false">IF($D22&lt;=0,0,($C22^2/8*(CD22-SIN(CD22)))*(($C22^2/8*(CD22-SIN(CD22)))/($C22*CD22/2))^(2/3)*$D22^0.5/$E22)</f>
        <v>0.00178900462965609</v>
      </c>
      <c r="CF22" s="17" t="n">
        <f aca="false">CD22+IF(CE22&lt;$B22,1,-1)*설정!$B$10/2^40</f>
        <v>1.91335589594694</v>
      </c>
      <c r="CG22" s="17" t="n">
        <f aca="false">IF($D22&lt;=0,0,($C22^2/8*(CF22-SIN(CF22)))*(($C22^2/8*(CF22-SIN(CF22)))/($C22*CF22/2))^(2/3)*$D22^0.5/$E22)</f>
        <v>0.0017890046296394</v>
      </c>
      <c r="CH22" s="17" t="n">
        <f aca="false">CF22+IF(CG22&lt;$B22,1,-1)*설정!$B$10/2^41</f>
        <v>1.91335589594454</v>
      </c>
    </row>
    <row r="23" customFormat="false" ht="15" hidden="false" customHeight="false" outlineLevel="0" collapsed="false">
      <c r="A23" s="14" t="str">
        <f aca="false">계산!A23</f>
        <v>BC-19</v>
      </c>
      <c r="B23" s="15" t="n">
        <f aca="false">계산!E23</f>
        <v>0.00178900462962963</v>
      </c>
      <c r="C23" s="14" t="n">
        <f aca="false">입력!E23/1000</f>
        <v>0.2</v>
      </c>
      <c r="D23" s="14" t="n">
        <f aca="false">(입력!F23-입력!G23)/입력!D23</f>
        <v>0.00833333333333404</v>
      </c>
      <c r="E23" s="14" t="n">
        <f aca="false">입력!J23</f>
        <v>0.011</v>
      </c>
      <c r="F23" s="16" t="n">
        <f aca="false">설정!$B$10/2</f>
        <v>2.6383016061374</v>
      </c>
      <c r="G23" s="17" t="n">
        <f aca="false">IF($D23&lt;=0,0,($C23^2/8*(F23-SIN(F23)))*(($C23^2/8*(F23-SIN(F23)))/($C23*F23/2))^(2/3)*$D23^0.5/$E23)</f>
        <v>0.01061276327293</v>
      </c>
      <c r="H23" s="17" t="n">
        <f aca="false">F23+IF(G23&lt;$B23,1,-1)*설정!$B$10/2^2</f>
        <v>1.3191508030687</v>
      </c>
      <c r="I23" s="17" t="n">
        <f aca="false">IF($D23&lt;=0,0,($C23^2/8*(H23-SIN(H23)))*(($C23^2/8*(H23-SIN(H23)))/($C23*H23/2))^(2/3)*$D23^0.5/$E23)</f>
        <v>0.000816369690620834</v>
      </c>
      <c r="J23" s="17" t="n">
        <f aca="false">H23+IF(I23&lt;$B23,1,-1)*설정!$B$10/2^3</f>
        <v>1.97872620460305</v>
      </c>
      <c r="K23" s="17" t="n">
        <f aca="false">IF($D23&lt;=0,0,($C23^2/8*(J23-SIN(J23)))*(($C23^2/8*(J23-SIN(J23)))/($C23*J23/2))^(2/3)*$D23^0.5/$E23)</f>
        <v>0.00394233252366093</v>
      </c>
      <c r="L23" s="17" t="n">
        <f aca="false">J23+IF(K23&lt;$B23,1,-1)*설정!$B$10/2^4</f>
        <v>1.64893850383588</v>
      </c>
      <c r="M23" s="17" t="n">
        <f aca="false">IF($D23&lt;=0,0,($C23^2/8*(L23-SIN(L23)))*(($C23^2/8*(L23-SIN(L23)))/($C23*L23/2))^(2/3)*$D23^0.5/$E23)</f>
        <v>0.00197802605010079</v>
      </c>
      <c r="N23" s="17" t="n">
        <f aca="false">L23+IF(M23&lt;$B23,1,-1)*설정!$B$10/2^5</f>
        <v>1.48404465345229</v>
      </c>
      <c r="O23" s="17" t="n">
        <f aca="false">IF($D23&lt;=0,0,($C23^2/8*(N23-SIN(N23)))*(($C23^2/8*(N23-SIN(N23)))/($C23*N23/2))^(2/3)*$D23^0.5/$E23)</f>
        <v>0.00130841684387722</v>
      </c>
      <c r="P23" s="17" t="n">
        <f aca="false">N23+IF(O23&lt;$B23,1,-1)*설정!$B$10/2^6</f>
        <v>1.56649157864408</v>
      </c>
      <c r="Q23" s="17" t="n">
        <f aca="false">IF($D23&lt;=0,0,($C23^2/8*(P23-SIN(P23)))*(($C23^2/8*(P23-SIN(P23)))/($C23*P23/2))^(2/3)*$D23^0.5/$E23)</f>
        <v>0.00161938057269795</v>
      </c>
      <c r="R23" s="17" t="n">
        <f aca="false">P23+IF(Q23&lt;$B23,1,-1)*설정!$B$10/2^7</f>
        <v>1.60771504123998</v>
      </c>
      <c r="S23" s="17" t="n">
        <f aca="false">IF($D23&lt;=0,0,($C23^2/8*(R23-SIN(R23)))*(($C23^2/8*(R23-SIN(R23)))/($C23*R23/2))^(2/3)*$D23^0.5/$E23)</f>
        <v>0.0017925520675341</v>
      </c>
      <c r="T23" s="17" t="n">
        <f aca="false">R23+IF(S23&lt;$B23,1,-1)*설정!$B$10/2^8</f>
        <v>1.58710330994203</v>
      </c>
      <c r="U23" s="17" t="n">
        <f aca="false">IF($D23&lt;=0,0,($C23^2/8*(T23-SIN(T23)))*(($C23^2/8*(T23-SIN(T23)))/($C23*T23/2))^(2/3)*$D23^0.5/$E23)</f>
        <v>0.00170445163146758</v>
      </c>
      <c r="V23" s="17" t="n">
        <f aca="false">T23+IF(U23&lt;$B23,1,-1)*설정!$B$10/2^9</f>
        <v>1.59740917559101</v>
      </c>
      <c r="W23" s="17" t="n">
        <f aca="false">IF($D23&lt;=0,0,($C23^2/8*(V23-SIN(V23)))*(($C23^2/8*(V23-SIN(V23)))/($C23*V23/2))^(2/3)*$D23^0.5/$E23)</f>
        <v>0.00174812023721461</v>
      </c>
      <c r="X23" s="17" t="n">
        <f aca="false">V23+IF(W23&lt;$B23,1,-1)*설정!$B$10/2^10</f>
        <v>1.60256210841549</v>
      </c>
      <c r="Y23" s="17" t="n">
        <f aca="false">IF($D23&lt;=0,0,($C23^2/8*(X23-SIN(X23)))*(($C23^2/8*(X23-SIN(X23)))/($C23*X23/2))^(2/3)*$D23^0.5/$E23)</f>
        <v>0.00177024038605614</v>
      </c>
      <c r="Z23" s="17" t="n">
        <f aca="false">X23+IF(Y23&lt;$B23,1,-1)*설정!$B$10/2^11</f>
        <v>1.60513857482774</v>
      </c>
      <c r="AA23" s="17" t="n">
        <f aca="false">IF($D23&lt;=0,0,($C23^2/8*(Z23-SIN(Z23)))*(($C23^2/8*(Z23-SIN(Z23)))/($C23*Z23/2))^(2/3)*$D23^0.5/$E23)</f>
        <v>0.00178137224008134</v>
      </c>
      <c r="AB23" s="17" t="n">
        <f aca="false">Z23+IF(AA23&lt;$B23,1,-1)*설정!$B$10/2^12</f>
        <v>1.60642680803386</v>
      </c>
      <c r="AC23" s="17" t="n">
        <f aca="false">IF($D23&lt;=0,0,($C23^2/8*(AB23-SIN(AB23)))*(($C23^2/8*(AB23-SIN(AB23)))/($C23*AB23/2))^(2/3)*$D23^0.5/$E23)</f>
        <v>0.00178695615150462</v>
      </c>
      <c r="AD23" s="17" t="n">
        <f aca="false">AB23+IF(AC23&lt;$B23,1,-1)*설정!$B$10/2^13</f>
        <v>1.60707092463692</v>
      </c>
      <c r="AE23" s="17" t="n">
        <f aca="false">IF($D23&lt;=0,0,($C23^2/8*(AD23-SIN(AD23)))*(($C23^2/8*(AD23-SIN(AD23)))/($C23*AD23/2))^(2/3)*$D23^0.5/$E23)</f>
        <v>0.00178975260824158</v>
      </c>
      <c r="AF23" s="17" t="n">
        <f aca="false">AD23+IF(AE23&lt;$B23,1,-1)*설정!$B$10/2^14</f>
        <v>1.60674886633539</v>
      </c>
      <c r="AG23" s="17" t="n">
        <f aca="false">IF($D23&lt;=0,0,($C23^2/8*(AF23-SIN(AF23)))*(($C23^2/8*(AF23-SIN(AF23)))/($C23*AF23/2))^(2/3)*$D23^0.5/$E23)</f>
        <v>0.00178835400464136</v>
      </c>
      <c r="AH23" s="17" t="n">
        <f aca="false">AF23+IF(AG23&lt;$B23,1,-1)*설정!$B$10/2^15</f>
        <v>1.60690989548615</v>
      </c>
      <c r="AI23" s="17" t="n">
        <f aca="false">IF($D23&lt;=0,0,($C23^2/8*(AH23-SIN(AH23)))*(($C23^2/8*(AH23-SIN(AH23)))/($C23*AH23/2))^(2/3)*$D23^0.5/$E23)</f>
        <v>0.00178905321262257</v>
      </c>
      <c r="AJ23" s="17" t="n">
        <f aca="false">AH23+IF(AI23&lt;$B23,1,-1)*설정!$B$10/2^16</f>
        <v>1.60682938091077</v>
      </c>
      <c r="AK23" s="17" t="n">
        <f aca="false">IF($D23&lt;=0,0,($C23^2/8*(AJ23-SIN(AJ23)))*(($C23^2/8*(AJ23-SIN(AJ23)))/($C23*AJ23/2))^(2/3)*$D23^0.5/$E23)</f>
        <v>0.00178870358517861</v>
      </c>
      <c r="AL23" s="17" t="n">
        <f aca="false">AJ23+IF(AK23&lt;$B23,1,-1)*설정!$B$10/2^17</f>
        <v>1.60686963819846</v>
      </c>
      <c r="AM23" s="17" t="n">
        <f aca="false">IF($D23&lt;=0,0,($C23^2/8*(AL23-SIN(AL23)))*(($C23^2/8*(AL23-SIN(AL23)))/($C23*AL23/2))^(2/3)*$D23^0.5/$E23)</f>
        <v>0.00178887839303708</v>
      </c>
      <c r="AN23" s="17" t="n">
        <f aca="false">AL23+IF(AM23&lt;$B23,1,-1)*설정!$B$10/2^18</f>
        <v>1.60688976684231</v>
      </c>
      <c r="AO23" s="17" t="n">
        <f aca="false">IF($D23&lt;=0,0,($C23^2/8*(AN23-SIN(AN23)))*(($C23^2/8*(AN23-SIN(AN23)))/($C23*AN23/2))^(2/3)*$D23^0.5/$E23)</f>
        <v>0.00178896580136393</v>
      </c>
      <c r="AP23" s="17" t="n">
        <f aca="false">AN23+IF(AO23&lt;$B23,1,-1)*설정!$B$10/2^19</f>
        <v>1.60689983116423</v>
      </c>
      <c r="AQ23" s="17" t="n">
        <f aca="false">IF($D23&lt;=0,0,($C23^2/8*(AP23-SIN(AP23)))*(($C23^2/8*(AP23-SIN(AP23)))/($C23*AP23/2))^(2/3)*$D23^0.5/$E23)</f>
        <v>0.00178900950662677</v>
      </c>
      <c r="AR23" s="17" t="n">
        <f aca="false">AP23+IF(AQ23&lt;$B23,1,-1)*설정!$B$10/2^20</f>
        <v>1.60689479900327</v>
      </c>
      <c r="AS23" s="17" t="n">
        <f aca="false">IF($D23&lt;=0,0,($C23^2/8*(AR23-SIN(AR23)))*(($C23^2/8*(AR23-SIN(AR23)))/($C23*AR23/2))^(2/3)*$D23^0.5/$E23)</f>
        <v>0.00178898765390373</v>
      </c>
      <c r="AT23" s="17" t="n">
        <f aca="false">AR23+IF(AS23&lt;$B23,1,-1)*설정!$B$10/2^21</f>
        <v>1.60689731508375</v>
      </c>
      <c r="AU23" s="17" t="n">
        <f aca="false">IF($D23&lt;=0,0,($C23^2/8*(AT23-SIN(AT23)))*(($C23^2/8*(AT23-SIN(AT23)))/($C23*AT23/2))^(2/3)*$D23^0.5/$E23)</f>
        <v>0.00178899858024234</v>
      </c>
      <c r="AV23" s="17" t="n">
        <f aca="false">AT23+IF(AU23&lt;$B23,1,-1)*설정!$B$10/2^22</f>
        <v>1.60689857312399</v>
      </c>
      <c r="AW23" s="17" t="n">
        <f aca="false">IF($D23&lt;=0,0,($C23^2/8*(AV23-SIN(AV23)))*(($C23^2/8*(AV23-SIN(AV23)))/($C23*AV23/2))^(2/3)*$D23^0.5/$E23)</f>
        <v>0.00178900404342883</v>
      </c>
      <c r="AX23" s="17" t="n">
        <f aca="false">AV23+IF(AW23&lt;$B23,1,-1)*설정!$B$10/2^23</f>
        <v>1.60689920214411</v>
      </c>
      <c r="AY23" s="17" t="n">
        <f aca="false">IF($D23&lt;=0,0,($C23^2/8*(AX23-SIN(AX23)))*(($C23^2/8*(AX23-SIN(AX23)))/($C23*AX23/2))^(2/3)*$D23^0.5/$E23)</f>
        <v>0.00178900677502637</v>
      </c>
      <c r="AZ23" s="17" t="n">
        <f aca="false">AX23+IF(AY23&lt;$B23,1,-1)*설정!$B$10/2^24</f>
        <v>1.60689888763405</v>
      </c>
      <c r="BA23" s="17" t="n">
        <f aca="false">IF($D23&lt;=0,0,($C23^2/8*(AZ23-SIN(AZ23)))*(($C23^2/8*(AZ23-SIN(AZ23)))/($C23*AZ23/2))^(2/3)*$D23^0.5/$E23)</f>
        <v>0.00178900540922724</v>
      </c>
      <c r="BB23" s="17" t="n">
        <f aca="false">AZ23+IF(BA23&lt;$B23,1,-1)*설정!$B$10/2^25</f>
        <v>1.60689873037902</v>
      </c>
      <c r="BC23" s="17" t="n">
        <f aca="false">IF($D23&lt;=0,0,($C23^2/8*(BB23-SIN(BB23)))*(($C23^2/8*(BB23-SIN(BB23)))/($C23*BB23/2))^(2/3)*$D23^0.5/$E23)</f>
        <v>0.00178900472632795</v>
      </c>
      <c r="BD23" s="17" t="n">
        <f aca="false">BB23+IF(BC23&lt;$B23,1,-1)*설정!$B$10/2^26</f>
        <v>1.60689865175151</v>
      </c>
      <c r="BE23" s="17" t="n">
        <f aca="false">IF($D23&lt;=0,0,($C23^2/8*(BD23-SIN(BD23)))*(($C23^2/8*(BD23-SIN(BD23)))/($C23*BD23/2))^(2/3)*$D23^0.5/$E23)</f>
        <v>0.00178900438487837</v>
      </c>
      <c r="BF23" s="17" t="n">
        <f aca="false">BD23+IF(BE23&lt;$B23,1,-1)*설정!$B$10/2^27</f>
        <v>1.60689869106526</v>
      </c>
      <c r="BG23" s="17" t="n">
        <f aca="false">IF($D23&lt;=0,0,($C23^2/8*(BF23-SIN(BF23)))*(($C23^2/8*(BF23-SIN(BF23)))/($C23*BF23/2))^(2/3)*$D23^0.5/$E23)</f>
        <v>0.00178900455560315</v>
      </c>
      <c r="BH23" s="17" t="n">
        <f aca="false">BF23+IF(BG23&lt;$B23,1,-1)*설정!$B$10/2^28</f>
        <v>1.60689871072214</v>
      </c>
      <c r="BI23" s="17" t="n">
        <f aca="false">IF($D23&lt;=0,0,($C23^2/8*(BH23-SIN(BH23)))*(($C23^2/8*(BH23-SIN(BH23)))/($C23*BH23/2))^(2/3)*$D23^0.5/$E23)</f>
        <v>0.00178900464096555</v>
      </c>
      <c r="BJ23" s="17" t="n">
        <f aca="false">BH23+IF(BI23&lt;$B23,1,-1)*설정!$B$10/2^29</f>
        <v>1.6068987008937</v>
      </c>
      <c r="BK23" s="17" t="n">
        <f aca="false">IF($D23&lt;=0,0,($C23^2/8*(BJ23-SIN(BJ23)))*(($C23^2/8*(BJ23-SIN(BJ23)))/($C23*BJ23/2))^(2/3)*$D23^0.5/$E23)</f>
        <v>0.00178900459828435</v>
      </c>
      <c r="BL23" s="17" t="n">
        <f aca="false">BJ23+IF(BK23&lt;$B23,1,-1)*설정!$B$10/2^30</f>
        <v>1.60689870580792</v>
      </c>
      <c r="BM23" s="17" t="n">
        <f aca="false">IF($D23&lt;=0,0,($C23^2/8*(BL23-SIN(BL23)))*(($C23^2/8*(BL23-SIN(BL23)))/($C23*BL23/2))^(2/3)*$D23^0.5/$E23)</f>
        <v>0.00178900461962495</v>
      </c>
      <c r="BN23" s="17" t="n">
        <f aca="false">BL23+IF(BM23&lt;$B23,1,-1)*설정!$B$10/2^31</f>
        <v>1.60689870826503</v>
      </c>
      <c r="BO23" s="17" t="n">
        <f aca="false">IF($D23&lt;=0,0,($C23^2/8*(BN23-SIN(BN23)))*(($C23^2/8*(BN23-SIN(BN23)))/($C23*BN23/2))^(2/3)*$D23^0.5/$E23)</f>
        <v>0.00178900463029525</v>
      </c>
      <c r="BP23" s="17" t="n">
        <f aca="false">BN23+IF(BO23&lt;$B23,1,-1)*설정!$B$10/2^32</f>
        <v>1.60689870703648</v>
      </c>
      <c r="BQ23" s="17" t="n">
        <f aca="false">IF($D23&lt;=0,0,($C23^2/8*(BP23-SIN(BP23)))*(($C23^2/8*(BP23-SIN(BP23)))/($C23*BP23/2))^(2/3)*$D23^0.5/$E23)</f>
        <v>0.0017890046249601</v>
      </c>
      <c r="BR23" s="17" t="n">
        <f aca="false">BP23+IF(BQ23&lt;$B23,1,-1)*설정!$B$10/2^33</f>
        <v>1.60689870765076</v>
      </c>
      <c r="BS23" s="17" t="n">
        <f aca="false">IF($D23&lt;=0,0,($C23^2/8*(BR23-SIN(BR23)))*(($C23^2/8*(BR23-SIN(BR23)))/($C23*BR23/2))^(2/3)*$D23^0.5/$E23)</f>
        <v>0.00178900462762767</v>
      </c>
      <c r="BT23" s="17" t="n">
        <f aca="false">BR23+IF(BS23&lt;$B23,1,-1)*설정!$B$10/2^34</f>
        <v>1.60689870795789</v>
      </c>
      <c r="BU23" s="17" t="n">
        <f aca="false">IF($D23&lt;=0,0,($C23^2/8*(BT23-SIN(BT23)))*(($C23^2/8*(BT23-SIN(BT23)))/($C23*BT23/2))^(2/3)*$D23^0.5/$E23)</f>
        <v>0.00178900462896146</v>
      </c>
      <c r="BV23" s="17" t="n">
        <f aca="false">BT23+IF(BU23&lt;$B23,1,-1)*설정!$B$10/2^35</f>
        <v>1.60689870811146</v>
      </c>
      <c r="BW23" s="17" t="n">
        <f aca="false">IF($D23&lt;=0,0,($C23^2/8*(BV23-SIN(BV23)))*(($C23^2/8*(BV23-SIN(BV23)))/($C23*BV23/2))^(2/3)*$D23^0.5/$E23)</f>
        <v>0.00178900462962836</v>
      </c>
      <c r="BX23" s="17" t="n">
        <f aca="false">BV23+IF(BW23&lt;$B23,1,-1)*설정!$B$10/2^36</f>
        <v>1.60689870818825</v>
      </c>
      <c r="BY23" s="17" t="n">
        <f aca="false">IF($D23&lt;=0,0,($C23^2/8*(BX23-SIN(BX23)))*(($C23^2/8*(BX23-SIN(BX23)))/($C23*BX23/2))^(2/3)*$D23^0.5/$E23)</f>
        <v>0.0017890046299618</v>
      </c>
      <c r="BZ23" s="17" t="n">
        <f aca="false">BX23+IF(BY23&lt;$B23,1,-1)*설정!$B$10/2^37</f>
        <v>1.60689870814986</v>
      </c>
      <c r="CA23" s="17" t="n">
        <f aca="false">IF($D23&lt;=0,0,($C23^2/8*(BZ23-SIN(BZ23)))*(($C23^2/8*(BZ23-SIN(BZ23)))/($C23*BZ23/2))^(2/3)*$D23^0.5/$E23)</f>
        <v>0.00178900462979508</v>
      </c>
      <c r="CB23" s="17" t="n">
        <f aca="false">BZ23+IF(CA23&lt;$B23,1,-1)*설정!$B$10/2^38</f>
        <v>1.60689870813066</v>
      </c>
      <c r="CC23" s="17" t="n">
        <f aca="false">IF($D23&lt;=0,0,($C23^2/8*(CB23-SIN(CB23)))*(($C23^2/8*(CB23-SIN(CB23)))/($C23*CB23/2))^(2/3)*$D23^0.5/$E23)</f>
        <v>0.00178900462971172</v>
      </c>
      <c r="CD23" s="17" t="n">
        <f aca="false">CB23+IF(CC23&lt;$B23,1,-1)*설정!$B$10/2^39</f>
        <v>1.60689870812106</v>
      </c>
      <c r="CE23" s="17" t="n">
        <f aca="false">IF($D23&lt;=0,0,($C23^2/8*(CD23-SIN(CD23)))*(($C23^2/8*(CD23-SIN(CD23)))/($C23*CD23/2))^(2/3)*$D23^0.5/$E23)</f>
        <v>0.00178900462967004</v>
      </c>
      <c r="CF23" s="17" t="n">
        <f aca="false">CD23+IF(CE23&lt;$B23,1,-1)*설정!$B$10/2^40</f>
        <v>1.60689870811626</v>
      </c>
      <c r="CG23" s="17" t="n">
        <f aca="false">IF($D23&lt;=0,0,($C23^2/8*(CF23-SIN(CF23)))*(($C23^2/8*(CF23-SIN(CF23)))/($C23*CF23/2))^(2/3)*$D23^0.5/$E23)</f>
        <v>0.0017890046296492</v>
      </c>
      <c r="CH23" s="17" t="n">
        <f aca="false">CF23+IF(CG23&lt;$B23,1,-1)*설정!$B$10/2^41</f>
        <v>1.60689870811386</v>
      </c>
    </row>
    <row r="24" customFormat="false" ht="15" hidden="false" customHeight="false" outlineLevel="0" collapsed="false">
      <c r="A24" s="14" t="str">
        <f aca="false">계산!A24</f>
        <v>BC-20</v>
      </c>
      <c r="B24" s="15" t="n">
        <f aca="false">계산!E24</f>
        <v>0.00178900462962963</v>
      </c>
      <c r="C24" s="14" t="n">
        <f aca="false">입력!E24/1000</f>
        <v>0.2</v>
      </c>
      <c r="D24" s="14" t="n">
        <f aca="false">(입력!F24-입력!G24)/입력!D24</f>
        <v>0.00523809523809521</v>
      </c>
      <c r="E24" s="14" t="n">
        <f aca="false">입력!J24</f>
        <v>0.011</v>
      </c>
      <c r="F24" s="16" t="n">
        <f aca="false">설정!$B$10/2</f>
        <v>2.6383016061374</v>
      </c>
      <c r="G24" s="17" t="n">
        <f aca="false">IF($D24&lt;=0,0,($C24^2/8*(F24-SIN(F24)))*(($C24^2/8*(F24-SIN(F24)))/($C24*F24/2))^(2/3)*$D24^0.5/$E24)</f>
        <v>0.00841406369346551</v>
      </c>
      <c r="H24" s="17" t="n">
        <f aca="false">F24+IF(G24&lt;$B24,1,-1)*설정!$B$10/2^2</f>
        <v>1.3191508030687</v>
      </c>
      <c r="I24" s="17" t="n">
        <f aca="false">IF($D24&lt;=0,0,($C24^2/8*(H24-SIN(H24)))*(($C24^2/8*(H24-SIN(H24)))/($C24*H24/2))^(2/3)*$D24^0.5/$E24)</f>
        <v>0.000647238273166724</v>
      </c>
      <c r="J24" s="17" t="n">
        <f aca="false">H24+IF(I24&lt;$B24,1,-1)*설정!$B$10/2^3</f>
        <v>1.97872620460305</v>
      </c>
      <c r="K24" s="17" t="n">
        <f aca="false">IF($D24&lt;=0,0,($C24^2/8*(J24-SIN(J24)))*(($C24^2/8*(J24-SIN(J24)))/($C24*J24/2))^(2/3)*$D24^0.5/$E24)</f>
        <v>0.00312557965365281</v>
      </c>
      <c r="L24" s="17" t="n">
        <f aca="false">J24+IF(K24&lt;$B24,1,-1)*설정!$B$10/2^4</f>
        <v>1.64893850383588</v>
      </c>
      <c r="M24" s="17" t="n">
        <f aca="false">IF($D24&lt;=0,0,($C24^2/8*(L24-SIN(L24)))*(($C24^2/8*(L24-SIN(L24)))/($C24*L24/2))^(2/3)*$D24^0.5/$E24)</f>
        <v>0.00156822843823663</v>
      </c>
      <c r="N24" s="17" t="n">
        <f aca="false">L24+IF(M24&lt;$B24,1,-1)*설정!$B$10/2^5</f>
        <v>1.81383235421946</v>
      </c>
      <c r="O24" s="17" t="n">
        <f aca="false">IF($D24&lt;=0,0,($C24^2/8*(N24-SIN(N24)))*(($C24^2/8*(N24-SIN(N24)))/($C24*N24/2))^(2/3)*$D24^0.5/$E24)</f>
        <v>0.00225933798783738</v>
      </c>
      <c r="P24" s="17" t="n">
        <f aca="false">N24+IF(O24&lt;$B24,1,-1)*설정!$B$10/2^6</f>
        <v>1.73138542902767</v>
      </c>
      <c r="Q24" s="17" t="n">
        <f aca="false">IF($D24&lt;=0,0,($C24^2/8*(P24-SIN(P24)))*(($C24^2/8*(P24-SIN(P24)))/($C24*P24/2))^(2/3)*$D24^0.5/$E24)</f>
        <v>0.00189269962476763</v>
      </c>
      <c r="R24" s="17" t="n">
        <f aca="false">P24+IF(Q24&lt;$B24,1,-1)*설정!$B$10/2^7</f>
        <v>1.69016196643177</v>
      </c>
      <c r="S24" s="17" t="n">
        <f aca="false">IF($D24&lt;=0,0,($C24^2/8*(R24-SIN(R24)))*(($C24^2/8*(R24-SIN(R24)))/($C24*R24/2))^(2/3)*$D24^0.5/$E24)</f>
        <v>0.00172531333789295</v>
      </c>
      <c r="T24" s="17" t="n">
        <f aca="false">R24+IF(S24&lt;$B24,1,-1)*설정!$B$10/2^8</f>
        <v>1.71077369772972</v>
      </c>
      <c r="U24" s="17" t="n">
        <f aca="false">IF($D24&lt;=0,0,($C24^2/8*(T24-SIN(T24)))*(($C24^2/8*(T24-SIN(T24)))/($C24*T24/2))^(2/3)*$D24^0.5/$E24)</f>
        <v>0.00180770299026362</v>
      </c>
      <c r="V24" s="17" t="n">
        <f aca="false">T24+IF(U24&lt;$B24,1,-1)*설정!$B$10/2^9</f>
        <v>1.70046783208075</v>
      </c>
      <c r="W24" s="17" t="n">
        <f aca="false">IF($D24&lt;=0,0,($C24^2/8*(V24-SIN(V24)))*(($C24^2/8*(V24-SIN(V24)))/($C24*V24/2))^(2/3)*$D24^0.5/$E24)</f>
        <v>0.00176618422083725</v>
      </c>
      <c r="X24" s="17" t="n">
        <f aca="false">V24+IF(W24&lt;$B24,1,-1)*설정!$B$10/2^10</f>
        <v>1.70562076490523</v>
      </c>
      <c r="Y24" s="17" t="n">
        <f aca="false">IF($D24&lt;=0,0,($C24^2/8*(X24-SIN(X24)))*(($C24^2/8*(X24-SIN(X24)))/($C24*X24/2))^(2/3)*$D24^0.5/$E24)</f>
        <v>0.00178686237551095</v>
      </c>
      <c r="Z24" s="17" t="n">
        <f aca="false">X24+IF(Y24&lt;$B24,1,-1)*설정!$B$10/2^11</f>
        <v>1.70819723131748</v>
      </c>
      <c r="AA24" s="17" t="n">
        <f aca="false">IF($D24&lt;=0,0,($C24^2/8*(Z24-SIN(Z24)))*(($C24^2/8*(Z24-SIN(Z24)))/($C24*Z24/2))^(2/3)*$D24^0.5/$E24)</f>
        <v>0.00179726234511256</v>
      </c>
      <c r="AB24" s="17" t="n">
        <f aca="false">Z24+IF(AA24&lt;$B24,1,-1)*설정!$B$10/2^12</f>
        <v>1.70690899811136</v>
      </c>
      <c r="AC24" s="17" t="n">
        <f aca="false">IF($D24&lt;=0,0,($C24^2/8*(AB24-SIN(AB24)))*(($C24^2/8*(AB24-SIN(AB24)))/($C24*AB24/2))^(2/3)*$D24^0.5/$E24)</f>
        <v>0.00179205727963933</v>
      </c>
      <c r="AD24" s="17" t="n">
        <f aca="false">AB24+IF(AC24&lt;$B24,1,-1)*설정!$B$10/2^13</f>
        <v>1.7062648815083</v>
      </c>
      <c r="AE24" s="17" t="n">
        <f aca="false">IF($D24&lt;=0,0,($C24^2/8*(AD24-SIN(AD24)))*(($C24^2/8*(AD24-SIN(AD24)))/($C24*AD24/2))^(2/3)*$D24^0.5/$E24)</f>
        <v>0.00178945855787948</v>
      </c>
      <c r="AF24" s="17" t="n">
        <f aca="false">AD24+IF(AE24&lt;$B24,1,-1)*설정!$B$10/2^14</f>
        <v>1.70594282320677</v>
      </c>
      <c r="AG24" s="17" t="n">
        <f aca="false">IF($D24&lt;=0,0,($C24^2/8*(AF24-SIN(AF24)))*(($C24^2/8*(AF24-SIN(AF24)))/($C24*AF24/2))^(2/3)*$D24^0.5/$E24)</f>
        <v>0.00178816014933042</v>
      </c>
      <c r="AH24" s="17" t="n">
        <f aca="false">AF24+IF(AG24&lt;$B24,1,-1)*설정!$B$10/2^15</f>
        <v>1.70610385235753</v>
      </c>
      <c r="AI24" s="17" t="n">
        <f aca="false">IF($D24&lt;=0,0,($C24^2/8*(AH24-SIN(AH24)))*(($C24^2/8*(AH24-SIN(AH24)))/($C24*AH24/2))^(2/3)*$D24^0.5/$E24)</f>
        <v>0.00178880927425636</v>
      </c>
      <c r="AJ24" s="17" t="n">
        <f aca="false">AH24+IF(AI24&lt;$B24,1,-1)*설정!$B$10/2^16</f>
        <v>1.70618436693291</v>
      </c>
      <c r="AK24" s="17" t="n">
        <f aca="false">IF($D24&lt;=0,0,($C24^2/8*(AJ24-SIN(AJ24)))*(($C24^2/8*(AJ24-SIN(AJ24)))/($C24*AJ24/2))^(2/3)*$D24^0.5/$E24)</f>
        <v>0.00178913389622985</v>
      </c>
      <c r="AL24" s="17" t="n">
        <f aca="false">AJ24+IF(AK24&lt;$B24,1,-1)*설정!$B$10/2^17</f>
        <v>1.70614410964522</v>
      </c>
      <c r="AM24" s="17" t="n">
        <f aca="false">IF($D24&lt;=0,0,($C24^2/8*(AL24-SIN(AL24)))*(($C24^2/8*(AL24-SIN(AL24)))/($C24*AL24/2))^(2/3)*$D24^0.5/$E24)</f>
        <v>0.0017889715802837</v>
      </c>
      <c r="AN24" s="17" t="n">
        <f aca="false">AL24+IF(AM24&lt;$B24,1,-1)*설정!$B$10/2^18</f>
        <v>1.70616423828907</v>
      </c>
      <c r="AO24" s="17" t="n">
        <f aca="false">IF($D24&lt;=0,0,($C24^2/8*(AN24-SIN(AN24)))*(($C24^2/8*(AN24-SIN(AN24)))/($C24*AN24/2))^(2/3)*$D24^0.5/$E24)</f>
        <v>0.00178905273701691</v>
      </c>
      <c r="AP24" s="17" t="n">
        <f aca="false">AN24+IF(AO24&lt;$B24,1,-1)*설정!$B$10/2^19</f>
        <v>1.70615417396714</v>
      </c>
      <c r="AQ24" s="17" t="n">
        <f aca="false">IF($D24&lt;=0,0,($C24^2/8*(AP24-SIN(AP24)))*(($C24^2/8*(AP24-SIN(AP24)))/($C24*AP24/2))^(2/3)*$D24^0.5/$E24)</f>
        <v>0.00178901215834034</v>
      </c>
      <c r="AR24" s="17" t="n">
        <f aca="false">AP24+IF(AQ24&lt;$B24,1,-1)*설정!$B$10/2^20</f>
        <v>1.70614914180618</v>
      </c>
      <c r="AS24" s="17" t="n">
        <f aca="false">IF($D24&lt;=0,0,($C24^2/8*(AR24-SIN(AR24)))*(($C24^2/8*(AR24-SIN(AR24)))/($C24*AR24/2))^(2/3)*$D24^0.5/$E24)</f>
        <v>0.00178899186923453</v>
      </c>
      <c r="AT24" s="17" t="n">
        <f aca="false">AR24+IF(AS24&lt;$B24,1,-1)*설정!$B$10/2^21</f>
        <v>1.70615165788666</v>
      </c>
      <c r="AU24" s="17" t="n">
        <f aca="false">IF($D24&lt;=0,0,($C24^2/8*(AT24-SIN(AT24)))*(($C24^2/8*(AT24-SIN(AT24)))/($C24*AT24/2))^(2/3)*$D24^0.5/$E24)</f>
        <v>0.00178900201376806</v>
      </c>
      <c r="AV24" s="17" t="n">
        <f aca="false">AT24+IF(AU24&lt;$B24,1,-1)*설정!$B$10/2^22</f>
        <v>1.7061529159269</v>
      </c>
      <c r="AW24" s="17" t="n">
        <f aca="false">IF($D24&lt;=0,0,($C24^2/8*(AV24-SIN(AV24)))*(($C24^2/8*(AV24-SIN(AV24)))/($C24*AV24/2))^(2/3)*$D24^0.5/$E24)</f>
        <v>0.00178900708604936</v>
      </c>
      <c r="AX24" s="17" t="n">
        <f aca="false">AV24+IF(AW24&lt;$B24,1,-1)*설정!$B$10/2^23</f>
        <v>1.70615228690678</v>
      </c>
      <c r="AY24" s="17" t="n">
        <f aca="false">IF($D24&lt;=0,0,($C24^2/8*(AX24-SIN(AX24)))*(($C24^2/8*(AX24-SIN(AX24)))/($C24*AX24/2))^(2/3)*$D24^0.5/$E24)</f>
        <v>0.0017890045499075</v>
      </c>
      <c r="AZ24" s="17" t="n">
        <f aca="false">AX24+IF(AY24&lt;$B24,1,-1)*설정!$B$10/2^24</f>
        <v>1.70615260141684</v>
      </c>
      <c r="BA24" s="17" t="n">
        <f aca="false">IF($D24&lt;=0,0,($C24^2/8*(AZ24-SIN(AZ24)))*(($C24^2/8*(AZ24-SIN(AZ24)))/($C24*AZ24/2))^(2/3)*$D24^0.5/$E24)</f>
        <v>0.00178900581797813</v>
      </c>
      <c r="BB24" s="17" t="n">
        <f aca="false">AZ24+IF(BA24&lt;$B24,1,-1)*설정!$B$10/2^25</f>
        <v>1.70615244416181</v>
      </c>
      <c r="BC24" s="17" t="n">
        <f aca="false">IF($D24&lt;=0,0,($C24^2/8*(BB24-SIN(BB24)))*(($C24^2/8*(BB24-SIN(BB24)))/($C24*BB24/2))^(2/3)*$D24^0.5/$E24)</f>
        <v>0.00178900518394274</v>
      </c>
      <c r="BD24" s="17" t="n">
        <f aca="false">BB24+IF(BC24&lt;$B24,1,-1)*설정!$B$10/2^26</f>
        <v>1.7061523655343</v>
      </c>
      <c r="BE24" s="17" t="n">
        <f aca="false">IF($D24&lt;=0,0,($C24^2/8*(BD24-SIN(BD24)))*(($C24^2/8*(BD24-SIN(BD24)))/($C24*BD24/2))^(2/3)*$D24^0.5/$E24)</f>
        <v>0.0017890048669251</v>
      </c>
      <c r="BF24" s="17" t="n">
        <f aca="false">BD24+IF(BE24&lt;$B24,1,-1)*설정!$B$10/2^27</f>
        <v>1.70615232622054</v>
      </c>
      <c r="BG24" s="17" t="n">
        <f aca="false">IF($D24&lt;=0,0,($C24^2/8*(BF24-SIN(BF24)))*(($C24^2/8*(BF24-SIN(BF24)))/($C24*BF24/2))^(2/3)*$D24^0.5/$E24)</f>
        <v>0.0017890047084163</v>
      </c>
      <c r="BH24" s="17" t="n">
        <f aca="false">BF24+IF(BG24&lt;$B24,1,-1)*설정!$B$10/2^28</f>
        <v>1.70615230656366</v>
      </c>
      <c r="BI24" s="17" t="n">
        <f aca="false">IF($D24&lt;=0,0,($C24^2/8*(BH24-SIN(BH24)))*(($C24^2/8*(BH24-SIN(BH24)))/($C24*BH24/2))^(2/3)*$D24^0.5/$E24)</f>
        <v>0.0017890046291619</v>
      </c>
      <c r="BJ24" s="17" t="n">
        <f aca="false">BH24+IF(BI24&lt;$B24,1,-1)*설정!$B$10/2^29</f>
        <v>1.7061523163921</v>
      </c>
      <c r="BK24" s="17" t="n">
        <f aca="false">IF($D24&lt;=0,0,($C24^2/8*(BJ24-SIN(BJ24)))*(($C24^2/8*(BJ24-SIN(BJ24)))/($C24*BJ24/2))^(2/3)*$D24^0.5/$E24)</f>
        <v>0.0017890046687891</v>
      </c>
      <c r="BL24" s="17" t="n">
        <f aca="false">BJ24+IF(BK24&lt;$B24,1,-1)*설정!$B$10/2^30</f>
        <v>1.70615231147788</v>
      </c>
      <c r="BM24" s="17" t="n">
        <f aca="false">IF($D24&lt;=0,0,($C24^2/8*(BL24-SIN(BL24)))*(($C24^2/8*(BL24-SIN(BL24)))/($C24*BL24/2))^(2/3)*$D24^0.5/$E24)</f>
        <v>0.0017890046489755</v>
      </c>
      <c r="BN24" s="17" t="n">
        <f aca="false">BL24+IF(BM24&lt;$B24,1,-1)*설정!$B$10/2^31</f>
        <v>1.70615230902077</v>
      </c>
      <c r="BO24" s="17" t="n">
        <f aca="false">IF($D24&lt;=0,0,($C24^2/8*(BN24-SIN(BN24)))*(($C24^2/8*(BN24-SIN(BN24)))/($C24*BN24/2))^(2/3)*$D24^0.5/$E24)</f>
        <v>0.0017890046390687</v>
      </c>
      <c r="BP24" s="17" t="n">
        <f aca="false">BN24+IF(BO24&lt;$B24,1,-1)*설정!$B$10/2^32</f>
        <v>1.70615230779222</v>
      </c>
      <c r="BQ24" s="17" t="n">
        <f aca="false">IF($D24&lt;=0,0,($C24^2/8*(BP24-SIN(BP24)))*(($C24^2/8*(BP24-SIN(BP24)))/($C24*BP24/2))^(2/3)*$D24^0.5/$E24)</f>
        <v>0.0017890046341153</v>
      </c>
      <c r="BR24" s="17" t="n">
        <f aca="false">BP24+IF(BQ24&lt;$B24,1,-1)*설정!$B$10/2^33</f>
        <v>1.70615230717794</v>
      </c>
      <c r="BS24" s="17" t="n">
        <f aca="false">IF($D24&lt;=0,0,($C24^2/8*(BR24-SIN(BR24)))*(($C24^2/8*(BR24-SIN(BR24)))/($C24*BR24/2))^(2/3)*$D24^0.5/$E24)</f>
        <v>0.0017890046316386</v>
      </c>
      <c r="BT24" s="17" t="n">
        <f aca="false">BR24+IF(BS24&lt;$B24,1,-1)*설정!$B$10/2^34</f>
        <v>1.7061523068708</v>
      </c>
      <c r="BU24" s="17" t="n">
        <f aca="false">IF($D24&lt;=0,0,($C24^2/8*(BT24-SIN(BT24)))*(($C24^2/8*(BT24-SIN(BT24)))/($C24*BT24/2))^(2/3)*$D24^0.5/$E24)</f>
        <v>0.00178900463040025</v>
      </c>
      <c r="BV24" s="17" t="n">
        <f aca="false">BT24+IF(BU24&lt;$B24,1,-1)*설정!$B$10/2^35</f>
        <v>1.70615230671723</v>
      </c>
      <c r="BW24" s="17" t="n">
        <f aca="false">IF($D24&lt;=0,0,($C24^2/8*(BV24-SIN(BV24)))*(($C24^2/8*(BV24-SIN(BV24)))/($C24*BV24/2))^(2/3)*$D24^0.5/$E24)</f>
        <v>0.00178900462978107</v>
      </c>
      <c r="BX24" s="17" t="n">
        <f aca="false">BV24+IF(BW24&lt;$B24,1,-1)*설정!$B$10/2^36</f>
        <v>1.70615230664045</v>
      </c>
      <c r="BY24" s="17" t="n">
        <f aca="false">IF($D24&lt;=0,0,($C24^2/8*(BX24-SIN(BX24)))*(($C24^2/8*(BX24-SIN(BX24)))/($C24*BX24/2))^(2/3)*$D24^0.5/$E24)</f>
        <v>0.00178900462947148</v>
      </c>
      <c r="BZ24" s="17" t="n">
        <f aca="false">BX24+IF(BY24&lt;$B24,1,-1)*설정!$B$10/2^37</f>
        <v>1.70615230667884</v>
      </c>
      <c r="CA24" s="17" t="n">
        <f aca="false">IF($D24&lt;=0,0,($C24^2/8*(BZ24-SIN(BZ24)))*(($C24^2/8*(BZ24-SIN(BZ24)))/($C24*BZ24/2))^(2/3)*$D24^0.5/$E24)</f>
        <v>0.00178900462962628</v>
      </c>
      <c r="CB24" s="17" t="n">
        <f aca="false">BZ24+IF(CA24&lt;$B24,1,-1)*설정!$B$10/2^38</f>
        <v>1.70615230669804</v>
      </c>
      <c r="CC24" s="17" t="n">
        <f aca="false">IF($D24&lt;=0,0,($C24^2/8*(CB24-SIN(CB24)))*(($C24^2/8*(CB24-SIN(CB24)))/($C24*CB24/2))^(2/3)*$D24^0.5/$E24)</f>
        <v>0.00178900462970367</v>
      </c>
      <c r="CD24" s="17" t="n">
        <f aca="false">CB24+IF(CC24&lt;$B24,1,-1)*설정!$B$10/2^39</f>
        <v>1.70615230668844</v>
      </c>
      <c r="CE24" s="17" t="n">
        <f aca="false">IF($D24&lt;=0,0,($C24^2/8*(CD24-SIN(CD24)))*(($C24^2/8*(CD24-SIN(CD24)))/($C24*CD24/2))^(2/3)*$D24^0.5/$E24)</f>
        <v>0.00178900462966498</v>
      </c>
      <c r="CF24" s="17" t="n">
        <f aca="false">CD24+IF(CE24&lt;$B24,1,-1)*설정!$B$10/2^40</f>
        <v>1.70615230668364</v>
      </c>
      <c r="CG24" s="17" t="n">
        <f aca="false">IF($D24&lt;=0,0,($C24^2/8*(CF24-SIN(CF24)))*(($C24^2/8*(CF24-SIN(CF24)))/($C24*CF24/2))^(2/3)*$D24^0.5/$E24)</f>
        <v>0.00178900462964563</v>
      </c>
      <c r="CH24" s="17" t="n">
        <f aca="false">CF24+IF(CG24&lt;$B24,1,-1)*설정!$B$10/2^41</f>
        <v>1.70615230668124</v>
      </c>
    </row>
    <row r="25" customFormat="false" ht="15" hidden="false" customHeight="false" outlineLevel="0" collapsed="false">
      <c r="A25" s="14" t="str">
        <f aca="false">계산!A25</f>
        <v>BC-21</v>
      </c>
      <c r="B25" s="15" t="n">
        <f aca="false">계산!E25</f>
        <v>0.00178900462962963</v>
      </c>
      <c r="C25" s="14" t="n">
        <f aca="false">입력!E25/1000</f>
        <v>0.2</v>
      </c>
      <c r="D25" s="14" t="n">
        <f aca="false">(입력!F25-입력!G25)/입력!D25</f>
        <v>0.0159999999999997</v>
      </c>
      <c r="E25" s="14" t="n">
        <f aca="false">입력!J25</f>
        <v>0.011</v>
      </c>
      <c r="F25" s="16" t="n">
        <f aca="false">설정!$B$10/2</f>
        <v>2.6383016061374</v>
      </c>
      <c r="G25" s="17" t="n">
        <f aca="false">IF($D25&lt;=0,0,($C25^2/8*(F25-SIN(F25)))*(($C25^2/8*(F25-SIN(F25)))/($C25*F25/2))^(2/3)*$D25^0.5/$E25)</f>
        <v>0.0147054761579318</v>
      </c>
      <c r="H25" s="17" t="n">
        <f aca="false">F25+IF(G25&lt;$B25,1,-1)*설정!$B$10/2^2</f>
        <v>1.3191508030687</v>
      </c>
      <c r="I25" s="17" t="n">
        <f aca="false">IF($D25&lt;=0,0,($C25^2/8*(H25-SIN(H25)))*(($C25^2/8*(H25-SIN(H25)))/($C25*H25/2))^(2/3)*$D25^0.5/$E25)</f>
        <v>0.0011311950255316</v>
      </c>
      <c r="J25" s="17" t="n">
        <f aca="false">H25+IF(I25&lt;$B25,1,-1)*설정!$B$10/2^3</f>
        <v>1.97872620460305</v>
      </c>
      <c r="K25" s="17" t="n">
        <f aca="false">IF($D25&lt;=0,0,($C25^2/8*(J25-SIN(J25)))*(($C25^2/8*(J25-SIN(J25)))/($C25*J25/2))^(2/3)*$D25^0.5/$E25)</f>
        <v>0.00546265618504928</v>
      </c>
      <c r="L25" s="17" t="n">
        <f aca="false">J25+IF(K25&lt;$B25,1,-1)*설정!$B$10/2^4</f>
        <v>1.64893850383588</v>
      </c>
      <c r="M25" s="17" t="n">
        <f aca="false">IF($D25&lt;=0,0,($C25^2/8*(L25-SIN(L25)))*(($C25^2/8*(L25-SIN(L25)))/($C25*L25/2))^(2/3)*$D25^0.5/$E25)</f>
        <v>0.00274083329397533</v>
      </c>
      <c r="N25" s="17" t="n">
        <f aca="false">L25+IF(M25&lt;$B25,1,-1)*설정!$B$10/2^5</f>
        <v>1.48404465345229</v>
      </c>
      <c r="O25" s="17" t="n">
        <f aca="false">IF($D25&lt;=0,0,($C25^2/8*(N25-SIN(N25)))*(($C25^2/8*(N25-SIN(N25)))/($C25*N25/2))^(2/3)*$D25^0.5/$E25)</f>
        <v>0.00181299556085931</v>
      </c>
      <c r="P25" s="17" t="n">
        <f aca="false">N25+IF(O25&lt;$B25,1,-1)*설정!$B$10/2^6</f>
        <v>1.4015977282605</v>
      </c>
      <c r="Q25" s="17" t="n">
        <f aca="false">IF($D25&lt;=0,0,($C25^2/8*(P25-SIN(P25)))*(($C25^2/8*(P25-SIN(P25)))/($C25*P25/2))^(2/3)*$D25^0.5/$E25)</f>
        <v>0.00144370270533338</v>
      </c>
      <c r="R25" s="17" t="n">
        <f aca="false">P25+IF(Q25&lt;$B25,1,-1)*설정!$B$10/2^7</f>
        <v>1.44282119085639</v>
      </c>
      <c r="S25" s="17" t="n">
        <f aca="false">IF($D25&lt;=0,0,($C25^2/8*(R25-SIN(R25)))*(($C25^2/8*(R25-SIN(R25)))/($C25*R25/2))^(2/3)*$D25^0.5/$E25)</f>
        <v>0.00162094399919035</v>
      </c>
      <c r="T25" s="17" t="n">
        <f aca="false">R25+IF(S25&lt;$B25,1,-1)*설정!$B$10/2^8</f>
        <v>1.46343292215434</v>
      </c>
      <c r="U25" s="17" t="n">
        <f aca="false">IF($D25&lt;=0,0,($C25^2/8*(T25-SIN(T25)))*(($C25^2/8*(T25-SIN(T25)))/($C25*T25/2))^(2/3)*$D25^0.5/$E25)</f>
        <v>0.00171508101000999</v>
      </c>
      <c r="V25" s="17" t="n">
        <f aca="false">T25+IF(U25&lt;$B25,1,-1)*설정!$B$10/2^9</f>
        <v>1.47373878780331</v>
      </c>
      <c r="W25" s="17" t="n">
        <f aca="false">IF($D25&lt;=0,0,($C25^2/8*(V25-SIN(V25)))*(($C25^2/8*(V25-SIN(V25)))/($C25*V25/2))^(2/3)*$D25^0.5/$E25)</f>
        <v>0.0017635614698721</v>
      </c>
      <c r="X25" s="17" t="n">
        <f aca="false">V25+IF(W25&lt;$B25,1,-1)*설정!$B$10/2^10</f>
        <v>1.4788917206278</v>
      </c>
      <c r="Y25" s="17" t="n">
        <f aca="false">IF($D25&lt;=0,0,($C25^2/8*(X25-SIN(X25)))*(($C25^2/8*(X25-SIN(X25)))/($C25*X25/2))^(2/3)*$D25^0.5/$E25)</f>
        <v>0.00178815873774268</v>
      </c>
      <c r="Z25" s="17" t="n">
        <f aca="false">X25+IF(Y25&lt;$B25,1,-1)*설정!$B$10/2^11</f>
        <v>1.48146818704005</v>
      </c>
      <c r="AA25" s="17" t="n">
        <f aca="false">IF($D25&lt;=0,0,($C25^2/8*(Z25-SIN(Z25)))*(($C25^2/8*(Z25-SIN(Z25)))/($C25*Z25/2))^(2/3)*$D25^0.5/$E25)</f>
        <v>0.00180054713344515</v>
      </c>
      <c r="AB25" s="17" t="n">
        <f aca="false">Z25+IF(AA25&lt;$B25,1,-1)*설정!$B$10/2^12</f>
        <v>1.48017995383392</v>
      </c>
      <c r="AC25" s="17" t="n">
        <f aca="false">IF($D25&lt;=0,0,($C25^2/8*(AB25-SIN(AB25)))*(($C25^2/8*(AB25-SIN(AB25)))/($C25*AB25/2))^(2/3)*$D25^0.5/$E25)</f>
        <v>0.00179434544054919</v>
      </c>
      <c r="AD25" s="17" t="n">
        <f aca="false">AB25+IF(AC25&lt;$B25,1,-1)*설정!$B$10/2^13</f>
        <v>1.47953583723086</v>
      </c>
      <c r="AE25" s="17" t="n">
        <f aca="false">IF($D25&lt;=0,0,($C25^2/8*(AD25-SIN(AD25)))*(($C25^2/8*(AD25-SIN(AD25)))/($C25*AD25/2))^(2/3)*$D25^0.5/$E25)</f>
        <v>0.00179125021650071</v>
      </c>
      <c r="AF25" s="17" t="n">
        <f aca="false">AD25+IF(AE25&lt;$B25,1,-1)*설정!$B$10/2^14</f>
        <v>1.47921377892933</v>
      </c>
      <c r="AG25" s="17" t="n">
        <f aca="false">IF($D25&lt;=0,0,($C25^2/8*(AF25-SIN(AF25)))*(($C25^2/8*(AF25-SIN(AF25)))/($C25*AF25/2))^(2/3)*$D25^0.5/$E25)</f>
        <v>0.00178970400909996</v>
      </c>
      <c r="AH25" s="17" t="n">
        <f aca="false">AF25+IF(AG25&lt;$B25,1,-1)*설정!$B$10/2^15</f>
        <v>1.47905274977857</v>
      </c>
      <c r="AI25" s="17" t="n">
        <f aca="false">IF($D25&lt;=0,0,($C25^2/8*(AH25-SIN(AH25)))*(($C25^2/8*(AH25-SIN(AH25)))/($C25*AH25/2))^(2/3)*$D25^0.5/$E25)</f>
        <v>0.00178893125643333</v>
      </c>
      <c r="AJ25" s="17" t="n">
        <f aca="false">AH25+IF(AI25&lt;$B25,1,-1)*설정!$B$10/2^16</f>
        <v>1.47913326435395</v>
      </c>
      <c r="AK25" s="17" t="n">
        <f aca="false">IF($D25&lt;=0,0,($C25^2/8*(AJ25-SIN(AJ25)))*(($C25^2/8*(AJ25-SIN(AJ25)))/($C25*AJ25/2))^(2/3)*$D25^0.5/$E25)</f>
        <v>0.00178931760351747</v>
      </c>
      <c r="AL25" s="17" t="n">
        <f aca="false">AJ25+IF(AK25&lt;$B25,1,-1)*설정!$B$10/2^17</f>
        <v>1.47909300706626</v>
      </c>
      <c r="AM25" s="17" t="n">
        <f aca="false">IF($D25&lt;=0,0,($C25^2/8*(AL25-SIN(AL25)))*(($C25^2/8*(AL25-SIN(AL25)))/($C25*AL25/2))^(2/3)*$D25^0.5/$E25)</f>
        <v>0.00178912442266338</v>
      </c>
      <c r="AN25" s="17" t="n">
        <f aca="false">AL25+IF(AM25&lt;$B25,1,-1)*설정!$B$10/2^18</f>
        <v>1.47907287842241</v>
      </c>
      <c r="AO25" s="17" t="n">
        <f aca="false">IF($D25&lt;=0,0,($C25^2/8*(AN25-SIN(AN25)))*(($C25^2/8*(AN25-SIN(AN25)))/($C25*AN25/2))^(2/3)*$D25^0.5/$E25)</f>
        <v>0.00178902783772038</v>
      </c>
      <c r="AP25" s="17" t="n">
        <f aca="false">AN25+IF(AO25&lt;$B25,1,-1)*설정!$B$10/2^19</f>
        <v>1.47906281410049</v>
      </c>
      <c r="AQ25" s="17" t="n">
        <f aca="false">IF($D25&lt;=0,0,($C25^2/8*(AP25-SIN(AP25)))*(($C25^2/8*(AP25-SIN(AP25)))/($C25*AP25/2))^(2/3)*$D25^0.5/$E25)</f>
        <v>0.00178897954661987</v>
      </c>
      <c r="AR25" s="17" t="n">
        <f aca="false">AP25+IF(AQ25&lt;$B25,1,-1)*설정!$B$10/2^20</f>
        <v>1.47906784626145</v>
      </c>
      <c r="AS25" s="17" t="n">
        <f aca="false">IF($D25&lt;=0,0,($C25^2/8*(AR25-SIN(AR25)))*(($C25^2/8*(AR25-SIN(AR25)))/($C25*AR25/2))^(2/3)*$D25^0.5/$E25)</f>
        <v>0.00178900369205588</v>
      </c>
      <c r="AT25" s="17" t="n">
        <f aca="false">AR25+IF(AS25&lt;$B25,1,-1)*설정!$B$10/2^21</f>
        <v>1.47907036234193</v>
      </c>
      <c r="AU25" s="17" t="n">
        <f aca="false">IF($D25&lt;=0,0,($C25^2/8*(AT25-SIN(AT25)))*(($C25^2/8*(AT25-SIN(AT25)))/($C25*AT25/2))^(2/3)*$D25^0.5/$E25)</f>
        <v>0.00178901576485957</v>
      </c>
      <c r="AV25" s="17" t="n">
        <f aca="false">AT25+IF(AU25&lt;$B25,1,-1)*설정!$B$10/2^22</f>
        <v>1.47906910430169</v>
      </c>
      <c r="AW25" s="17" t="n">
        <f aca="false">IF($D25&lt;=0,0,($C25^2/8*(AV25-SIN(AV25)))*(($C25^2/8*(AV25-SIN(AV25)))/($C25*AV25/2))^(2/3)*$D25^0.5/$E25)</f>
        <v>0.00178900972845058</v>
      </c>
      <c r="AX25" s="17" t="n">
        <f aca="false">AV25+IF(AW25&lt;$B25,1,-1)*설정!$B$10/2^23</f>
        <v>1.47906847528157</v>
      </c>
      <c r="AY25" s="17" t="n">
        <f aca="false">IF($D25&lt;=0,0,($C25^2/8*(AX25-SIN(AX25)))*(($C25^2/8*(AX25-SIN(AX25)))/($C25*AX25/2))^(2/3)*$D25^0.5/$E25)</f>
        <v>0.00178900671025145</v>
      </c>
      <c r="AZ25" s="17" t="n">
        <f aca="false">AX25+IF(AY25&lt;$B25,1,-1)*설정!$B$10/2^24</f>
        <v>1.47906816077151</v>
      </c>
      <c r="BA25" s="17" t="n">
        <f aca="false">IF($D25&lt;=0,0,($C25^2/8*(AZ25-SIN(AZ25)))*(($C25^2/8*(AZ25-SIN(AZ25)))/($C25*AZ25/2))^(2/3)*$D25^0.5/$E25)</f>
        <v>0.00178900520115322</v>
      </c>
      <c r="BB25" s="17" t="n">
        <f aca="false">AZ25+IF(BA25&lt;$B25,1,-1)*설정!$B$10/2^25</f>
        <v>1.47906800351648</v>
      </c>
      <c r="BC25" s="17" t="n">
        <f aca="false">IF($D25&lt;=0,0,($C25^2/8*(BB25-SIN(BB25)))*(($C25^2/8*(BB25-SIN(BB25)))/($C25*BB25/2))^(2/3)*$D25^0.5/$E25)</f>
        <v>0.00178900444660444</v>
      </c>
      <c r="BD25" s="17" t="n">
        <f aca="false">BB25+IF(BC25&lt;$B25,1,-1)*설정!$B$10/2^26</f>
        <v>1.479068082144</v>
      </c>
      <c r="BE25" s="17" t="n">
        <f aca="false">IF($D25&lt;=0,0,($C25^2/8*(BD25-SIN(BD25)))*(($C25^2/8*(BD25-SIN(BD25)))/($C25*BD25/2))^(2/3)*$D25^0.5/$E25)</f>
        <v>0.0017890048238788</v>
      </c>
      <c r="BF25" s="17" t="n">
        <f aca="false">BD25+IF(BE25&lt;$B25,1,-1)*설정!$B$10/2^27</f>
        <v>1.47906804283024</v>
      </c>
      <c r="BG25" s="17" t="n">
        <f aca="false">IF($D25&lt;=0,0,($C25^2/8*(BF25-SIN(BF25)))*(($C25^2/8*(BF25-SIN(BF25)))/($C25*BF25/2))^(2/3)*$D25^0.5/$E25)</f>
        <v>0.00178900463524161</v>
      </c>
      <c r="BH25" s="17" t="n">
        <f aca="false">BF25+IF(BG25&lt;$B25,1,-1)*설정!$B$10/2^28</f>
        <v>1.47906802317336</v>
      </c>
      <c r="BI25" s="17" t="n">
        <f aca="false">IF($D25&lt;=0,0,($C25^2/8*(BH25-SIN(BH25)))*(($C25^2/8*(BH25-SIN(BH25)))/($C25*BH25/2))^(2/3)*$D25^0.5/$E25)</f>
        <v>0.00178900454092302</v>
      </c>
      <c r="BJ25" s="17" t="n">
        <f aca="false">BH25+IF(BI25&lt;$B25,1,-1)*설정!$B$10/2^29</f>
        <v>1.4790680330018</v>
      </c>
      <c r="BK25" s="17" t="n">
        <f aca="false">IF($D25&lt;=0,0,($C25^2/8*(BJ25-SIN(BJ25)))*(($C25^2/8*(BJ25-SIN(BJ25)))/($C25*BJ25/2))^(2/3)*$D25^0.5/$E25)</f>
        <v>0.00178900458808231</v>
      </c>
      <c r="BL25" s="17" t="n">
        <f aca="false">BJ25+IF(BK25&lt;$B25,1,-1)*설정!$B$10/2^30</f>
        <v>1.47906803791602</v>
      </c>
      <c r="BM25" s="17" t="n">
        <f aca="false">IF($D25&lt;=0,0,($C25^2/8*(BL25-SIN(BL25)))*(($C25^2/8*(BL25-SIN(BL25)))/($C25*BL25/2))^(2/3)*$D25^0.5/$E25)</f>
        <v>0.00178900461166196</v>
      </c>
      <c r="BN25" s="17" t="n">
        <f aca="false">BL25+IF(BM25&lt;$B25,1,-1)*설정!$B$10/2^31</f>
        <v>1.47906804037313</v>
      </c>
      <c r="BO25" s="17" t="n">
        <f aca="false">IF($D25&lt;=0,0,($C25^2/8*(BN25-SIN(BN25)))*(($C25^2/8*(BN25-SIN(BN25)))/($C25*BN25/2))^(2/3)*$D25^0.5/$E25)</f>
        <v>0.00178900462345178</v>
      </c>
      <c r="BP25" s="17" t="n">
        <f aca="false">BN25+IF(BO25&lt;$B25,1,-1)*설정!$B$10/2^32</f>
        <v>1.47906804160168</v>
      </c>
      <c r="BQ25" s="17" t="n">
        <f aca="false">IF($D25&lt;=0,0,($C25^2/8*(BP25-SIN(BP25)))*(($C25^2/8*(BP25-SIN(BP25)))/($C25*BP25/2))^(2/3)*$D25^0.5/$E25)</f>
        <v>0.0017890046293467</v>
      </c>
      <c r="BR25" s="17" t="n">
        <f aca="false">BP25+IF(BQ25&lt;$B25,1,-1)*설정!$B$10/2^33</f>
        <v>1.47906804221596</v>
      </c>
      <c r="BS25" s="17" t="n">
        <f aca="false">IF($D25&lt;=0,0,($C25^2/8*(BR25-SIN(BR25)))*(($C25^2/8*(BR25-SIN(BR25)))/($C25*BR25/2))^(2/3)*$D25^0.5/$E25)</f>
        <v>0.00178900463229415</v>
      </c>
      <c r="BT25" s="17" t="n">
        <f aca="false">BR25+IF(BS25&lt;$B25,1,-1)*설정!$B$10/2^34</f>
        <v>1.47906804190882</v>
      </c>
      <c r="BU25" s="17" t="n">
        <f aca="false">IF($D25&lt;=0,0,($C25^2/8*(BT25-SIN(BT25)))*(($C25^2/8*(BT25-SIN(BT25)))/($C25*BT25/2))^(2/3)*$D25^0.5/$E25)</f>
        <v>0.00178900463082042</v>
      </c>
      <c r="BV25" s="17" t="n">
        <f aca="false">BT25+IF(BU25&lt;$B25,1,-1)*설정!$B$10/2^35</f>
        <v>1.47906804175525</v>
      </c>
      <c r="BW25" s="17" t="n">
        <f aca="false">IF($D25&lt;=0,0,($C25^2/8*(BV25-SIN(BV25)))*(($C25^2/8*(BV25-SIN(BV25)))/($C25*BV25/2))^(2/3)*$D25^0.5/$E25)</f>
        <v>0.00178900463008356</v>
      </c>
      <c r="BX25" s="17" t="n">
        <f aca="false">BV25+IF(BW25&lt;$B25,1,-1)*설정!$B$10/2^36</f>
        <v>1.47906804167847</v>
      </c>
      <c r="BY25" s="17" t="n">
        <f aca="false">IF($D25&lt;=0,0,($C25^2/8*(BX25-SIN(BX25)))*(($C25^2/8*(BX25-SIN(BX25)))/($C25*BX25/2))^(2/3)*$D25^0.5/$E25)</f>
        <v>0.00178900462971513</v>
      </c>
      <c r="BZ25" s="17" t="n">
        <f aca="false">BX25+IF(BY25&lt;$B25,1,-1)*설정!$B$10/2^37</f>
        <v>1.47906804164008</v>
      </c>
      <c r="CA25" s="17" t="n">
        <f aca="false">IF($D25&lt;=0,0,($C25^2/8*(BZ25-SIN(BZ25)))*(($C25^2/8*(BZ25-SIN(BZ25)))/($C25*BZ25/2))^(2/3)*$D25^0.5/$E25)</f>
        <v>0.00178900462953091</v>
      </c>
      <c r="CB25" s="17" t="n">
        <f aca="false">BZ25+IF(CA25&lt;$B25,1,-1)*설정!$B$10/2^38</f>
        <v>1.47906804165927</v>
      </c>
      <c r="CC25" s="17" t="n">
        <f aca="false">IF($D25&lt;=0,0,($C25^2/8*(CB25-SIN(CB25)))*(($C25^2/8*(CB25-SIN(CB25)))/($C25*CB25/2))^(2/3)*$D25^0.5/$E25)</f>
        <v>0.00178900462962302</v>
      </c>
      <c r="CD25" s="17" t="n">
        <f aca="false">CB25+IF(CC25&lt;$B25,1,-1)*설정!$B$10/2^39</f>
        <v>1.47906804166887</v>
      </c>
      <c r="CE25" s="17" t="n">
        <f aca="false">IF($D25&lt;=0,0,($C25^2/8*(CD25-SIN(CD25)))*(($C25^2/8*(CD25-SIN(CD25)))/($C25*CD25/2))^(2/3)*$D25^0.5/$E25)</f>
        <v>0.00178900462966908</v>
      </c>
      <c r="CF25" s="17" t="n">
        <f aca="false">CD25+IF(CE25&lt;$B25,1,-1)*설정!$B$10/2^40</f>
        <v>1.47906804166407</v>
      </c>
      <c r="CG25" s="17" t="n">
        <f aca="false">IF($D25&lt;=0,0,($C25^2/8*(CF25-SIN(CF25)))*(($C25^2/8*(CF25-SIN(CF25)))/($C25*CF25/2))^(2/3)*$D25^0.5/$E25)</f>
        <v>0.00178900462964605</v>
      </c>
      <c r="CH25" s="17" t="n">
        <f aca="false">CF25+IF(CG25&lt;$B25,1,-1)*설정!$B$10/2^41</f>
        <v>1.47906804166167</v>
      </c>
    </row>
    <row r="26" customFormat="false" ht="15" hidden="false" customHeight="false" outlineLevel="0" collapsed="false">
      <c r="A26" s="14" t="str">
        <f aca="false">계산!A26</f>
        <v>BC-22</v>
      </c>
      <c r="B26" s="15" t="n">
        <f aca="false">계산!E26</f>
        <v>0.00178900462962963</v>
      </c>
      <c r="C26" s="14" t="n">
        <f aca="false">입력!E26/1000</f>
        <v>0.2</v>
      </c>
      <c r="D26" s="14" t="n">
        <f aca="false">(입력!F26-입력!G26)/입력!D26</f>
        <v>0.00666666666666667</v>
      </c>
      <c r="E26" s="14" t="n">
        <f aca="false">입력!J26</f>
        <v>0.011</v>
      </c>
      <c r="F26" s="16" t="n">
        <f aca="false">설정!$B$10/2</f>
        <v>2.6383016061374</v>
      </c>
      <c r="G26" s="17" t="n">
        <f aca="false">IF($D26&lt;=0,0,($C26^2/8*(F26-SIN(F26)))*(($C26^2/8*(F26-SIN(F26)))/($C26*F26/2))^(2/3)*$D26^0.5/$E26)</f>
        <v>0.00949234404295342</v>
      </c>
      <c r="H26" s="17" t="n">
        <f aca="false">F26+IF(G26&lt;$B26,1,-1)*설정!$B$10/2^2</f>
        <v>1.3191508030687</v>
      </c>
      <c r="I26" s="17" t="n">
        <f aca="false">IF($D26&lt;=0,0,($C26^2/8*(H26-SIN(H26)))*(($C26^2/8*(H26-SIN(H26)))/($C26*H26/2))^(2/3)*$D26^0.5/$E26)</f>
        <v>0.000730183249199432</v>
      </c>
      <c r="J26" s="17" t="n">
        <f aca="false">H26+IF(I26&lt;$B26,1,-1)*설정!$B$10/2^3</f>
        <v>1.97872620460305</v>
      </c>
      <c r="K26" s="17" t="n">
        <f aca="false">IF($D26&lt;=0,0,($C26^2/8*(J26-SIN(J26)))*(($C26^2/8*(J26-SIN(J26)))/($C26*J26/2))^(2/3)*$D26^0.5/$E26)</f>
        <v>0.00352612940512551</v>
      </c>
      <c r="L26" s="17" t="n">
        <f aca="false">J26+IF(K26&lt;$B26,1,-1)*설정!$B$10/2^4</f>
        <v>1.64893850383588</v>
      </c>
      <c r="M26" s="17" t="n">
        <f aca="false">IF($D26&lt;=0,0,($C26^2/8*(L26-SIN(L26)))*(($C26^2/8*(L26-SIN(L26)))/($C26*L26/2))^(2/3)*$D26^0.5/$E26)</f>
        <v>0.00176920028371623</v>
      </c>
      <c r="N26" s="17" t="n">
        <f aca="false">L26+IF(M26&lt;$B26,1,-1)*설정!$B$10/2^5</f>
        <v>1.81383235421946</v>
      </c>
      <c r="O26" s="17" t="n">
        <f aca="false">IF($D26&lt;=0,0,($C26^2/8*(N26-SIN(N26)))*(($C26^2/8*(N26-SIN(N26)))/($C26*N26/2))^(2/3)*$D26^0.5/$E26)</f>
        <v>0.00254887700773197</v>
      </c>
      <c r="P26" s="17" t="n">
        <f aca="false">N26+IF(O26&lt;$B26,1,-1)*설정!$B$10/2^6</f>
        <v>1.73138542902767</v>
      </c>
      <c r="Q26" s="17" t="n">
        <f aca="false">IF($D26&lt;=0,0,($C26^2/8*(P26-SIN(P26)))*(($C26^2/8*(P26-SIN(P26)))/($C26*P26/2))^(2/3)*$D26^0.5/$E26)</f>
        <v>0.00213525315029598</v>
      </c>
      <c r="R26" s="17" t="n">
        <f aca="false">P26+IF(Q26&lt;$B26,1,-1)*설정!$B$10/2^7</f>
        <v>1.69016196643177</v>
      </c>
      <c r="S26" s="17" t="n">
        <f aca="false">IF($D26&lt;=0,0,($C26^2/8*(R26-SIN(R26)))*(($C26^2/8*(R26-SIN(R26)))/($C26*R26/2))^(2/3)*$D26^0.5/$E26)</f>
        <v>0.0019464159509388</v>
      </c>
      <c r="T26" s="17" t="n">
        <f aca="false">R26+IF(S26&lt;$B26,1,-1)*설정!$B$10/2^8</f>
        <v>1.66955023513383</v>
      </c>
      <c r="U26" s="17" t="n">
        <f aca="false">IF($D26&lt;=0,0,($C26^2/8*(T26-SIN(T26)))*(($C26^2/8*(T26-SIN(T26)))/($C26*T26/2))^(2/3)*$D26^0.5/$E26)</f>
        <v>0.00185637361111706</v>
      </c>
      <c r="V26" s="17" t="n">
        <f aca="false">T26+IF(U26&lt;$B26,1,-1)*설정!$B$10/2^9</f>
        <v>1.65924436948485</v>
      </c>
      <c r="W26" s="17" t="n">
        <f aca="false">IF($D26&lt;=0,0,($C26^2/8*(V26-SIN(V26)))*(($C26^2/8*(V26-SIN(V26)))/($C26*V26/2))^(2/3)*$D26^0.5/$E26)</f>
        <v>0.00181243066716941</v>
      </c>
      <c r="X26" s="17" t="n">
        <f aca="false">V26+IF(W26&lt;$B26,1,-1)*설정!$B$10/2^10</f>
        <v>1.65409143666036</v>
      </c>
      <c r="Y26" s="17" t="n">
        <f aca="false">IF($D26&lt;=0,0,($C26^2/8*(X26-SIN(X26)))*(($C26^2/8*(X26-SIN(X26)))/($C26*X26/2))^(2/3)*$D26^0.5/$E26)</f>
        <v>0.00179072670311204</v>
      </c>
      <c r="Z26" s="17" t="n">
        <f aca="false">X26+IF(Y26&lt;$B26,1,-1)*설정!$B$10/2^11</f>
        <v>1.65151497024812</v>
      </c>
      <c r="AA26" s="17" t="n">
        <f aca="false">IF($D26&lt;=0,0,($C26^2/8*(Z26-SIN(Z26)))*(($C26^2/8*(Z26-SIN(Z26)))/($C26*Z26/2))^(2/3)*$D26^0.5/$E26)</f>
        <v>0.00177994133782143</v>
      </c>
      <c r="AB26" s="17" t="n">
        <f aca="false">Z26+IF(AA26&lt;$B26,1,-1)*설정!$B$10/2^12</f>
        <v>1.65280320345424</v>
      </c>
      <c r="AC26" s="17" t="n">
        <f aca="false">IF($D26&lt;=0,0,($C26^2/8*(AB26-SIN(AB26)))*(($C26^2/8*(AB26-SIN(AB26)))/($C26*AB26/2))^(2/3)*$D26^0.5/$E26)</f>
        <v>0.00178532847687017</v>
      </c>
      <c r="AD26" s="17" t="n">
        <f aca="false">AB26+IF(AC26&lt;$B26,1,-1)*설정!$B$10/2^13</f>
        <v>1.6534473200573</v>
      </c>
      <c r="AE26" s="17" t="n">
        <f aca="false">IF($D26&lt;=0,0,($C26^2/8*(AD26-SIN(AD26)))*(($C26^2/8*(AD26-SIN(AD26)))/($C26*AD26/2))^(2/3)*$D26^0.5/$E26)</f>
        <v>0.00178802620350573</v>
      </c>
      <c r="AF26" s="17" t="n">
        <f aca="false">AD26+IF(AE26&lt;$B26,1,-1)*설정!$B$10/2^14</f>
        <v>1.65376937835883</v>
      </c>
      <c r="AG26" s="17" t="n">
        <f aca="false">IF($D26&lt;=0,0,($C26^2/8*(AF26-SIN(AF26)))*(($C26^2/8*(AF26-SIN(AF26)))/($C26*AF26/2))^(2/3)*$D26^0.5/$E26)</f>
        <v>0.00178937610661432</v>
      </c>
      <c r="AH26" s="17" t="n">
        <f aca="false">AF26+IF(AG26&lt;$B26,1,-1)*설정!$B$10/2^15</f>
        <v>1.65360834920807</v>
      </c>
      <c r="AI26" s="17" t="n">
        <f aca="false">IF($D26&lt;=0,0,($C26^2/8*(AH26-SIN(AH26)))*(($C26^2/8*(AH26-SIN(AH26)))/($C26*AH26/2))^(2/3)*$D26^0.5/$E26)</f>
        <v>0.00178870106839553</v>
      </c>
      <c r="AJ26" s="17" t="n">
        <f aca="false">AH26+IF(AI26&lt;$B26,1,-1)*설정!$B$10/2^16</f>
        <v>1.65368886378345</v>
      </c>
      <c r="AK26" s="17" t="n">
        <f aca="false">IF($D26&lt;=0,0,($C26^2/8*(AJ26-SIN(AJ26)))*(($C26^2/8*(AJ26-SIN(AJ26)))/($C26*AJ26/2))^(2/3)*$D26^0.5/$E26)</f>
        <v>0.00178903856583766</v>
      </c>
      <c r="AL26" s="17" t="n">
        <f aca="false">AJ26+IF(AK26&lt;$B26,1,-1)*설정!$B$10/2^17</f>
        <v>1.65364860649576</v>
      </c>
      <c r="AM26" s="17" t="n">
        <f aca="false">IF($D26&lt;=0,0,($C26^2/8*(AL26-SIN(AL26)))*(($C26^2/8*(AL26-SIN(AL26)))/($C26*AL26/2))^(2/3)*$D26^0.5/$E26)</f>
        <v>0.00178886981169992</v>
      </c>
      <c r="AN26" s="17" t="n">
        <f aca="false">AL26+IF(AM26&lt;$B26,1,-1)*설정!$B$10/2^18</f>
        <v>1.65366873513961</v>
      </c>
      <c r="AO26" s="17" t="n">
        <f aca="false">IF($D26&lt;=0,0,($C26^2/8*(AN26-SIN(AN26)))*(($C26^2/8*(AN26-SIN(AN26)))/($C26*AN26/2))^(2/3)*$D26^0.5/$E26)</f>
        <v>0.00178895418741461</v>
      </c>
      <c r="AP26" s="17" t="n">
        <f aca="false">AN26+IF(AO26&lt;$B26,1,-1)*설정!$B$10/2^19</f>
        <v>1.65367879946153</v>
      </c>
      <c r="AQ26" s="17" t="n">
        <f aca="false">IF($D26&lt;=0,0,($C26^2/8*(AP26-SIN(AP26)))*(($C26^2/8*(AP26-SIN(AP26)))/($C26*AP26/2))^(2/3)*$D26^0.5/$E26)</f>
        <v>0.00178899637628758</v>
      </c>
      <c r="AR26" s="17" t="n">
        <f aca="false">AP26+IF(AQ26&lt;$B26,1,-1)*설정!$B$10/2^20</f>
        <v>1.65368383162249</v>
      </c>
      <c r="AS26" s="17" t="n">
        <f aca="false">IF($D26&lt;=0,0,($C26^2/8*(AR26-SIN(AR26)))*(($C26^2/8*(AR26-SIN(AR26)))/($C26*AR26/2))^(2/3)*$D26^0.5/$E26)</f>
        <v>0.00178901747097799</v>
      </c>
      <c r="AT26" s="17" t="n">
        <f aca="false">AR26+IF(AS26&lt;$B26,1,-1)*설정!$B$10/2^21</f>
        <v>1.65368131554201</v>
      </c>
      <c r="AU26" s="17" t="n">
        <f aca="false">IF($D26&lt;=0,0,($C26^2/8*(AT26-SIN(AT26)))*(($C26^2/8*(AT26-SIN(AT26)))/($C26*AT26/2))^(2/3)*$D26^0.5/$E26)</f>
        <v>0.00178900692361163</v>
      </c>
      <c r="AV26" s="17" t="n">
        <f aca="false">AT26+IF(AU26&lt;$B26,1,-1)*설정!$B$10/2^22</f>
        <v>1.65368005750177</v>
      </c>
      <c r="AW26" s="17" t="n">
        <f aca="false">IF($D26&lt;=0,0,($C26^2/8*(AV26-SIN(AV26)))*(($C26^2/8*(AV26-SIN(AV26)))/($C26*AV26/2))^(2/3)*$D26^0.5/$E26)</f>
        <v>0.00178900164994432</v>
      </c>
      <c r="AX26" s="17" t="n">
        <f aca="false">AV26+IF(AW26&lt;$B26,1,-1)*설정!$B$10/2^23</f>
        <v>1.65368068652189</v>
      </c>
      <c r="AY26" s="17" t="n">
        <f aca="false">IF($D26&lt;=0,0,($C26^2/8*(AX26-SIN(AX26)))*(($C26^2/8*(AX26-SIN(AX26)))/($C26*AX26/2))^(2/3)*$D26^0.5/$E26)</f>
        <v>0.00178900428677665</v>
      </c>
      <c r="AZ26" s="17" t="n">
        <f aca="false">AX26+IF(AY26&lt;$B26,1,-1)*설정!$B$10/2^24</f>
        <v>1.65368100103195</v>
      </c>
      <c r="BA26" s="17" t="n">
        <f aca="false">IF($D26&lt;=0,0,($C26^2/8*(AZ26-SIN(AZ26)))*(($C26^2/8*(AZ26-SIN(AZ26)))/($C26*AZ26/2))^(2/3)*$D26^0.5/$E26)</f>
        <v>0.00178900560519381</v>
      </c>
      <c r="BB26" s="17" t="n">
        <f aca="false">AZ26+IF(BA26&lt;$B26,1,-1)*설정!$B$10/2^25</f>
        <v>1.65368084377692</v>
      </c>
      <c r="BC26" s="17" t="n">
        <f aca="false">IF($D26&lt;=0,0,($C26^2/8*(BB26-SIN(BB26)))*(($C26^2/8*(BB26-SIN(BB26)))/($C26*BB26/2))^(2/3)*$D26^0.5/$E26)</f>
        <v>0.00178900494598514</v>
      </c>
      <c r="BD26" s="17" t="n">
        <f aca="false">BB26+IF(BC26&lt;$B26,1,-1)*설정!$B$10/2^26</f>
        <v>1.6536807651494</v>
      </c>
      <c r="BE26" s="17" t="n">
        <f aca="false">IF($D26&lt;=0,0,($C26^2/8*(BD26-SIN(BD26)))*(($C26^2/8*(BD26-SIN(BD26)))/($C26*BD26/2))^(2/3)*$D26^0.5/$E26)</f>
        <v>0.00178900461638088</v>
      </c>
      <c r="BF26" s="17" t="n">
        <f aca="false">BD26+IF(BE26&lt;$B26,1,-1)*설정!$B$10/2^27</f>
        <v>1.65368080446316</v>
      </c>
      <c r="BG26" s="17" t="n">
        <f aca="false">IF($D26&lt;=0,0,($C26^2/8*(BF26-SIN(BF26)))*(($C26^2/8*(BF26-SIN(BF26)))/($C26*BF26/2))^(2/3)*$D26^0.5/$E26)</f>
        <v>0.00178900478118301</v>
      </c>
      <c r="BH26" s="17" t="n">
        <f aca="false">BF26+IF(BG26&lt;$B26,1,-1)*설정!$B$10/2^28</f>
        <v>1.65368078480628</v>
      </c>
      <c r="BI26" s="17" t="n">
        <f aca="false">IF($D26&lt;=0,0,($C26^2/8*(BH26-SIN(BH26)))*(($C26^2/8*(BH26-SIN(BH26)))/($C26*BH26/2))^(2/3)*$D26^0.5/$E26)</f>
        <v>0.00178900469878194</v>
      </c>
      <c r="BJ26" s="17" t="n">
        <f aca="false">BH26+IF(BI26&lt;$B26,1,-1)*설정!$B$10/2^29</f>
        <v>1.65368077497784</v>
      </c>
      <c r="BK26" s="17" t="n">
        <f aca="false">IF($D26&lt;=0,0,($C26^2/8*(BJ26-SIN(BJ26)))*(($C26^2/8*(BJ26-SIN(BJ26)))/($C26*BJ26/2))^(2/3)*$D26^0.5/$E26)</f>
        <v>0.00178900465758141</v>
      </c>
      <c r="BL26" s="17" t="n">
        <f aca="false">BJ26+IF(BK26&lt;$B26,1,-1)*설정!$B$10/2^30</f>
        <v>1.65368077006362</v>
      </c>
      <c r="BM26" s="17" t="n">
        <f aca="false">IF($D26&lt;=0,0,($C26^2/8*(BL26-SIN(BL26)))*(($C26^2/8*(BL26-SIN(BL26)))/($C26*BL26/2))^(2/3)*$D26^0.5/$E26)</f>
        <v>0.00178900463698114</v>
      </c>
      <c r="BN26" s="17" t="n">
        <f aca="false">BL26+IF(BM26&lt;$B26,1,-1)*설정!$B$10/2^31</f>
        <v>1.65368076760651</v>
      </c>
      <c r="BO26" s="17" t="n">
        <f aca="false">IF($D26&lt;=0,0,($C26^2/8*(BN26-SIN(BN26)))*(($C26^2/8*(BN26-SIN(BN26)))/($C26*BN26/2))^(2/3)*$D26^0.5/$E26)</f>
        <v>0.00178900462668101</v>
      </c>
      <c r="BP26" s="17" t="n">
        <f aca="false">BN26+IF(BO26&lt;$B26,1,-1)*설정!$B$10/2^32</f>
        <v>1.65368076883507</v>
      </c>
      <c r="BQ26" s="17" t="n">
        <f aca="false">IF($D26&lt;=0,0,($C26^2/8*(BP26-SIN(BP26)))*(($C26^2/8*(BP26-SIN(BP26)))/($C26*BP26/2))^(2/3)*$D26^0.5/$E26)</f>
        <v>0.00178900463183107</v>
      </c>
      <c r="BR26" s="17" t="n">
        <f aca="false">BP26+IF(BQ26&lt;$B26,1,-1)*설정!$B$10/2^33</f>
        <v>1.65368076822079</v>
      </c>
      <c r="BS26" s="17" t="n">
        <f aca="false">IF($D26&lt;=0,0,($C26^2/8*(BR26-SIN(BR26)))*(($C26^2/8*(BR26-SIN(BR26)))/($C26*BR26/2))^(2/3)*$D26^0.5/$E26)</f>
        <v>0.00178900462925604</v>
      </c>
      <c r="BT26" s="17" t="n">
        <f aca="false">BR26+IF(BS26&lt;$B26,1,-1)*설정!$B$10/2^34</f>
        <v>1.65368076852793</v>
      </c>
      <c r="BU26" s="17" t="n">
        <f aca="false">IF($D26&lt;=0,0,($C26^2/8*(BT26-SIN(BT26)))*(($C26^2/8*(BT26-SIN(BT26)))/($C26*BT26/2))^(2/3)*$D26^0.5/$E26)</f>
        <v>0.00178900463054356</v>
      </c>
      <c r="BV26" s="17" t="n">
        <f aca="false">BT26+IF(BU26&lt;$B26,1,-1)*설정!$B$10/2^35</f>
        <v>1.65368076837436</v>
      </c>
      <c r="BW26" s="17" t="n">
        <f aca="false">IF($D26&lt;=0,0,($C26^2/8*(BV26-SIN(BV26)))*(($C26^2/8*(BV26-SIN(BV26)))/($C26*BV26/2))^(2/3)*$D26^0.5/$E26)</f>
        <v>0.0017890046298998</v>
      </c>
      <c r="BX26" s="17" t="n">
        <f aca="false">BV26+IF(BW26&lt;$B26,1,-1)*설정!$B$10/2^36</f>
        <v>1.65368076829758</v>
      </c>
      <c r="BY26" s="17" t="n">
        <f aca="false">IF($D26&lt;=0,0,($C26^2/8*(BX26-SIN(BX26)))*(($C26^2/8*(BX26-SIN(BX26)))/($C26*BX26/2))^(2/3)*$D26^0.5/$E26)</f>
        <v>0.00178900462957792</v>
      </c>
      <c r="BZ26" s="17" t="n">
        <f aca="false">BX26+IF(BY26&lt;$B26,1,-1)*설정!$B$10/2^37</f>
        <v>1.65368076833597</v>
      </c>
      <c r="CA26" s="17" t="n">
        <f aca="false">IF($D26&lt;=0,0,($C26^2/8*(BZ26-SIN(BZ26)))*(($C26^2/8*(BZ26-SIN(BZ26)))/($C26*BZ26/2))^(2/3)*$D26^0.5/$E26)</f>
        <v>0.00178900462973886</v>
      </c>
      <c r="CB26" s="17" t="n">
        <f aca="false">BZ26+IF(CA26&lt;$B26,1,-1)*설정!$B$10/2^38</f>
        <v>1.65368076831677</v>
      </c>
      <c r="CC26" s="17" t="n">
        <f aca="false">IF($D26&lt;=0,0,($C26^2/8*(CB26-SIN(CB26)))*(($C26^2/8*(CB26-SIN(CB26)))/($C26*CB26/2))^(2/3)*$D26^0.5/$E26)</f>
        <v>0.00178900462965839</v>
      </c>
      <c r="CD26" s="17" t="n">
        <f aca="false">CB26+IF(CC26&lt;$B26,1,-1)*설정!$B$10/2^39</f>
        <v>1.65368076830717</v>
      </c>
      <c r="CE26" s="17" t="n">
        <f aca="false">IF($D26&lt;=0,0,($C26^2/8*(CD26-SIN(CD26)))*(($C26^2/8*(CD26-SIN(CD26)))/($C26*CD26/2))^(2/3)*$D26^0.5/$E26)</f>
        <v>0.00178900462961816</v>
      </c>
      <c r="CF26" s="17" t="n">
        <f aca="false">CD26+IF(CE26&lt;$B26,1,-1)*설정!$B$10/2^40</f>
        <v>1.65368076831197</v>
      </c>
      <c r="CG26" s="17" t="n">
        <f aca="false">IF($D26&lt;=0,0,($C26^2/8*(CF26-SIN(CF26)))*(($C26^2/8*(CF26-SIN(CF26)))/($C26*CF26/2))^(2/3)*$D26^0.5/$E26)</f>
        <v>0.00178900462963827</v>
      </c>
      <c r="CH26" s="17" t="n">
        <f aca="false">CF26+IF(CG26&lt;$B26,1,-1)*설정!$B$10/2^41</f>
        <v>1.65368076830957</v>
      </c>
    </row>
    <row r="27" customFormat="false" ht="15" hidden="false" customHeight="false" outlineLevel="0" collapsed="false">
      <c r="A27" s="14" t="str">
        <f aca="false">계산!A27</f>
        <v>BC-23</v>
      </c>
      <c r="B27" s="15" t="n">
        <f aca="false">계산!E27</f>
        <v>0.00178900462962963</v>
      </c>
      <c r="C27" s="14" t="n">
        <f aca="false">입력!E27/1000</f>
        <v>0.2</v>
      </c>
      <c r="D27" s="14" t="n">
        <f aca="false">(입력!F27-입력!G27)/입력!D27</f>
        <v>0.0024</v>
      </c>
      <c r="E27" s="14" t="n">
        <f aca="false">입력!J27</f>
        <v>0.011</v>
      </c>
      <c r="F27" s="16" t="n">
        <f aca="false">설정!$B$10/2</f>
        <v>2.6383016061374</v>
      </c>
      <c r="G27" s="17" t="n">
        <f aca="false">IF($D27&lt;=0,0,($C27^2/8*(F27-SIN(F27)))*(($C27^2/8*(F27-SIN(F27)))/($C27*F27/2))^(2/3)*$D27^0.5/$E27)</f>
        <v>0.00569540642577205</v>
      </c>
      <c r="H27" s="17" t="n">
        <f aca="false">F27+IF(G27&lt;$B27,1,-1)*설정!$B$10/2^2</f>
        <v>1.3191508030687</v>
      </c>
      <c r="I27" s="17" t="n">
        <f aca="false">IF($D27&lt;=0,0,($C27^2/8*(H27-SIN(H27)))*(($C27^2/8*(H27-SIN(H27)))/($C27*H27/2))^(2/3)*$D27^0.5/$E27)</f>
        <v>0.000438109949519659</v>
      </c>
      <c r="J27" s="17" t="n">
        <f aca="false">H27+IF(I27&lt;$B27,1,-1)*설정!$B$10/2^3</f>
        <v>1.97872620460305</v>
      </c>
      <c r="K27" s="17" t="n">
        <f aca="false">IF($D27&lt;=0,0,($C27^2/8*(J27-SIN(J27)))*(($C27^2/8*(J27-SIN(J27)))/($C27*J27/2))^(2/3)*$D27^0.5/$E27)</f>
        <v>0.0021156776430753</v>
      </c>
      <c r="L27" s="17" t="n">
        <f aca="false">J27+IF(K27&lt;$B27,1,-1)*설정!$B$10/2^4</f>
        <v>1.64893850383588</v>
      </c>
      <c r="M27" s="17" t="n">
        <f aca="false">IF($D27&lt;=0,0,($C27^2/8*(L27-SIN(L27)))*(($C27^2/8*(L27-SIN(L27)))/($C27*L27/2))^(2/3)*$D27^0.5/$E27)</f>
        <v>0.00106152017022974</v>
      </c>
      <c r="N27" s="17" t="n">
        <f aca="false">L27+IF(M27&lt;$B27,1,-1)*설정!$B$10/2^5</f>
        <v>1.81383235421946</v>
      </c>
      <c r="O27" s="17" t="n">
        <f aca="false">IF($D27&lt;=0,0,($C27^2/8*(N27-SIN(N27)))*(($C27^2/8*(N27-SIN(N27)))/($C27*N27/2))^(2/3)*$D27^0.5/$E27)</f>
        <v>0.00152932620463918</v>
      </c>
      <c r="P27" s="17" t="n">
        <f aca="false">N27+IF(O27&lt;$B27,1,-1)*설정!$B$10/2^6</f>
        <v>1.89627927941126</v>
      </c>
      <c r="Q27" s="17" t="n">
        <f aca="false">IF($D27&lt;=0,0,($C27^2/8*(P27-SIN(P27)))*(($C27^2/8*(P27-SIN(P27)))/($C27*P27/2))^(2/3)*$D27^0.5/$E27)</f>
        <v>0.00180719966908648</v>
      </c>
      <c r="R27" s="17" t="n">
        <f aca="false">P27+IF(Q27&lt;$B27,1,-1)*설정!$B$10/2^7</f>
        <v>1.85505581681536</v>
      </c>
      <c r="S27" s="17" t="n">
        <f aca="false">IF($D27&lt;=0,0,($C27^2/8*(R27-SIN(R27)))*(($C27^2/8*(R27-SIN(R27)))/($C27*R27/2))^(2/3)*$D27^0.5/$E27)</f>
        <v>0.00166448776923851</v>
      </c>
      <c r="T27" s="17" t="n">
        <f aca="false">R27+IF(S27&lt;$B27,1,-1)*설정!$B$10/2^8</f>
        <v>1.87566754811331</v>
      </c>
      <c r="U27" s="17" t="n">
        <f aca="false">IF($D27&lt;=0,0,($C27^2/8*(T27-SIN(T27)))*(($C27^2/8*(T27-SIN(T27)))/($C27*T27/2))^(2/3)*$D27^0.5/$E27)</f>
        <v>0.00173489296238454</v>
      </c>
      <c r="V27" s="17" t="n">
        <f aca="false">T27+IF(U27&lt;$B27,1,-1)*설정!$B$10/2^9</f>
        <v>1.88597341376228</v>
      </c>
      <c r="W27" s="17" t="n">
        <f aca="false">IF($D27&lt;=0,0,($C27^2/8*(V27-SIN(V27)))*(($C27^2/8*(V27-SIN(V27)))/($C27*V27/2))^(2/3)*$D27^0.5/$E27)</f>
        <v>0.00177080781304026</v>
      </c>
      <c r="X27" s="17" t="n">
        <f aca="false">V27+IF(W27&lt;$B27,1,-1)*설정!$B$10/2^10</f>
        <v>1.89112634658677</v>
      </c>
      <c r="Y27" s="17" t="n">
        <f aca="false">IF($D27&lt;=0,0,($C27^2/8*(X27-SIN(X27)))*(($C27^2/8*(X27-SIN(X27)))/($C27*X27/2))^(2/3)*$D27^0.5/$E27)</f>
        <v>0.0017889440173307</v>
      </c>
      <c r="Z27" s="17" t="n">
        <f aca="false">X27+IF(Y27&lt;$B27,1,-1)*설정!$B$10/2^11</f>
        <v>1.89370281299901</v>
      </c>
      <c r="AA27" s="17" t="n">
        <f aca="false">IF($D27&lt;=0,0,($C27^2/8*(Z27-SIN(Z27)))*(($C27^2/8*(Z27-SIN(Z27)))/($C27*Z27/2))^(2/3)*$D27^0.5/$E27)</f>
        <v>0.00179805690024667</v>
      </c>
      <c r="AB27" s="17" t="n">
        <f aca="false">Z27+IF(AA27&lt;$B27,1,-1)*설정!$B$10/2^12</f>
        <v>1.89241457979289</v>
      </c>
      <c r="AC27" s="17" t="n">
        <f aca="false">IF($D27&lt;=0,0,($C27^2/8*(AB27-SIN(AB27)))*(($C27^2/8*(AB27-SIN(AB27)))/($C27*AB27/2))^(2/3)*$D27^0.5/$E27)</f>
        <v>0.00179349672454156</v>
      </c>
      <c r="AD27" s="17" t="n">
        <f aca="false">AB27+IF(AC27&lt;$B27,1,-1)*설정!$B$10/2^13</f>
        <v>1.89177046318983</v>
      </c>
      <c r="AE27" s="17" t="n">
        <f aca="false">IF($D27&lt;=0,0,($C27^2/8*(AD27-SIN(AD27)))*(($C27^2/8*(AD27-SIN(AD27)))/($C27*AD27/2))^(2/3)*$D27^0.5/$E27)</f>
        <v>0.00179121943756191</v>
      </c>
      <c r="AF27" s="17" t="n">
        <f aca="false">AD27+IF(AE27&lt;$B27,1,-1)*설정!$B$10/2^14</f>
        <v>1.8914484048883</v>
      </c>
      <c r="AG27" s="17" t="n">
        <f aca="false">IF($D27&lt;=0,0,($C27^2/8*(AF27-SIN(AF27)))*(($C27^2/8*(AF27-SIN(AF27)))/($C27*AF27/2))^(2/3)*$D27^0.5/$E27)</f>
        <v>0.00179008149412625</v>
      </c>
      <c r="AH27" s="17" t="n">
        <f aca="false">AF27+IF(AG27&lt;$B27,1,-1)*설정!$B$10/2^15</f>
        <v>1.89128737573754</v>
      </c>
      <c r="AI27" s="17" t="n">
        <f aca="false">IF($D27&lt;=0,0,($C27^2/8*(AH27-SIN(AH27)))*(($C27^2/8*(AH27-SIN(AH27)))/($C27*AH27/2))^(2/3)*$D27^0.5/$E27)</f>
        <v>0.0017895126974014</v>
      </c>
      <c r="AJ27" s="17" t="n">
        <f aca="false">AH27+IF(AI27&lt;$B27,1,-1)*설정!$B$10/2^16</f>
        <v>1.89120686116215</v>
      </c>
      <c r="AK27" s="17" t="n">
        <f aca="false">IF($D27&lt;=0,0,($C27^2/8*(AJ27-SIN(AJ27)))*(($C27^2/8*(AJ27-SIN(AJ27)))/($C27*AJ27/2))^(2/3)*$D27^0.5/$E27)</f>
        <v>0.00178922834278465</v>
      </c>
      <c r="AL27" s="17" t="n">
        <f aca="false">AJ27+IF(AK27&lt;$B27,1,-1)*설정!$B$10/2^17</f>
        <v>1.89116660387446</v>
      </c>
      <c r="AM27" s="17" t="n">
        <f aca="false">IF($D27&lt;=0,0,($C27^2/8*(AL27-SIN(AL27)))*(($C27^2/8*(AL27-SIN(AL27)))/($C27*AL27/2))^(2/3)*$D27^0.5/$E27)</f>
        <v>0.00178908617641237</v>
      </c>
      <c r="AN27" s="17" t="n">
        <f aca="false">AL27+IF(AM27&lt;$B27,1,-1)*설정!$B$10/2^18</f>
        <v>1.89114647523062</v>
      </c>
      <c r="AO27" s="17" t="n">
        <f aca="false">IF($D27&lt;=0,0,($C27^2/8*(AN27-SIN(AN27)))*(($C27^2/8*(AN27-SIN(AN27)))/($C27*AN27/2))^(2/3)*$D27^0.5/$E27)</f>
        <v>0.00178901509596021</v>
      </c>
      <c r="AP27" s="17" t="n">
        <f aca="false">AN27+IF(AO27&lt;$B27,1,-1)*설정!$B$10/2^19</f>
        <v>1.89113641090869</v>
      </c>
      <c r="AQ27" s="17" t="n">
        <f aca="false">IF($D27&lt;=0,0,($C27^2/8*(AP27-SIN(AP27)))*(($C27^2/8*(AP27-SIN(AP27)))/($C27*AP27/2))^(2/3)*$D27^0.5/$E27)</f>
        <v>0.00178897955641763</v>
      </c>
      <c r="AR27" s="17" t="n">
        <f aca="false">AP27+IF(AQ27&lt;$B27,1,-1)*설정!$B$10/2^20</f>
        <v>1.89114144306966</v>
      </c>
      <c r="AS27" s="17" t="n">
        <f aca="false">IF($D27&lt;=0,0,($C27^2/8*(AR27-SIN(AR27)))*(($C27^2/8*(AR27-SIN(AR27)))/($C27*AR27/2))^(2/3)*$D27^0.5/$E27)</f>
        <v>0.00178899732613196</v>
      </c>
      <c r="AT27" s="17" t="n">
        <f aca="false">AR27+IF(AS27&lt;$B27,1,-1)*설정!$B$10/2^21</f>
        <v>1.89114395915014</v>
      </c>
      <c r="AU27" s="17" t="n">
        <f aca="false">IF($D27&lt;=0,0,($C27^2/8*(AT27-SIN(AT27)))*(($C27^2/8*(AT27-SIN(AT27)))/($C27*AT27/2))^(2/3)*$D27^0.5/$E27)</f>
        <v>0.00178900621103185</v>
      </c>
      <c r="AV27" s="17" t="n">
        <f aca="false">AT27+IF(AU27&lt;$B27,1,-1)*설정!$B$10/2^22</f>
        <v>1.8911427011099</v>
      </c>
      <c r="AW27" s="17" t="n">
        <f aca="false">IF($D27&lt;=0,0,($C27^2/8*(AV27-SIN(AV27)))*(($C27^2/8*(AV27-SIN(AV27)))/($C27*AV27/2))^(2/3)*$D27^0.5/$E27)</f>
        <v>0.00178900176857835</v>
      </c>
      <c r="AX27" s="17" t="n">
        <f aca="false">AV27+IF(AW27&lt;$B27,1,-1)*설정!$B$10/2^23</f>
        <v>1.89114333013002</v>
      </c>
      <c r="AY27" s="17" t="n">
        <f aca="false">IF($D27&lt;=0,0,($C27^2/8*(AX27-SIN(AX27)))*(($C27^2/8*(AX27-SIN(AX27)))/($C27*AX27/2))^(2/3)*$D27^0.5/$E27)</f>
        <v>0.00178900398980421</v>
      </c>
      <c r="AZ27" s="17" t="n">
        <f aca="false">AX27+IF(AY27&lt;$B27,1,-1)*설정!$B$10/2^24</f>
        <v>1.89114364464008</v>
      </c>
      <c r="BA27" s="17" t="n">
        <f aca="false">IF($D27&lt;=0,0,($C27^2/8*(AZ27-SIN(AZ27)))*(($C27^2/8*(AZ27-SIN(AZ27)))/($C27*AZ27/2))^(2/3)*$D27^0.5/$E27)</f>
        <v>0.00178900510041781</v>
      </c>
      <c r="BB27" s="17" t="n">
        <f aca="false">AZ27+IF(BA27&lt;$B27,1,-1)*설정!$B$10/2^25</f>
        <v>1.89114348738505</v>
      </c>
      <c r="BC27" s="17" t="n">
        <f aca="false">IF($D27&lt;=0,0,($C27^2/8*(BB27-SIN(BB27)))*(($C27^2/8*(BB27-SIN(BB27)))/($C27*BB27/2))^(2/3)*$D27^0.5/$E27)</f>
        <v>0.00178900454511095</v>
      </c>
      <c r="BD27" s="17" t="n">
        <f aca="false">BB27+IF(BC27&lt;$B27,1,-1)*설정!$B$10/2^26</f>
        <v>1.89114356601256</v>
      </c>
      <c r="BE27" s="17" t="n">
        <f aca="false">IF($D27&lt;=0,0,($C27^2/8*(BD27-SIN(BD27)))*(($C27^2/8*(BD27-SIN(BD27)))/($C27*BD27/2))^(2/3)*$D27^0.5/$E27)</f>
        <v>0.00178900482276436</v>
      </c>
      <c r="BF27" s="17" t="n">
        <f aca="false">BD27+IF(BE27&lt;$B27,1,-1)*설정!$B$10/2^27</f>
        <v>1.8911435266988</v>
      </c>
      <c r="BG27" s="17" t="n">
        <f aca="false">IF($D27&lt;=0,0,($C27^2/8*(BF27-SIN(BF27)))*(($C27^2/8*(BF27-SIN(BF27)))/($C27*BF27/2))^(2/3)*$D27^0.5/$E27)</f>
        <v>0.00178900468393765</v>
      </c>
      <c r="BH27" s="17" t="n">
        <f aca="false">BF27+IF(BG27&lt;$B27,1,-1)*설정!$B$10/2^28</f>
        <v>1.89114350704192</v>
      </c>
      <c r="BI27" s="17" t="n">
        <f aca="false">IF($D27&lt;=0,0,($C27^2/8*(BH27-SIN(BH27)))*(($C27^2/8*(BH27-SIN(BH27)))/($C27*BH27/2))^(2/3)*$D27^0.5/$E27)</f>
        <v>0.0017890046145243</v>
      </c>
      <c r="BJ27" s="17" t="n">
        <f aca="false">BH27+IF(BI27&lt;$B27,1,-1)*설정!$B$10/2^29</f>
        <v>1.89114351687036</v>
      </c>
      <c r="BK27" s="17" t="n">
        <f aca="false">IF($D27&lt;=0,0,($C27^2/8*(BJ27-SIN(BJ27)))*(($C27^2/8*(BJ27-SIN(BJ27)))/($C27*BJ27/2))^(2/3)*$D27^0.5/$E27)</f>
        <v>0.00178900464923098</v>
      </c>
      <c r="BL27" s="17" t="n">
        <f aca="false">BJ27+IF(BK27&lt;$B27,1,-1)*설정!$B$10/2^30</f>
        <v>1.89114351195614</v>
      </c>
      <c r="BM27" s="17" t="n">
        <f aca="false">IF($D27&lt;=0,0,($C27^2/8*(BL27-SIN(BL27)))*(($C27^2/8*(BL27-SIN(BL27)))/($C27*BL27/2))^(2/3)*$D27^0.5/$E27)</f>
        <v>0.00178900463187764</v>
      </c>
      <c r="BN27" s="17" t="n">
        <f aca="false">BL27+IF(BM27&lt;$B27,1,-1)*설정!$B$10/2^31</f>
        <v>1.89114350949903</v>
      </c>
      <c r="BO27" s="17" t="n">
        <f aca="false">IF($D27&lt;=0,0,($C27^2/8*(BN27-SIN(BN27)))*(($C27^2/8*(BN27-SIN(BN27)))/($C27*BN27/2))^(2/3)*$D27^0.5/$E27)</f>
        <v>0.00178900462320097</v>
      </c>
      <c r="BP27" s="17" t="n">
        <f aca="false">BN27+IF(BO27&lt;$B27,1,-1)*설정!$B$10/2^32</f>
        <v>1.89114351072759</v>
      </c>
      <c r="BQ27" s="17" t="n">
        <f aca="false">IF($D27&lt;=0,0,($C27^2/8*(BP27-SIN(BP27)))*(($C27^2/8*(BP27-SIN(BP27)))/($C27*BP27/2))^(2/3)*$D27^0.5/$E27)</f>
        <v>0.0017890046275393</v>
      </c>
      <c r="BR27" s="17" t="n">
        <f aca="false">BP27+IF(BQ27&lt;$B27,1,-1)*설정!$B$10/2^33</f>
        <v>1.89114351134187</v>
      </c>
      <c r="BS27" s="17" t="n">
        <f aca="false">IF($D27&lt;=0,0,($C27^2/8*(BR27-SIN(BR27)))*(($C27^2/8*(BR27-SIN(BR27)))/($C27*BR27/2))^(2/3)*$D27^0.5/$E27)</f>
        <v>0.00178900462970847</v>
      </c>
      <c r="BT27" s="17" t="n">
        <f aca="false">BR27+IF(BS27&lt;$B27,1,-1)*설정!$B$10/2^34</f>
        <v>1.89114351103473</v>
      </c>
      <c r="BU27" s="17" t="n">
        <f aca="false">IF($D27&lt;=0,0,($C27^2/8*(BT27-SIN(BT27)))*(($C27^2/8*(BT27-SIN(BT27)))/($C27*BT27/2))^(2/3)*$D27^0.5/$E27)</f>
        <v>0.00178900462862389</v>
      </c>
      <c r="BV27" s="17" t="n">
        <f aca="false">BT27+IF(BU27&lt;$B27,1,-1)*설정!$B$10/2^35</f>
        <v>1.8911435111883</v>
      </c>
      <c r="BW27" s="17" t="n">
        <f aca="false">IF($D27&lt;=0,0,($C27^2/8*(BV27-SIN(BV27)))*(($C27^2/8*(BV27-SIN(BV27)))/($C27*BV27/2))^(2/3)*$D27^0.5/$E27)</f>
        <v>0.00178900462916618</v>
      </c>
      <c r="BX27" s="17" t="n">
        <f aca="false">BV27+IF(BW27&lt;$B27,1,-1)*설정!$B$10/2^36</f>
        <v>1.89114351126508</v>
      </c>
      <c r="BY27" s="17" t="n">
        <f aca="false">IF($D27&lt;=0,0,($C27^2/8*(BX27-SIN(BX27)))*(($C27^2/8*(BX27-SIN(BX27)))/($C27*BX27/2))^(2/3)*$D27^0.5/$E27)</f>
        <v>0.00178900462943732</v>
      </c>
      <c r="BZ27" s="17" t="n">
        <f aca="false">BX27+IF(BY27&lt;$B27,1,-1)*설정!$B$10/2^37</f>
        <v>1.89114351130347</v>
      </c>
      <c r="CA27" s="17" t="n">
        <f aca="false">IF($D27&lt;=0,0,($C27^2/8*(BZ27-SIN(BZ27)))*(($C27^2/8*(BZ27-SIN(BZ27)))/($C27*BZ27/2))^(2/3)*$D27^0.5/$E27)</f>
        <v>0.0017890046295729</v>
      </c>
      <c r="CB27" s="17" t="n">
        <f aca="false">BZ27+IF(CA27&lt;$B27,1,-1)*설정!$B$10/2^38</f>
        <v>1.89114351132267</v>
      </c>
      <c r="CC27" s="17" t="n">
        <f aca="false">IF($D27&lt;=0,0,($C27^2/8*(CB27-SIN(CB27)))*(($C27^2/8*(CB27-SIN(CB27)))/($C27*CB27/2))^(2/3)*$D27^0.5/$E27)</f>
        <v>0.00178900462964068</v>
      </c>
      <c r="CD27" s="17" t="n">
        <f aca="false">CB27+IF(CC27&lt;$B27,1,-1)*설정!$B$10/2^39</f>
        <v>1.89114351131307</v>
      </c>
      <c r="CE27" s="17" t="n">
        <f aca="false">IF($D27&lt;=0,0,($C27^2/8*(CD27-SIN(CD27)))*(($C27^2/8*(CD27-SIN(CD27)))/($C27*CD27/2))^(2/3)*$D27^0.5/$E27)</f>
        <v>0.00178900462960679</v>
      </c>
      <c r="CF27" s="17" t="n">
        <f aca="false">CD27+IF(CE27&lt;$B27,1,-1)*설정!$B$10/2^40</f>
        <v>1.89114351131787</v>
      </c>
      <c r="CG27" s="17" t="n">
        <f aca="false">IF($D27&lt;=0,0,($C27^2/8*(CF27-SIN(CF27)))*(($C27^2/8*(CF27-SIN(CF27)))/($C27*CF27/2))^(2/3)*$D27^0.5/$E27)</f>
        <v>0.00178900462962374</v>
      </c>
      <c r="CH27" s="17" t="n">
        <f aca="false">CF27+IF(CG27&lt;$B27,1,-1)*설정!$B$10/2^41</f>
        <v>1.89114351132027</v>
      </c>
    </row>
    <row r="28" customFormat="false" ht="15" hidden="false" customHeight="false" outlineLevel="0" collapsed="false">
      <c r="A28" s="14" t="str">
        <f aca="false">계산!A28</f>
        <v>BC-24</v>
      </c>
      <c r="B28" s="15" t="n">
        <f aca="false">계산!E28</f>
        <v>0.00178900462962963</v>
      </c>
      <c r="C28" s="14" t="n">
        <f aca="false">입력!E28/1000</f>
        <v>0.2</v>
      </c>
      <c r="D28" s="14" t="n">
        <f aca="false">(입력!F28-입력!G28)/입력!D28</f>
        <v>0.0108</v>
      </c>
      <c r="E28" s="14" t="n">
        <f aca="false">입력!J28</f>
        <v>0.011</v>
      </c>
      <c r="F28" s="16" t="n">
        <f aca="false">설정!$B$10/2</f>
        <v>2.6383016061374</v>
      </c>
      <c r="G28" s="17" t="n">
        <f aca="false">IF($D28&lt;=0,0,($C28^2/8*(F28-SIN(F28)))*(($C28^2/8*(F28-SIN(F28)))/($C28*F28/2))^(2/3)*$D28^0.5/$E28)</f>
        <v>0.0120817815158306</v>
      </c>
      <c r="H28" s="17" t="n">
        <f aca="false">F28+IF(G28&lt;$B28,1,-1)*설정!$B$10/2^2</f>
        <v>1.3191508030687</v>
      </c>
      <c r="I28" s="17" t="n">
        <f aca="false">IF($D28&lt;=0,0,($C28^2/8*(H28-SIN(H28)))*(($C28^2/8*(H28-SIN(H28)))/($C28*H28/2))^(2/3)*$D28^0.5/$E28)</f>
        <v>0.00092937154863194</v>
      </c>
      <c r="J28" s="17" t="n">
        <f aca="false">H28+IF(I28&lt;$B28,1,-1)*설정!$B$10/2^3</f>
        <v>1.97872620460305</v>
      </c>
      <c r="K28" s="17" t="n">
        <f aca="false">IF($D28&lt;=0,0,($C28^2/8*(J28-SIN(J28)))*(($C28^2/8*(J28-SIN(J28)))/($C28*J28/2))^(2/3)*$D28^0.5/$E28)</f>
        <v>0.00448803002466996</v>
      </c>
      <c r="L28" s="17" t="n">
        <f aca="false">J28+IF(K28&lt;$B28,1,-1)*설정!$B$10/2^4</f>
        <v>1.64893850383588</v>
      </c>
      <c r="M28" s="17" t="n">
        <f aca="false">IF($D28&lt;=0,0,($C28^2/8*(L28-SIN(L28)))*(($C28^2/8*(L28-SIN(L28)))/($C28*L28/2))^(2/3)*$D28^0.5/$E28)</f>
        <v>0.00225182433220724</v>
      </c>
      <c r="N28" s="17" t="n">
        <f aca="false">L28+IF(M28&lt;$B28,1,-1)*설정!$B$10/2^5</f>
        <v>1.48404465345229</v>
      </c>
      <c r="O28" s="17" t="n">
        <f aca="false">IF($D28&lt;=0,0,($C28^2/8*(N28-SIN(N28)))*(($C28^2/8*(N28-SIN(N28)))/($C28*N28/2))^(2/3)*$D28^0.5/$E28)</f>
        <v>0.00148952784800908</v>
      </c>
      <c r="P28" s="17" t="n">
        <f aca="false">N28+IF(O28&lt;$B28,1,-1)*설정!$B$10/2^6</f>
        <v>1.56649157864408</v>
      </c>
      <c r="Q28" s="17" t="n">
        <f aca="false">IF($D28&lt;=0,0,($C28^2/8*(P28-SIN(P28)))*(($C28^2/8*(P28-SIN(P28)))/($C28*P28/2))^(2/3)*$D28^0.5/$E28)</f>
        <v>0.00184353516300714</v>
      </c>
      <c r="R28" s="17" t="n">
        <f aca="false">P28+IF(Q28&lt;$B28,1,-1)*설정!$B$10/2^7</f>
        <v>1.52526811604819</v>
      </c>
      <c r="S28" s="17" t="n">
        <f aca="false">IF($D28&lt;=0,0,($C28^2/8*(R28-SIN(R28)))*(($C28^2/8*(R28-SIN(R28)))/($C28*R28/2))^(2/3)*$D28^0.5/$E28)</f>
        <v>0.0016599690815296</v>
      </c>
      <c r="T28" s="17" t="n">
        <f aca="false">R28+IF(S28&lt;$B28,1,-1)*설정!$B$10/2^8</f>
        <v>1.54587984734613</v>
      </c>
      <c r="U28" s="17" t="n">
        <f aca="false">IF($D28&lt;=0,0,($C28^2/8*(T28-SIN(T28)))*(($C28^2/8*(T28-SIN(T28)))/($C28*T28/2))^(2/3)*$D28^0.5/$E28)</f>
        <v>0.00175008285687761</v>
      </c>
      <c r="V28" s="17" t="n">
        <f aca="false">T28+IF(U28&lt;$B28,1,-1)*설정!$B$10/2^9</f>
        <v>1.55618571299511</v>
      </c>
      <c r="W28" s="17" t="n">
        <f aca="false">IF($D28&lt;=0,0,($C28^2/8*(V28-SIN(V28)))*(($C28^2/8*(V28-SIN(V28)))/($C28*V28/2))^(2/3)*$D28^0.5/$E28)</f>
        <v>0.00179638817846701</v>
      </c>
      <c r="X28" s="17" t="n">
        <f aca="false">V28+IF(W28&lt;$B28,1,-1)*설정!$B$10/2^10</f>
        <v>1.55103278017062</v>
      </c>
      <c r="Y28" s="17" t="n">
        <f aca="false">IF($D28&lt;=0,0,($C28^2/8*(X28-SIN(X28)))*(($C28^2/8*(X28-SIN(X28)))/($C28*X28/2))^(2/3)*$D28^0.5/$E28)</f>
        <v>0.00177313074607816</v>
      </c>
      <c r="Z28" s="17" t="n">
        <f aca="false">X28+IF(Y28&lt;$B28,1,-1)*설정!$B$10/2^11</f>
        <v>1.55360924658287</v>
      </c>
      <c r="AA28" s="17" t="n">
        <f aca="false">IF($D28&lt;=0,0,($C28^2/8*(Z28-SIN(Z28)))*(($C28^2/8*(Z28-SIN(Z28)))/($C28*Z28/2))^(2/3)*$D28^0.5/$E28)</f>
        <v>0.00178473321464201</v>
      </c>
      <c r="AB28" s="17" t="n">
        <f aca="false">Z28+IF(AA28&lt;$B28,1,-1)*설정!$B$10/2^12</f>
        <v>1.55489747978899</v>
      </c>
      <c r="AC28" s="17" t="n">
        <f aca="false">IF($D28&lt;=0,0,($C28^2/8*(AB28-SIN(AB28)))*(($C28^2/8*(AB28-SIN(AB28)))/($C28*AB28/2))^(2/3)*$D28^0.5/$E28)</f>
        <v>0.00179055412782255</v>
      </c>
      <c r="AD28" s="17" t="n">
        <f aca="false">AB28+IF(AC28&lt;$B28,1,-1)*설정!$B$10/2^13</f>
        <v>1.55425336318593</v>
      </c>
      <c r="AE28" s="17" t="n">
        <f aca="false">IF($D28&lt;=0,0,($C28^2/8*(AD28-SIN(AD28)))*(($C28^2/8*(AD28-SIN(AD28)))/($C28*AD28/2))^(2/3)*$D28^0.5/$E28)</f>
        <v>0.00178764202990156</v>
      </c>
      <c r="AF28" s="17" t="n">
        <f aca="false">AD28+IF(AE28&lt;$B28,1,-1)*설정!$B$10/2^14</f>
        <v>1.55457542148746</v>
      </c>
      <c r="AG28" s="17" t="n">
        <f aca="false">IF($D28&lt;=0,0,($C28^2/8*(AF28-SIN(AF28)))*(($C28^2/8*(AF28-SIN(AF28)))/($C28*AF28/2))^(2/3)*$D28^0.5/$E28)</f>
        <v>0.00178909766842279</v>
      </c>
      <c r="AH28" s="17" t="n">
        <f aca="false">AF28+IF(AG28&lt;$B28,1,-1)*설정!$B$10/2^15</f>
        <v>1.55441439233669</v>
      </c>
      <c r="AI28" s="17" t="n">
        <f aca="false">IF($D28&lt;=0,0,($C28^2/8*(AH28-SIN(AH28)))*(($C28^2/8*(AH28-SIN(AH28)))/($C28*AH28/2))^(2/3)*$D28^0.5/$E28)</f>
        <v>0.00178836974656568</v>
      </c>
      <c r="AJ28" s="17" t="n">
        <f aca="false">AH28+IF(AI28&lt;$B28,1,-1)*설정!$B$10/2^16</f>
        <v>1.55449490691207</v>
      </c>
      <c r="AK28" s="17" t="n">
        <f aca="false">IF($D28&lt;=0,0,($C28^2/8*(AJ28-SIN(AJ28)))*(($C28^2/8*(AJ28-SIN(AJ28)))/($C28*AJ28/2))^(2/3)*$D28^0.5/$E28)</f>
        <v>0.00178873368184345</v>
      </c>
      <c r="AL28" s="17" t="n">
        <f aca="false">AJ28+IF(AK28&lt;$B28,1,-1)*설정!$B$10/2^17</f>
        <v>1.55453516419977</v>
      </c>
      <c r="AM28" s="17" t="n">
        <f aca="false">IF($D28&lt;=0,0,($C28^2/8*(AL28-SIN(AL28)))*(($C28^2/8*(AL28-SIN(AL28)))/($C28*AL28/2))^(2/3)*$D28^0.5/$E28)</f>
        <v>0.00178891566872022</v>
      </c>
      <c r="AN28" s="17" t="n">
        <f aca="false">AL28+IF(AM28&lt;$B28,1,-1)*설정!$B$10/2^18</f>
        <v>1.55455529284361</v>
      </c>
      <c r="AO28" s="17" t="n">
        <f aca="false">IF($D28&lt;=0,0,($C28^2/8*(AN28-SIN(AN28)))*(($C28^2/8*(AN28-SIN(AN28)))/($C28*AN28/2))^(2/3)*$D28^0.5/$E28)</f>
        <v>0.00178900666696825</v>
      </c>
      <c r="AP28" s="17" t="n">
        <f aca="false">AN28+IF(AO28&lt;$B28,1,-1)*설정!$B$10/2^19</f>
        <v>1.55454522852169</v>
      </c>
      <c r="AQ28" s="17" t="n">
        <f aca="false">IF($D28&lt;=0,0,($C28^2/8*(AP28-SIN(AP28)))*(($C28^2/8*(AP28-SIN(AP28)))/($C28*AP28/2))^(2/3)*$D28^0.5/$E28)</f>
        <v>0.00178896116744342</v>
      </c>
      <c r="AR28" s="17" t="n">
        <f aca="false">AP28+IF(AQ28&lt;$B28,1,-1)*설정!$B$10/2^20</f>
        <v>1.55455026068265</v>
      </c>
      <c r="AS28" s="17" t="n">
        <f aca="false">IF($D28&lt;=0,0,($C28^2/8*(AR28-SIN(AR28)))*(($C28^2/8*(AR28-SIN(AR28)))/($C28*AR28/2))^(2/3)*$D28^0.5/$E28)</f>
        <v>0.00178898391710564</v>
      </c>
      <c r="AT28" s="17" t="n">
        <f aca="false">AR28+IF(AS28&lt;$B28,1,-1)*설정!$B$10/2^21</f>
        <v>1.55455277676313</v>
      </c>
      <c r="AU28" s="17" t="n">
        <f aca="false">IF($D28&lt;=0,0,($C28^2/8*(AT28-SIN(AT28)))*(($C28^2/8*(AT28-SIN(AT28)))/($C28*AT28/2))^(2/3)*$D28^0.5/$E28)</f>
        <v>0.00178899529201189</v>
      </c>
      <c r="AV28" s="17" t="n">
        <f aca="false">AT28+IF(AU28&lt;$B28,1,-1)*설정!$B$10/2^22</f>
        <v>1.55455403480337</v>
      </c>
      <c r="AW28" s="17" t="n">
        <f aca="false">IF($D28&lt;=0,0,($C28^2/8*(AV28-SIN(AV28)))*(($C28^2/8*(AV28-SIN(AV28)))/($C28*AV28/2))^(2/3)*$D28^0.5/$E28)</f>
        <v>0.00178900097948381</v>
      </c>
      <c r="AX28" s="17" t="n">
        <f aca="false">AV28+IF(AW28&lt;$B28,1,-1)*설정!$B$10/2^23</f>
        <v>1.55455466382349</v>
      </c>
      <c r="AY28" s="17" t="n">
        <f aca="false">IF($D28&lt;=0,0,($C28^2/8*(AX28-SIN(AX28)))*(($C28^2/8*(AX28-SIN(AX28)))/($C28*AX28/2))^(2/3)*$D28^0.5/$E28)</f>
        <v>0.00178900382322447</v>
      </c>
      <c r="AZ28" s="17" t="n">
        <f aca="false">AX28+IF(AY28&lt;$B28,1,-1)*설정!$B$10/2^24</f>
        <v>1.55455497833355</v>
      </c>
      <c r="BA28" s="17" t="n">
        <f aca="false">IF($D28&lt;=0,0,($C28^2/8*(AZ28-SIN(AZ28)))*(($C28^2/8*(AZ28-SIN(AZ28)))/($C28*AZ28/2))^(2/3)*$D28^0.5/$E28)</f>
        <v>0.00178900524509597</v>
      </c>
      <c r="BB28" s="17" t="n">
        <f aca="false">AZ28+IF(BA28&lt;$B28,1,-1)*설정!$B$10/2^25</f>
        <v>1.55455482107852</v>
      </c>
      <c r="BC28" s="17" t="n">
        <f aca="false">IF($D28&lt;=0,0,($C28^2/8*(BB28-SIN(BB28)))*(($C28^2/8*(BB28-SIN(BB28)))/($C28*BB28/2))^(2/3)*$D28^0.5/$E28)</f>
        <v>0.00178900453416012</v>
      </c>
      <c r="BD28" s="17" t="n">
        <f aca="false">BB28+IF(BC28&lt;$B28,1,-1)*설정!$B$10/2^26</f>
        <v>1.55455489970604</v>
      </c>
      <c r="BE28" s="17" t="n">
        <f aca="false">IF($D28&lt;=0,0,($C28^2/8*(BD28-SIN(BD28)))*(($C28^2/8*(BD28-SIN(BD28)))/($C28*BD28/2))^(2/3)*$D28^0.5/$E28)</f>
        <v>0.00178900488962802</v>
      </c>
      <c r="BF28" s="17" t="n">
        <f aca="false">BD28+IF(BE28&lt;$B28,1,-1)*설정!$B$10/2^27</f>
        <v>1.55455486039228</v>
      </c>
      <c r="BG28" s="17" t="n">
        <f aca="false">IF($D28&lt;=0,0,($C28^2/8*(BF28-SIN(BF28)))*(($C28^2/8*(BF28-SIN(BF28)))/($C28*BF28/2))^(2/3)*$D28^0.5/$E28)</f>
        <v>0.00178900471189406</v>
      </c>
      <c r="BH28" s="17" t="n">
        <f aca="false">BF28+IF(BG28&lt;$B28,1,-1)*설정!$B$10/2^28</f>
        <v>1.5545548407354</v>
      </c>
      <c r="BI28" s="17" t="n">
        <f aca="false">IF($D28&lt;=0,0,($C28^2/8*(BH28-SIN(BH28)))*(($C28^2/8*(BH28-SIN(BH28)))/($C28*BH28/2))^(2/3)*$D28^0.5/$E28)</f>
        <v>0.00178900462302709</v>
      </c>
      <c r="BJ28" s="17" t="n">
        <f aca="false">BH28+IF(BI28&lt;$B28,1,-1)*설정!$B$10/2^29</f>
        <v>1.55455485056384</v>
      </c>
      <c r="BK28" s="17" t="n">
        <f aca="false">IF($D28&lt;=0,0,($C28^2/8*(BJ28-SIN(BJ28)))*(($C28^2/8*(BJ28-SIN(BJ28)))/($C28*BJ28/2))^(2/3)*$D28^0.5/$E28)</f>
        <v>0.00178900466746057</v>
      </c>
      <c r="BL28" s="17" t="n">
        <f aca="false">BJ28+IF(BK28&lt;$B28,1,-1)*설정!$B$10/2^30</f>
        <v>1.55455484564962</v>
      </c>
      <c r="BM28" s="17" t="n">
        <f aca="false">IF($D28&lt;=0,0,($C28^2/8*(BL28-SIN(BL28)))*(($C28^2/8*(BL28-SIN(BL28)))/($C28*BL28/2))^(2/3)*$D28^0.5/$E28)</f>
        <v>0.00178900464524383</v>
      </c>
      <c r="BN28" s="17" t="n">
        <f aca="false">BL28+IF(BM28&lt;$B28,1,-1)*설정!$B$10/2^31</f>
        <v>1.55455484319251</v>
      </c>
      <c r="BO28" s="17" t="n">
        <f aca="false">IF($D28&lt;=0,0,($C28^2/8*(BN28-SIN(BN28)))*(($C28^2/8*(BN28-SIN(BN28)))/($C28*BN28/2))^(2/3)*$D28^0.5/$E28)</f>
        <v>0.00178900463413546</v>
      </c>
      <c r="BP28" s="17" t="n">
        <f aca="false">BN28+IF(BO28&lt;$B28,1,-1)*설정!$B$10/2^32</f>
        <v>1.55455484196395</v>
      </c>
      <c r="BQ28" s="17" t="n">
        <f aca="false">IF($D28&lt;=0,0,($C28^2/8*(BP28-SIN(BP28)))*(($C28^2/8*(BP28-SIN(BP28)))/($C28*BP28/2))^(2/3)*$D28^0.5/$E28)</f>
        <v>0.00178900462858127</v>
      </c>
      <c r="BR28" s="17" t="n">
        <f aca="false">BP28+IF(BQ28&lt;$B28,1,-1)*설정!$B$10/2^33</f>
        <v>1.55455484257823</v>
      </c>
      <c r="BS28" s="17" t="n">
        <f aca="false">IF($D28&lt;=0,0,($C28^2/8*(BR28-SIN(BR28)))*(($C28^2/8*(BR28-SIN(BR28)))/($C28*BR28/2))^(2/3)*$D28^0.5/$E28)</f>
        <v>0.00178900463135837</v>
      </c>
      <c r="BT28" s="17" t="n">
        <f aca="false">BR28+IF(BS28&lt;$B28,1,-1)*설정!$B$10/2^34</f>
        <v>1.55455484227109</v>
      </c>
      <c r="BU28" s="17" t="n">
        <f aca="false">IF($D28&lt;=0,0,($C28^2/8*(BT28-SIN(BT28)))*(($C28^2/8*(BT28-SIN(BT28)))/($C28*BT28/2))^(2/3)*$D28^0.5/$E28)</f>
        <v>0.00178900462996982</v>
      </c>
      <c r="BV28" s="17" t="n">
        <f aca="false">BT28+IF(BU28&lt;$B28,1,-1)*설정!$B$10/2^35</f>
        <v>1.55455484211752</v>
      </c>
      <c r="BW28" s="17" t="n">
        <f aca="false">IF($D28&lt;=0,0,($C28^2/8*(BV28-SIN(BV28)))*(($C28^2/8*(BV28-SIN(BV28)))/($C28*BV28/2))^(2/3)*$D28^0.5/$E28)</f>
        <v>0.00178900462927555</v>
      </c>
      <c r="BX28" s="17" t="n">
        <f aca="false">BV28+IF(BW28&lt;$B28,1,-1)*설정!$B$10/2^36</f>
        <v>1.55455484219431</v>
      </c>
      <c r="BY28" s="17" t="n">
        <f aca="false">IF($D28&lt;=0,0,($C28^2/8*(BX28-SIN(BX28)))*(($C28^2/8*(BX28-SIN(BX28)))/($C28*BX28/2))^(2/3)*$D28^0.5/$E28)</f>
        <v>0.00178900462962268</v>
      </c>
      <c r="BZ28" s="17" t="n">
        <f aca="false">BX28+IF(BY28&lt;$B28,1,-1)*설정!$B$10/2^37</f>
        <v>1.5545548422327</v>
      </c>
      <c r="CA28" s="17" t="n">
        <f aca="false">IF($D28&lt;=0,0,($C28^2/8*(BZ28-SIN(BZ28)))*(($C28^2/8*(BZ28-SIN(BZ28)))/($C28*BZ28/2))^(2/3)*$D28^0.5/$E28)</f>
        <v>0.00178900462979625</v>
      </c>
      <c r="CB28" s="17" t="n">
        <f aca="false">BZ28+IF(CA28&lt;$B28,1,-1)*설정!$B$10/2^38</f>
        <v>1.5545548422135</v>
      </c>
      <c r="CC28" s="17" t="n">
        <f aca="false">IF($D28&lt;=0,0,($C28^2/8*(CB28-SIN(CB28)))*(($C28^2/8*(CB28-SIN(CB28)))/($C28*CB28/2))^(2/3)*$D28^0.5/$E28)</f>
        <v>0.00178900462970947</v>
      </c>
      <c r="CD28" s="17" t="n">
        <f aca="false">CB28+IF(CC28&lt;$B28,1,-1)*설정!$B$10/2^39</f>
        <v>1.55455484220391</v>
      </c>
      <c r="CE28" s="17" t="n">
        <f aca="false">IF($D28&lt;=0,0,($C28^2/8*(CD28-SIN(CD28)))*(($C28^2/8*(CD28-SIN(CD28)))/($C28*CD28/2))^(2/3)*$D28^0.5/$E28)</f>
        <v>0.00178900462966608</v>
      </c>
      <c r="CF28" s="17" t="n">
        <f aca="false">CD28+IF(CE28&lt;$B28,1,-1)*설정!$B$10/2^40</f>
        <v>1.55455484219911</v>
      </c>
      <c r="CG28" s="17" t="n">
        <f aca="false">IF($D28&lt;=0,0,($C28^2/8*(CF28-SIN(CF28)))*(($C28^2/8*(CF28-SIN(CF28)))/($C28*CF28/2))^(2/3)*$D28^0.5/$E28)</f>
        <v>0.00178900462964438</v>
      </c>
      <c r="CH28" s="17" t="n">
        <f aca="false">CF28+IF(CG28&lt;$B28,1,-1)*설정!$B$10/2^41</f>
        <v>1.55455484219671</v>
      </c>
    </row>
    <row r="29" customFormat="false" ht="15" hidden="false" customHeight="false" outlineLevel="0" collapsed="false">
      <c r="A29" s="14" t="str">
        <f aca="false">계산!A29</f>
        <v>BC-25</v>
      </c>
      <c r="B29" s="15" t="n">
        <f aca="false">계산!E29</f>
        <v>0.00178900462962963</v>
      </c>
      <c r="C29" s="14" t="n">
        <f aca="false">입력!E29/1000</f>
        <v>0.2</v>
      </c>
      <c r="D29" s="14" t="n">
        <f aca="false">(입력!F29-입력!G29)/입력!D29</f>
        <v>0.00400000000000001</v>
      </c>
      <c r="E29" s="14" t="n">
        <f aca="false">입력!J29</f>
        <v>0.011</v>
      </c>
      <c r="F29" s="16" t="n">
        <f aca="false">설정!$B$10/2</f>
        <v>2.6383016061374</v>
      </c>
      <c r="G29" s="17" t="n">
        <f aca="false">IF($D29&lt;=0,0,($C29^2/8*(F29-SIN(F29)))*(($C29^2/8*(F29-SIN(F29)))/($C29*F29/2))^(2/3)*$D29^0.5/$E29)</f>
        <v>0.00735273807896597</v>
      </c>
      <c r="H29" s="17" t="n">
        <f aca="false">F29+IF(G29&lt;$B29,1,-1)*설정!$B$10/2^2</f>
        <v>1.3191508030687</v>
      </c>
      <c r="I29" s="17" t="n">
        <f aca="false">IF($D29&lt;=0,0,($C29^2/8*(H29-SIN(H29)))*(($C29^2/8*(H29-SIN(H29)))/($C29*H29/2))^(2/3)*$D29^0.5/$E29)</f>
        <v>0.000565597512765805</v>
      </c>
      <c r="J29" s="17" t="n">
        <f aca="false">H29+IF(I29&lt;$B29,1,-1)*설정!$B$10/2^3</f>
        <v>1.97872620460305</v>
      </c>
      <c r="K29" s="17" t="n">
        <f aca="false">IF($D29&lt;=0,0,($C29^2/8*(J29-SIN(J29)))*(($C29^2/8*(J29-SIN(J29)))/($C29*J29/2))^(2/3)*$D29^0.5/$E29)</f>
        <v>0.00273132809252467</v>
      </c>
      <c r="L29" s="17" t="n">
        <f aca="false">J29+IF(K29&lt;$B29,1,-1)*설정!$B$10/2^4</f>
        <v>1.64893850383588</v>
      </c>
      <c r="M29" s="17" t="n">
        <f aca="false">IF($D29&lt;=0,0,($C29^2/8*(L29-SIN(L29)))*(($C29^2/8*(L29-SIN(L29)))/($C29*L29/2))^(2/3)*$D29^0.5/$E29)</f>
        <v>0.00137041664698768</v>
      </c>
      <c r="N29" s="17" t="n">
        <f aca="false">L29+IF(M29&lt;$B29,1,-1)*설정!$B$10/2^5</f>
        <v>1.81383235421946</v>
      </c>
      <c r="O29" s="17" t="n">
        <f aca="false">IF($D29&lt;=0,0,($C29^2/8*(N29-SIN(N29)))*(($C29^2/8*(N29-SIN(N29)))/($C29*N29/2))^(2/3)*$D29^0.5/$E29)</f>
        <v>0.00197435164049538</v>
      </c>
      <c r="P29" s="17" t="n">
        <f aca="false">N29+IF(O29&lt;$B29,1,-1)*설정!$B$10/2^6</f>
        <v>1.73138542902767</v>
      </c>
      <c r="Q29" s="17" t="n">
        <f aca="false">IF($D29&lt;=0,0,($C29^2/8*(P29-SIN(P29)))*(($C29^2/8*(P29-SIN(P29)))/($C29*P29/2))^(2/3)*$D29^0.5/$E29)</f>
        <v>0.00165395997820665</v>
      </c>
      <c r="R29" s="17" t="n">
        <f aca="false">P29+IF(Q29&lt;$B29,1,-1)*설정!$B$10/2^7</f>
        <v>1.77260889162357</v>
      </c>
      <c r="S29" s="17" t="n">
        <f aca="false">IF($D29&lt;=0,0,($C29^2/8*(R29-SIN(R29)))*(($C29^2/8*(R29-SIN(R29)))/($C29*R29/2))^(2/3)*$D29^0.5/$E29)</f>
        <v>0.00180944924558474</v>
      </c>
      <c r="T29" s="17" t="n">
        <f aca="false">R29+IF(S29&lt;$B29,1,-1)*설정!$B$10/2^8</f>
        <v>1.75199716032562</v>
      </c>
      <c r="U29" s="17" t="n">
        <f aca="false">IF($D29&lt;=0,0,($C29^2/8*(T29-SIN(T29)))*(($C29^2/8*(T29-SIN(T29)))/($C29*T29/2))^(2/3)*$D29^0.5/$E29)</f>
        <v>0.001730539816488</v>
      </c>
      <c r="V29" s="17" t="n">
        <f aca="false">T29+IF(U29&lt;$B29,1,-1)*설정!$B$10/2^9</f>
        <v>1.76230302597459</v>
      </c>
      <c r="W29" s="17" t="n">
        <f aca="false">IF($D29&lt;=0,0,($C29^2/8*(V29-SIN(V29)))*(($C29^2/8*(V29-SIN(V29)))/($C29*V29/2))^(2/3)*$D29^0.5/$E29)</f>
        <v>0.00176970180496252</v>
      </c>
      <c r="X29" s="17" t="n">
        <f aca="false">V29+IF(W29&lt;$B29,1,-1)*설정!$B$10/2^10</f>
        <v>1.76745595879908</v>
      </c>
      <c r="Y29" s="17" t="n">
        <f aca="false">IF($D29&lt;=0,0,($C29^2/8*(X29-SIN(X29)))*(($C29^2/8*(X29-SIN(X29)))/($C29*X29/2))^(2/3)*$D29^0.5/$E29)</f>
        <v>0.00178950215686985</v>
      </c>
      <c r="Z29" s="17" t="n">
        <f aca="false">X29+IF(Y29&lt;$B29,1,-1)*설정!$B$10/2^11</f>
        <v>1.76487949238684</v>
      </c>
      <c r="AA29" s="17" t="n">
        <f aca="false">IF($D29&lt;=0,0,($C29^2/8*(Z29-SIN(Z29)))*(($C29^2/8*(Z29-SIN(Z29)))/($C29*Z29/2))^(2/3)*$D29^0.5/$E29)</f>
        <v>0.00177958366199479</v>
      </c>
      <c r="AB29" s="17" t="n">
        <f aca="false">Z29+IF(AA29&lt;$B29,1,-1)*설정!$B$10/2^12</f>
        <v>1.76616772559296</v>
      </c>
      <c r="AC29" s="17" t="n">
        <f aca="false">IF($D29&lt;=0,0,($C29^2/8*(AB29-SIN(AB29)))*(($C29^2/8*(AB29-SIN(AB29)))/($C29*AB29/2))^(2/3)*$D29^0.5/$E29)</f>
        <v>0.00178453832679316</v>
      </c>
      <c r="AD29" s="17" t="n">
        <f aca="false">AB29+IF(AC29&lt;$B29,1,-1)*설정!$B$10/2^13</f>
        <v>1.76681184219602</v>
      </c>
      <c r="AE29" s="17" t="n">
        <f aca="false">IF($D29&lt;=0,0,($C29^2/8*(AD29-SIN(AD29)))*(($C29^2/8*(AD29-SIN(AD29)))/($C29*AD29/2))^(2/3)*$D29^0.5/$E29)</f>
        <v>0.00178701909580911</v>
      </c>
      <c r="AF29" s="17" t="n">
        <f aca="false">AD29+IF(AE29&lt;$B29,1,-1)*설정!$B$10/2^14</f>
        <v>1.76713390049755</v>
      </c>
      <c r="AG29" s="17" t="n">
        <f aca="false">IF($D29&lt;=0,0,($C29^2/8*(AF29-SIN(AF29)))*(($C29^2/8*(AF29-SIN(AF29)))/($C29*AF29/2))^(2/3)*$D29^0.5/$E29)</f>
        <v>0.00178826033978861</v>
      </c>
      <c r="AH29" s="17" t="n">
        <f aca="false">AF29+IF(AG29&lt;$B29,1,-1)*설정!$B$10/2^15</f>
        <v>1.76729492964832</v>
      </c>
      <c r="AI29" s="17" t="n">
        <f aca="false">IF($D29&lt;=0,0,($C29^2/8*(AH29-SIN(AH29)))*(($C29^2/8*(AH29-SIN(AH29)))/($C29*AH29/2))^(2/3)*$D29^0.5/$E29)</f>
        <v>0.00178888117668586</v>
      </c>
      <c r="AJ29" s="17" t="n">
        <f aca="false">AH29+IF(AI29&lt;$B29,1,-1)*설정!$B$10/2^16</f>
        <v>1.7673754442237</v>
      </c>
      <c r="AK29" s="17" t="n">
        <f aca="false">IF($D29&lt;=0,0,($C29^2/8*(AJ29-SIN(AJ29)))*(($C29^2/8*(AJ29-SIN(AJ29)))/($C29*AJ29/2))^(2/3)*$D29^0.5/$E29)</f>
        <v>0.0017891916488663</v>
      </c>
      <c r="AL29" s="17" t="n">
        <f aca="false">AJ29+IF(AK29&lt;$B29,1,-1)*설정!$B$10/2^17</f>
        <v>1.76733518693601</v>
      </c>
      <c r="AM29" s="17" t="n">
        <f aca="false">IF($D29&lt;=0,0,($C29^2/8*(AL29-SIN(AL29)))*(($C29^2/8*(AL29-SIN(AL29)))/($C29*AL29/2))^(2/3)*$D29^0.5/$E29)</f>
        <v>0.00178903640829828</v>
      </c>
      <c r="AN29" s="17" t="n">
        <f aca="false">AL29+IF(AM29&lt;$B29,1,-1)*설정!$B$10/2^18</f>
        <v>1.76731505829216</v>
      </c>
      <c r="AO29" s="17" t="n">
        <f aca="false">IF($D29&lt;=0,0,($C29^2/8*(AN29-SIN(AN29)))*(($C29^2/8*(AN29-SIN(AN29)))/($C29*AN29/2))^(2/3)*$D29^0.5/$E29)</f>
        <v>0.00178895879137263</v>
      </c>
      <c r="AP29" s="17" t="n">
        <f aca="false">AN29+IF(AO29&lt;$B29,1,-1)*설정!$B$10/2^19</f>
        <v>1.76732512261408</v>
      </c>
      <c r="AQ29" s="17" t="n">
        <f aca="false">IF($D29&lt;=0,0,($C29^2/8*(AP29-SIN(AP29)))*(($C29^2/8*(AP29-SIN(AP29)))/($C29*AP29/2))^(2/3)*$D29^0.5/$E29)</f>
        <v>0.0017889975995556</v>
      </c>
      <c r="AR29" s="17" t="n">
        <f aca="false">AP29+IF(AQ29&lt;$B29,1,-1)*설정!$B$10/2^20</f>
        <v>1.76733015477504</v>
      </c>
      <c r="AS29" s="17" t="n">
        <f aca="false">IF($D29&lt;=0,0,($C29^2/8*(AR29-SIN(AR29)))*(($C29^2/8*(AR29-SIN(AR29)))/($C29*AR29/2))^(2/3)*$D29^0.5/$E29)</f>
        <v>0.00178901700385697</v>
      </c>
      <c r="AT29" s="17" t="n">
        <f aca="false">AR29+IF(AS29&lt;$B29,1,-1)*설정!$B$10/2^21</f>
        <v>1.76732763869456</v>
      </c>
      <c r="AU29" s="17" t="n">
        <f aca="false">IF($D29&lt;=0,0,($C29^2/8*(AT29-SIN(AT29)))*(($C29^2/8*(AT29-SIN(AT29)))/($C29*AT29/2))^(2/3)*$D29^0.5/$E29)</f>
        <v>0.00178900730168879</v>
      </c>
      <c r="AV29" s="17" t="n">
        <f aca="false">AT29+IF(AU29&lt;$B29,1,-1)*설정!$B$10/2^22</f>
        <v>1.76732638065432</v>
      </c>
      <c r="AW29" s="17" t="n">
        <f aca="false">IF($D29&lt;=0,0,($C29^2/8*(AV29-SIN(AV29)))*(($C29^2/8*(AV29-SIN(AV29)))/($C29*AV29/2))^(2/3)*$D29^0.5/$E29)</f>
        <v>0.00178900245061782</v>
      </c>
      <c r="AX29" s="17" t="n">
        <f aca="false">AV29+IF(AW29&lt;$B29,1,-1)*설정!$B$10/2^23</f>
        <v>1.76732700967444</v>
      </c>
      <c r="AY29" s="17" t="n">
        <f aca="false">IF($D29&lt;=0,0,($C29^2/8*(AX29-SIN(AX29)))*(($C29^2/8*(AX29-SIN(AX29)))/($C29*AX29/2))^(2/3)*$D29^0.5/$E29)</f>
        <v>0.00178900487615221</v>
      </c>
      <c r="AZ29" s="17" t="n">
        <f aca="false">AX29+IF(AY29&lt;$B29,1,-1)*설정!$B$10/2^24</f>
        <v>1.76732669516438</v>
      </c>
      <c r="BA29" s="17" t="n">
        <f aca="false">IF($D29&lt;=0,0,($C29^2/8*(AZ29-SIN(AZ29)))*(($C29^2/8*(AZ29-SIN(AZ29)))/($C29*AZ29/2))^(2/3)*$D29^0.5/$E29)</f>
        <v>0.00178900366338475</v>
      </c>
      <c r="BB29" s="17" t="n">
        <f aca="false">AZ29+IF(BA29&lt;$B29,1,-1)*설정!$B$10/2^25</f>
        <v>1.76732685241941</v>
      </c>
      <c r="BC29" s="17" t="n">
        <f aca="false">IF($D29&lt;=0,0,($C29^2/8*(BB29-SIN(BB29)))*(($C29^2/8*(BB29-SIN(BB29)))/($C29*BB29/2))^(2/3)*$D29^0.5/$E29)</f>
        <v>0.00178900426976841</v>
      </c>
      <c r="BD29" s="17" t="n">
        <f aca="false">BB29+IF(BC29&lt;$B29,1,-1)*설정!$B$10/2^26</f>
        <v>1.76732693104693</v>
      </c>
      <c r="BE29" s="17" t="n">
        <f aca="false">IF($D29&lt;=0,0,($C29^2/8*(BD29-SIN(BD29)))*(($C29^2/8*(BD29-SIN(BD29)))/($C29*BD29/2))^(2/3)*$D29^0.5/$E29)</f>
        <v>0.0017890045729603</v>
      </c>
      <c r="BF29" s="17" t="n">
        <f aca="false">BD29+IF(BE29&lt;$B29,1,-1)*설정!$B$10/2^27</f>
        <v>1.76732697036069</v>
      </c>
      <c r="BG29" s="17" t="n">
        <f aca="false">IF($D29&lt;=0,0,($C29^2/8*(BF29-SIN(BF29)))*(($C29^2/8*(BF29-SIN(BF29)))/($C29*BF29/2))^(2/3)*$D29^0.5/$E29)</f>
        <v>0.00178900472455625</v>
      </c>
      <c r="BH29" s="17" t="n">
        <f aca="false">BF29+IF(BG29&lt;$B29,1,-1)*설정!$B$10/2^28</f>
        <v>1.76732695070381</v>
      </c>
      <c r="BI29" s="17" t="n">
        <f aca="false">IF($D29&lt;=0,0,($C29^2/8*(BH29-SIN(BH29)))*(($C29^2/8*(BH29-SIN(BH29)))/($C29*BH29/2))^(2/3)*$D29^0.5/$E29)</f>
        <v>0.00178900464875827</v>
      </c>
      <c r="BJ29" s="17" t="n">
        <f aca="false">BH29+IF(BI29&lt;$B29,1,-1)*설정!$B$10/2^29</f>
        <v>1.76732694087537</v>
      </c>
      <c r="BK29" s="17" t="n">
        <f aca="false">IF($D29&lt;=0,0,($C29^2/8*(BJ29-SIN(BJ29)))*(($C29^2/8*(BJ29-SIN(BJ29)))/($C29*BJ29/2))^(2/3)*$D29^0.5/$E29)</f>
        <v>0.00178900461085928</v>
      </c>
      <c r="BL29" s="17" t="n">
        <f aca="false">BJ29+IF(BK29&lt;$B29,1,-1)*설정!$B$10/2^30</f>
        <v>1.76732694578959</v>
      </c>
      <c r="BM29" s="17" t="n">
        <f aca="false">IF($D29&lt;=0,0,($C29^2/8*(BL29-SIN(BL29)))*(($C29^2/8*(BL29-SIN(BL29)))/($C29*BL29/2))^(2/3)*$D29^0.5/$E29)</f>
        <v>0.00178900462980878</v>
      </c>
      <c r="BN29" s="17" t="n">
        <f aca="false">BL29+IF(BM29&lt;$B29,1,-1)*설정!$B$10/2^31</f>
        <v>1.76732694333248</v>
      </c>
      <c r="BO29" s="17" t="n">
        <f aca="false">IF($D29&lt;=0,0,($C29^2/8*(BN29-SIN(BN29)))*(($C29^2/8*(BN29-SIN(BN29)))/($C29*BN29/2))^(2/3)*$D29^0.5/$E29)</f>
        <v>0.00178900462033403</v>
      </c>
      <c r="BP29" s="17" t="n">
        <f aca="false">BN29+IF(BO29&lt;$B29,1,-1)*설정!$B$10/2^32</f>
        <v>1.76732694456103</v>
      </c>
      <c r="BQ29" s="17" t="n">
        <f aca="false">IF($D29&lt;=0,0,($C29^2/8*(BP29-SIN(BP29)))*(($C29^2/8*(BP29-SIN(BP29)))/($C29*BP29/2))^(2/3)*$D29^0.5/$E29)</f>
        <v>0.0017890046250714</v>
      </c>
      <c r="BR29" s="17" t="n">
        <f aca="false">BP29+IF(BQ29&lt;$B29,1,-1)*설정!$B$10/2^33</f>
        <v>1.76732694517531</v>
      </c>
      <c r="BS29" s="17" t="n">
        <f aca="false">IF($D29&lt;=0,0,($C29^2/8*(BR29-SIN(BR29)))*(($C29^2/8*(BR29-SIN(BR29)))/($C29*BR29/2))^(2/3)*$D29^0.5/$E29)</f>
        <v>0.00178900462744009</v>
      </c>
      <c r="BT29" s="17" t="n">
        <f aca="false">BR29+IF(BS29&lt;$B29,1,-1)*설정!$B$10/2^34</f>
        <v>1.76732694548245</v>
      </c>
      <c r="BU29" s="17" t="n">
        <f aca="false">IF($D29&lt;=0,0,($C29^2/8*(BT29-SIN(BT29)))*(($C29^2/8*(BT29-SIN(BT29)))/($C29*BT29/2))^(2/3)*$D29^0.5/$E29)</f>
        <v>0.00178900462862444</v>
      </c>
      <c r="BV29" s="17" t="n">
        <f aca="false">BT29+IF(BU29&lt;$B29,1,-1)*설정!$B$10/2^35</f>
        <v>1.76732694563602</v>
      </c>
      <c r="BW29" s="17" t="n">
        <f aca="false">IF($D29&lt;=0,0,($C29^2/8*(BV29-SIN(BV29)))*(($C29^2/8*(BV29-SIN(BV29)))/($C29*BV29/2))^(2/3)*$D29^0.5/$E29)</f>
        <v>0.00178900462921661</v>
      </c>
      <c r="BX29" s="17" t="n">
        <f aca="false">BV29+IF(BW29&lt;$B29,1,-1)*설정!$B$10/2^36</f>
        <v>1.7673269457128</v>
      </c>
      <c r="BY29" s="17" t="n">
        <f aca="false">IF($D29&lt;=0,0,($C29^2/8*(BX29-SIN(BX29)))*(($C29^2/8*(BX29-SIN(BX29)))/($C29*BX29/2))^(2/3)*$D29^0.5/$E29)</f>
        <v>0.00178900462951269</v>
      </c>
      <c r="BZ29" s="17" t="n">
        <f aca="false">BX29+IF(BY29&lt;$B29,1,-1)*설정!$B$10/2^37</f>
        <v>1.7673269457512</v>
      </c>
      <c r="CA29" s="17" t="n">
        <f aca="false">IF($D29&lt;=0,0,($C29^2/8*(BZ29-SIN(BZ29)))*(($C29^2/8*(BZ29-SIN(BZ29)))/($C29*BZ29/2))^(2/3)*$D29^0.5/$E29)</f>
        <v>0.00178900462966074</v>
      </c>
      <c r="CB29" s="17" t="n">
        <f aca="false">BZ29+IF(CA29&lt;$B29,1,-1)*설정!$B$10/2^38</f>
        <v>1.767326945732</v>
      </c>
      <c r="CC29" s="17" t="n">
        <f aca="false">IF($D29&lt;=0,0,($C29^2/8*(CB29-SIN(CB29)))*(($C29^2/8*(CB29-SIN(CB29)))/($C29*CB29/2))^(2/3)*$D29^0.5/$E29)</f>
        <v>0.00178900462958671</v>
      </c>
      <c r="CD29" s="17" t="n">
        <f aca="false">CB29+IF(CC29&lt;$B29,1,-1)*설정!$B$10/2^39</f>
        <v>1.7673269457416</v>
      </c>
      <c r="CE29" s="17" t="n">
        <f aca="false">IF($D29&lt;=0,0,($C29^2/8*(CD29-SIN(CD29)))*(($C29^2/8*(CD29-SIN(CD29)))/($C29*CD29/2))^(2/3)*$D29^0.5/$E29)</f>
        <v>0.00178900462962373</v>
      </c>
      <c r="CF29" s="17" t="n">
        <f aca="false">CD29+IF(CE29&lt;$B29,1,-1)*설정!$B$10/2^40</f>
        <v>1.7673269457464</v>
      </c>
      <c r="CG29" s="17" t="n">
        <f aca="false">IF($D29&lt;=0,0,($C29^2/8*(CF29-SIN(CF29)))*(($C29^2/8*(CF29-SIN(CF29)))/($C29*CF29/2))^(2/3)*$D29^0.5/$E29)</f>
        <v>0.00178900462964223</v>
      </c>
      <c r="CH29" s="17" t="n">
        <f aca="false">CF29+IF(CG29&lt;$B29,1,-1)*설정!$B$10/2^41</f>
        <v>1.767326945744</v>
      </c>
    </row>
    <row r="30" customFormat="false" ht="15" hidden="false" customHeight="false" outlineLevel="0" collapsed="false">
      <c r="A30" s="14" t="str">
        <f aca="false">계산!A30</f>
        <v>BC-26</v>
      </c>
      <c r="B30" s="15" t="n">
        <f aca="false">계산!E30</f>
        <v>0.00178900462962963</v>
      </c>
      <c r="C30" s="14" t="n">
        <f aca="false">입력!E30/1000</f>
        <v>0.2</v>
      </c>
      <c r="D30" s="14" t="n">
        <f aca="false">(입력!F30-입력!G30)/입력!D30</f>
        <v>0.00138888888888891</v>
      </c>
      <c r="E30" s="14" t="n">
        <f aca="false">입력!J30</f>
        <v>0.011</v>
      </c>
      <c r="F30" s="16" t="n">
        <f aca="false">설정!$B$10/2</f>
        <v>2.6383016061374</v>
      </c>
      <c r="G30" s="17" t="n">
        <f aca="false">IF($D30&lt;=0,0,($C30^2/8*(F30-SIN(F30)))*(($C30^2/8*(F30-SIN(F30)))/($C30*F30/2))^(2/3)*$D30^0.5/$E30)</f>
        <v>0.00433264246327118</v>
      </c>
      <c r="H30" s="17" t="n">
        <f aca="false">F30+IF(G30&lt;$B30,1,-1)*설정!$B$10/2^2</f>
        <v>1.3191508030687</v>
      </c>
      <c r="I30" s="17" t="n">
        <f aca="false">IF($D30&lt;=0,0,($C30^2/8*(H30-SIN(H30)))*(($C30^2/8*(H30-SIN(H30)))/($C30*H30/2))^(2/3)*$D30^0.5/$E30)</f>
        <v>0.000333281530582456</v>
      </c>
      <c r="J30" s="17" t="n">
        <f aca="false">H30+IF(I30&lt;$B30,1,-1)*설정!$B$10/2^3</f>
        <v>1.97872620460305</v>
      </c>
      <c r="K30" s="17" t="n">
        <f aca="false">IF($D30&lt;=0,0,($C30^2/8*(J30-SIN(J30)))*(($C30^2/8*(J30-SIN(J30)))/($C30*J30/2))^(2/3)*$D30^0.5/$E30)</f>
        <v>0.00160945051322461</v>
      </c>
      <c r="L30" s="17" t="n">
        <f aca="false">J30+IF(K30&lt;$B30,1,-1)*설정!$B$10/2^4</f>
        <v>2.30851390537023</v>
      </c>
      <c r="M30" s="17" t="n">
        <f aca="false">IF($D30&lt;=0,0,($C30^2/8*(L30-SIN(L30)))*(($C30^2/8*(L30-SIN(L30)))/($C30*L30/2))^(2/3)*$D30^0.5/$E30)</f>
        <v>0.00278706712444874</v>
      </c>
      <c r="N30" s="17" t="n">
        <f aca="false">L30+IF(M30&lt;$B30,1,-1)*설정!$B$10/2^5</f>
        <v>2.14362005498664</v>
      </c>
      <c r="O30" s="17" t="n">
        <f aca="false">IF($D30&lt;=0,0,($C30^2/8*(N30-SIN(N30)))*(($C30^2/8*(N30-SIN(N30)))/($C30*N30/2))^(2/3)*$D30^0.5/$E30)</f>
        <v>0.00215032109953815</v>
      </c>
      <c r="P30" s="17" t="n">
        <f aca="false">N30+IF(O30&lt;$B30,1,-1)*설정!$B$10/2^6</f>
        <v>2.06117312979485</v>
      </c>
      <c r="Q30" s="17" t="n">
        <f aca="false">IF($D30&lt;=0,0,($C30^2/8*(P30-SIN(P30)))*(($C30^2/8*(P30-SIN(P30)))/($C30*P30/2))^(2/3)*$D30^0.5/$E30)</f>
        <v>0.00186787845946896</v>
      </c>
      <c r="R30" s="17" t="n">
        <f aca="false">P30+IF(Q30&lt;$B30,1,-1)*설정!$B$10/2^7</f>
        <v>2.01994966719895</v>
      </c>
      <c r="S30" s="17" t="n">
        <f aca="false">IF($D30&lt;=0,0,($C30^2/8*(R30-SIN(R30)))*(($C30^2/8*(R30-SIN(R30)))/($C30*R30/2))^(2/3)*$D30^0.5/$E30)</f>
        <v>0.00173567307452739</v>
      </c>
      <c r="T30" s="17" t="n">
        <f aca="false">R30+IF(S30&lt;$B30,1,-1)*설정!$B$10/2^8</f>
        <v>2.0405613984969</v>
      </c>
      <c r="U30" s="17" t="n">
        <f aca="false">IF($D30&lt;=0,0,($C30^2/8*(T30-SIN(T30)))*(($C30^2/8*(T30-SIN(T30)))/($C30*T30/2))^(2/3)*$D30^0.5/$E30)</f>
        <v>0.00180102603318901</v>
      </c>
      <c r="V30" s="17" t="n">
        <f aca="false">T30+IF(U30&lt;$B30,1,-1)*설정!$B$10/2^9</f>
        <v>2.03025553284792</v>
      </c>
      <c r="W30" s="17" t="n">
        <f aca="false">IF($D30&lt;=0,0,($C30^2/8*(V30-SIN(V30)))*(($C30^2/8*(V30-SIN(V30)))/($C30*V30/2))^(2/3)*$D30^0.5/$E30)</f>
        <v>0.00176816231989387</v>
      </c>
      <c r="X30" s="17" t="n">
        <f aca="false">V30+IF(W30&lt;$B30,1,-1)*설정!$B$10/2^10</f>
        <v>2.03540846567241</v>
      </c>
      <c r="Y30" s="17" t="n">
        <f aca="false">IF($D30&lt;=0,0,($C30^2/8*(X30-SIN(X30)))*(($C30^2/8*(X30-SIN(X30)))/($C30*X30/2))^(2/3)*$D30^0.5/$E30)</f>
        <v>0.00178454734087194</v>
      </c>
      <c r="Z30" s="17" t="n">
        <f aca="false">X30+IF(Y30&lt;$B30,1,-1)*설정!$B$10/2^11</f>
        <v>2.03798493208465</v>
      </c>
      <c r="AA30" s="17" t="n">
        <f aca="false">IF($D30&lt;=0,0,($C30^2/8*(Z30-SIN(Z30)))*(($C30^2/8*(Z30-SIN(Z30)))/($C30*Z30/2))^(2/3)*$D30^0.5/$E30)</f>
        <v>0.00179277497491145</v>
      </c>
      <c r="AB30" s="17" t="n">
        <f aca="false">Z30+IF(AA30&lt;$B30,1,-1)*설정!$B$10/2^12</f>
        <v>2.03669669887853</v>
      </c>
      <c r="AC30" s="17" t="n">
        <f aca="false">IF($D30&lt;=0,0,($C30^2/8*(AB30-SIN(AB30)))*(($C30^2/8*(AB30-SIN(AB30)))/($C30*AB30/2))^(2/3)*$D30^0.5/$E30)</f>
        <v>0.00178865823025339</v>
      </c>
      <c r="AD30" s="17" t="n">
        <f aca="false">AB30+IF(AC30&lt;$B30,1,-1)*설정!$B$10/2^13</f>
        <v>2.03734081548159</v>
      </c>
      <c r="AE30" s="17" t="n">
        <f aca="false">IF($D30&lt;=0,0,($C30^2/8*(AD30-SIN(AD30)))*(($C30^2/8*(AD30-SIN(AD30)))/($C30*AD30/2))^(2/3)*$D30^0.5/$E30)</f>
        <v>0.00179071587062336</v>
      </c>
      <c r="AF30" s="17" t="n">
        <f aca="false">AD30+IF(AE30&lt;$B30,1,-1)*설정!$B$10/2^14</f>
        <v>2.03701875718006</v>
      </c>
      <c r="AG30" s="17" t="n">
        <f aca="false">IF($D30&lt;=0,0,($C30^2/8*(AF30-SIN(AF30)))*(($C30^2/8*(AF30-SIN(AF30)))/($C30*AF30/2))^(2/3)*$D30^0.5/$E30)</f>
        <v>0.00178968686745477</v>
      </c>
      <c r="AH30" s="17" t="n">
        <f aca="false">AF30+IF(AG30&lt;$B30,1,-1)*설정!$B$10/2^15</f>
        <v>2.0368577280293</v>
      </c>
      <c r="AI30" s="17" t="n">
        <f aca="false">IF($D30&lt;=0,0,($C30^2/8*(AH30-SIN(AH30)))*(($C30^2/8*(AH30-SIN(AH30)))/($C30*AH30/2))^(2/3)*$D30^0.5/$E30)</f>
        <v>0.00178917250310895</v>
      </c>
      <c r="AJ30" s="17" t="n">
        <f aca="false">AH30+IF(AI30&lt;$B30,1,-1)*설정!$B$10/2^16</f>
        <v>2.03677721345392</v>
      </c>
      <c r="AK30" s="17" t="n">
        <f aca="false">IF($D30&lt;=0,0,($C30^2/8*(AJ30-SIN(AJ30)))*(($C30^2/8*(AJ30-SIN(AJ30)))/($C30*AJ30/2))^(2/3)*$D30^0.5/$E30)</f>
        <v>0.00178891535524498</v>
      </c>
      <c r="AL30" s="17" t="n">
        <f aca="false">AJ30+IF(AK30&lt;$B30,1,-1)*설정!$B$10/2^17</f>
        <v>2.03681747074161</v>
      </c>
      <c r="AM30" s="17" t="n">
        <f aca="false">IF($D30&lt;=0,0,($C30^2/8*(AL30-SIN(AL30)))*(($C30^2/8*(AL30-SIN(AL30)))/($C30*AL30/2))^(2/3)*$D30^0.5/$E30)</f>
        <v>0.00178904392631791</v>
      </c>
      <c r="AN30" s="17" t="n">
        <f aca="false">AL30+IF(AM30&lt;$B30,1,-1)*설정!$B$10/2^18</f>
        <v>2.03679734209776</v>
      </c>
      <c r="AO30" s="17" t="n">
        <f aca="false">IF($D30&lt;=0,0,($C30^2/8*(AN30-SIN(AN30)))*(($C30^2/8*(AN30-SIN(AN30)))/($C30*AN30/2))^(2/3)*$D30^0.5/$E30)</f>
        <v>0.00178897964006668</v>
      </c>
      <c r="AP30" s="17" t="n">
        <f aca="false">AN30+IF(AO30&lt;$B30,1,-1)*설정!$B$10/2^19</f>
        <v>2.03680740641968</v>
      </c>
      <c r="AQ30" s="17" t="n">
        <f aca="false">IF($D30&lt;=0,0,($C30^2/8*(AP30-SIN(AP30)))*(($C30^2/8*(AP30-SIN(AP30)))/($C30*AP30/2))^(2/3)*$D30^0.5/$E30)</f>
        <v>0.0017890117830136</v>
      </c>
      <c r="AR30" s="17" t="n">
        <f aca="false">AP30+IF(AQ30&lt;$B30,1,-1)*설정!$B$10/2^20</f>
        <v>2.03680237425872</v>
      </c>
      <c r="AS30" s="17" t="n">
        <f aca="false">IF($D30&lt;=0,0,($C30^2/8*(AR30-SIN(AR30)))*(($C30^2/8*(AR30-SIN(AR30)))/($C30*AR30/2))^(2/3)*$D30^0.5/$E30)</f>
        <v>0.00178899571149547</v>
      </c>
      <c r="AT30" s="17" t="n">
        <f aca="false">AR30+IF(AS30&lt;$B30,1,-1)*설정!$B$10/2^21</f>
        <v>2.0368048903392</v>
      </c>
      <c r="AU30" s="17" t="n">
        <f aca="false">IF($D30&lt;=0,0,($C30^2/8*(AT30-SIN(AT30)))*(($C30^2/8*(AT30-SIN(AT30)))/($C30*AT30/2))^(2/3)*$D30^0.5/$E30)</f>
        <v>0.00178900374724337</v>
      </c>
      <c r="AV30" s="17" t="n">
        <f aca="false">AT30+IF(AU30&lt;$B30,1,-1)*설정!$B$10/2^22</f>
        <v>2.03680614837944</v>
      </c>
      <c r="AW30" s="17" t="n">
        <f aca="false">IF($D30&lt;=0,0,($C30^2/8*(AV30-SIN(AV30)))*(($C30^2/8*(AV30-SIN(AV30)))/($C30*AV30/2))^(2/3)*$D30^0.5/$E30)</f>
        <v>0.0017890077651257</v>
      </c>
      <c r="AX30" s="17" t="n">
        <f aca="false">AV30+IF(AW30&lt;$B30,1,-1)*설정!$B$10/2^23</f>
        <v>2.03680551935932</v>
      </c>
      <c r="AY30" s="17" t="n">
        <f aca="false">IF($D30&lt;=0,0,($C30^2/8*(AX30-SIN(AX30)))*(($C30^2/8*(AX30-SIN(AX30)))/($C30*AX30/2))^(2/3)*$D30^0.5/$E30)</f>
        <v>0.00178900575618384</v>
      </c>
      <c r="AZ30" s="17" t="n">
        <f aca="false">AX30+IF(AY30&lt;$B30,1,-1)*설정!$B$10/2^24</f>
        <v>2.03680520484926</v>
      </c>
      <c r="BA30" s="17" t="n">
        <f aca="false">IF($D30&lt;=0,0,($C30^2/8*(AZ30-SIN(AZ30)))*(($C30^2/8*(AZ30-SIN(AZ30)))/($C30*AZ30/2))^(2/3)*$D30^0.5/$E30)</f>
        <v>0.00178900475171343</v>
      </c>
      <c r="BB30" s="17" t="n">
        <f aca="false">AZ30+IF(BA30&lt;$B30,1,-1)*설정!$B$10/2^25</f>
        <v>2.03680504759423</v>
      </c>
      <c r="BC30" s="17" t="n">
        <f aca="false">IF($D30&lt;=0,0,($C30^2/8*(BB30-SIN(BB30)))*(($C30^2/8*(BB30-SIN(BB30)))/($C30*BB30/2))^(2/3)*$D30^0.5/$E30)</f>
        <v>0.00178900424947836</v>
      </c>
      <c r="BD30" s="17" t="n">
        <f aca="false">BB30+IF(BC30&lt;$B30,1,-1)*설정!$B$10/2^26</f>
        <v>2.03680512622175</v>
      </c>
      <c r="BE30" s="17" t="n">
        <f aca="false">IF($D30&lt;=0,0,($C30^2/8*(BD30-SIN(BD30)))*(($C30^2/8*(BD30-SIN(BD30)))/($C30*BD30/2))^(2/3)*$D30^0.5/$E30)</f>
        <v>0.00178900450059588</v>
      </c>
      <c r="BF30" s="17" t="n">
        <f aca="false">BD30+IF(BE30&lt;$B30,1,-1)*설정!$B$10/2^27</f>
        <v>2.03680516553551</v>
      </c>
      <c r="BG30" s="17" t="n">
        <f aca="false">IF($D30&lt;=0,0,($C30^2/8*(BF30-SIN(BF30)))*(($C30^2/8*(BF30-SIN(BF30)))/($C30*BF30/2))^(2/3)*$D30^0.5/$E30)</f>
        <v>0.00178900462615465</v>
      </c>
      <c r="BH30" s="17" t="n">
        <f aca="false">BF30+IF(BG30&lt;$B30,1,-1)*설정!$B$10/2^28</f>
        <v>2.03680518519239</v>
      </c>
      <c r="BI30" s="17" t="n">
        <f aca="false">IF($D30&lt;=0,0,($C30^2/8*(BH30-SIN(BH30)))*(($C30^2/8*(BH30-SIN(BH30)))/($C30*BH30/2))^(2/3)*$D30^0.5/$E30)</f>
        <v>0.00178900468893404</v>
      </c>
      <c r="BJ30" s="17" t="n">
        <f aca="false">BH30+IF(BI30&lt;$B30,1,-1)*설정!$B$10/2^29</f>
        <v>2.03680517536395</v>
      </c>
      <c r="BK30" s="17" t="n">
        <f aca="false">IF($D30&lt;=0,0,($C30^2/8*(BJ30-SIN(BJ30)))*(($C30^2/8*(BJ30-SIN(BJ30)))/($C30*BJ30/2))^(2/3)*$D30^0.5/$E30)</f>
        <v>0.00178900465754435</v>
      </c>
      <c r="BL30" s="17" t="n">
        <f aca="false">BJ30+IF(BK30&lt;$B30,1,-1)*설정!$B$10/2^30</f>
        <v>2.03680517044973</v>
      </c>
      <c r="BM30" s="17" t="n">
        <f aca="false">IF($D30&lt;=0,0,($C30^2/8*(BL30-SIN(BL30)))*(($C30^2/8*(BL30-SIN(BL30)))/($C30*BL30/2))^(2/3)*$D30^0.5/$E30)</f>
        <v>0.0017890046418495</v>
      </c>
      <c r="BN30" s="17" t="n">
        <f aca="false">BL30+IF(BM30&lt;$B30,1,-1)*설정!$B$10/2^31</f>
        <v>2.03680516799262</v>
      </c>
      <c r="BO30" s="17" t="n">
        <f aca="false">IF($D30&lt;=0,0,($C30^2/8*(BN30-SIN(BN30)))*(($C30^2/8*(BN30-SIN(BN30)))/($C30*BN30/2))^(2/3)*$D30^0.5/$E30)</f>
        <v>0.00178900463400208</v>
      </c>
      <c r="BP30" s="17" t="n">
        <f aca="false">BN30+IF(BO30&lt;$B30,1,-1)*설정!$B$10/2^32</f>
        <v>2.03680516676406</v>
      </c>
      <c r="BQ30" s="17" t="n">
        <f aca="false">IF($D30&lt;=0,0,($C30^2/8*(BP30-SIN(BP30)))*(($C30^2/8*(BP30-SIN(BP30)))/($C30*BP30/2))^(2/3)*$D30^0.5/$E30)</f>
        <v>0.00178900463007837</v>
      </c>
      <c r="BR30" s="17" t="n">
        <f aca="false">BP30+IF(BQ30&lt;$B30,1,-1)*설정!$B$10/2^33</f>
        <v>2.03680516614978</v>
      </c>
      <c r="BS30" s="17" t="n">
        <f aca="false">IF($D30&lt;=0,0,($C30^2/8*(BR30-SIN(BR30)))*(($C30^2/8*(BR30-SIN(BR30)))/($C30*BR30/2))^(2/3)*$D30^0.5/$E30)</f>
        <v>0.00178900462811651</v>
      </c>
      <c r="BT30" s="17" t="n">
        <f aca="false">BR30+IF(BS30&lt;$B30,1,-1)*설정!$B$10/2^34</f>
        <v>2.03680516645692</v>
      </c>
      <c r="BU30" s="17" t="n">
        <f aca="false">IF($D30&lt;=0,0,($C30^2/8*(BT30-SIN(BT30)))*(($C30^2/8*(BT30-SIN(BT30)))/($C30*BT30/2))^(2/3)*$D30^0.5/$E30)</f>
        <v>0.00178900462909744</v>
      </c>
      <c r="BV30" s="17" t="n">
        <f aca="false">BT30+IF(BU30&lt;$B30,1,-1)*설정!$B$10/2^35</f>
        <v>2.03680516661049</v>
      </c>
      <c r="BW30" s="17" t="n">
        <f aca="false">IF($D30&lt;=0,0,($C30^2/8*(BV30-SIN(BV30)))*(($C30^2/8*(BV30-SIN(BV30)))/($C30*BV30/2))^(2/3)*$D30^0.5/$E30)</f>
        <v>0.0017890046295879</v>
      </c>
      <c r="BX30" s="17" t="n">
        <f aca="false">BV30+IF(BW30&lt;$B30,1,-1)*설정!$B$10/2^36</f>
        <v>2.03680516668728</v>
      </c>
      <c r="BY30" s="17" t="n">
        <f aca="false">IF($D30&lt;=0,0,($C30^2/8*(BX30-SIN(BX30)))*(($C30^2/8*(BX30-SIN(BX30)))/($C30*BX30/2))^(2/3)*$D30^0.5/$E30)</f>
        <v>0.00178900462983313</v>
      </c>
      <c r="BZ30" s="17" t="n">
        <f aca="false">BX30+IF(BY30&lt;$B30,1,-1)*설정!$B$10/2^37</f>
        <v>2.03680516664888</v>
      </c>
      <c r="CA30" s="17" t="n">
        <f aca="false">IF($D30&lt;=0,0,($C30^2/8*(BZ30-SIN(BZ30)))*(($C30^2/8*(BZ30-SIN(BZ30)))/($C30*BZ30/2))^(2/3)*$D30^0.5/$E30)</f>
        <v>0.00178900462971052</v>
      </c>
      <c r="CB30" s="17" t="n">
        <f aca="false">BZ30+IF(CA30&lt;$B30,1,-1)*설정!$B$10/2^38</f>
        <v>2.03680516662969</v>
      </c>
      <c r="CC30" s="17" t="n">
        <f aca="false">IF($D30&lt;=0,0,($C30^2/8*(CB30-SIN(CB30)))*(($C30^2/8*(CB30-SIN(CB30)))/($C30*CB30/2))^(2/3)*$D30^0.5/$E30)</f>
        <v>0.00178900462964921</v>
      </c>
      <c r="CD30" s="17" t="n">
        <f aca="false">CB30+IF(CC30&lt;$B30,1,-1)*설정!$B$10/2^39</f>
        <v>2.03680516662009</v>
      </c>
      <c r="CE30" s="17" t="n">
        <f aca="false">IF($D30&lt;=0,0,($C30^2/8*(CD30-SIN(CD30)))*(($C30^2/8*(CD30-SIN(CD30)))/($C30*CD30/2))^(2/3)*$D30^0.5/$E30)</f>
        <v>0.00178900462961855</v>
      </c>
      <c r="CF30" s="17" t="n">
        <f aca="false">CD30+IF(CE30&lt;$B30,1,-1)*설정!$B$10/2^40</f>
        <v>2.03680516662489</v>
      </c>
      <c r="CG30" s="17" t="n">
        <f aca="false">IF($D30&lt;=0,0,($C30^2/8*(CF30-SIN(CF30)))*(($C30^2/8*(CF30-SIN(CF30)))/($C30*CF30/2))^(2/3)*$D30^0.5/$E30)</f>
        <v>0.00178900462963388</v>
      </c>
      <c r="CH30" s="17" t="n">
        <f aca="false">CF30+IF(CG30&lt;$B30,1,-1)*설정!$B$10/2^41</f>
        <v>2.03680516662249</v>
      </c>
    </row>
    <row r="31" customFormat="false" ht="15" hidden="false" customHeight="false" outlineLevel="0" collapsed="false">
      <c r="A31" s="14" t="str">
        <f aca="false">계산!A31</f>
        <v>BC-27</v>
      </c>
      <c r="B31" s="15" t="n">
        <f aca="false">계산!E31</f>
        <v>0.00178900462962963</v>
      </c>
      <c r="C31" s="14" t="n">
        <f aca="false">입력!E31/1000</f>
        <v>0.2</v>
      </c>
      <c r="D31" s="14" t="n">
        <f aca="false">(입력!F31-입력!G31)/입력!D31</f>
        <v>0.000769230769230753</v>
      </c>
      <c r="E31" s="14" t="n">
        <f aca="false">입력!J31</f>
        <v>0.011</v>
      </c>
      <c r="F31" s="16" t="n">
        <f aca="false">설정!$B$10/2</f>
        <v>2.6383016061374</v>
      </c>
      <c r="G31" s="17" t="n">
        <f aca="false">IF($D31&lt;=0,0,($C31^2/8*(F31-SIN(F31)))*(($C31^2/8*(F31-SIN(F31)))/($C31*F31/2))^(2/3)*$D31^0.5/$E31)</f>
        <v>0.00322438894801059</v>
      </c>
      <c r="H31" s="17" t="n">
        <f aca="false">F31+IF(G31&lt;$B31,1,-1)*설정!$B$10/2^2</f>
        <v>1.3191508030687</v>
      </c>
      <c r="I31" s="17" t="n">
        <f aca="false">IF($D31&lt;=0,0,($C31^2/8*(H31-SIN(H31)))*(($C31^2/8*(H31-SIN(H31)))/($C31*H31/2))^(2/3)*$D31^0.5/$E31)</f>
        <v>0.000248030917135676</v>
      </c>
      <c r="J31" s="17" t="n">
        <f aca="false">H31+IF(I31&lt;$B31,1,-1)*설정!$B$10/2^3</f>
        <v>1.97872620460305</v>
      </c>
      <c r="K31" s="17" t="n">
        <f aca="false">IF($D31&lt;=0,0,($C31^2/8*(J31-SIN(J31)))*(($C31^2/8*(J31-SIN(J31)))/($C31*J31/2))^(2/3)*$D31^0.5/$E31)</f>
        <v>0.00119776660345365</v>
      </c>
      <c r="L31" s="17" t="n">
        <f aca="false">J31+IF(K31&lt;$B31,1,-1)*설정!$B$10/2^4</f>
        <v>2.30851390537023</v>
      </c>
      <c r="M31" s="17" t="n">
        <f aca="false">IF($D31&lt;=0,0,($C31^2/8*(L31-SIN(L31)))*(($C31^2/8*(L31-SIN(L31)))/($C31*L31/2))^(2/3)*$D31^0.5/$E31)</f>
        <v>0.00207415878637981</v>
      </c>
      <c r="N31" s="17" t="n">
        <f aca="false">L31+IF(M31&lt;$B31,1,-1)*설정!$B$10/2^5</f>
        <v>2.14362005498664</v>
      </c>
      <c r="O31" s="17" t="n">
        <f aca="false">IF($D31&lt;=0,0,($C31^2/8*(N31-SIN(N31)))*(($C31^2/8*(N31-SIN(N31)))/($C31*N31/2))^(2/3)*$D31^0.5/$E31)</f>
        <v>0.0016002870411767</v>
      </c>
      <c r="P31" s="17" t="n">
        <f aca="false">N31+IF(O31&lt;$B31,1,-1)*설정!$B$10/2^6</f>
        <v>2.22606698017843</v>
      </c>
      <c r="Q31" s="17" t="n">
        <f aca="false">IF($D31&lt;=0,0,($C31^2/8*(P31-SIN(P31)))*(($C31^2/8*(P31-SIN(P31)))/($C31*P31/2))^(2/3)*$D31^0.5/$E31)</f>
        <v>0.00182836706000976</v>
      </c>
      <c r="R31" s="17" t="n">
        <f aca="false">P31+IF(Q31&lt;$B31,1,-1)*설정!$B$10/2^7</f>
        <v>2.18484351758254</v>
      </c>
      <c r="S31" s="17" t="n">
        <f aca="false">IF($D31&lt;=0,0,($C31^2/8*(R31-SIN(R31)))*(($C31^2/8*(R31-SIN(R31)))/($C31*R31/2))^(2/3)*$D31^0.5/$E31)</f>
        <v>0.00171209795222438</v>
      </c>
      <c r="T31" s="17" t="n">
        <f aca="false">R31+IF(S31&lt;$B31,1,-1)*설정!$B$10/2^8</f>
        <v>2.20545524888049</v>
      </c>
      <c r="U31" s="17" t="n">
        <f aca="false">IF($D31&lt;=0,0,($C31^2/8*(T31-SIN(T31)))*(($C31^2/8*(T31-SIN(T31)))/($C31*T31/2))^(2/3)*$D31^0.5/$E31)</f>
        <v>0.00176967666376805</v>
      </c>
      <c r="V31" s="17" t="n">
        <f aca="false">T31+IF(U31&lt;$B31,1,-1)*설정!$B$10/2^9</f>
        <v>2.21576111452946</v>
      </c>
      <c r="W31" s="17" t="n">
        <f aca="false">IF($D31&lt;=0,0,($C31^2/8*(V31-SIN(V31)))*(($C31^2/8*(V31-SIN(V31)))/($C31*V31/2))^(2/3)*$D31^0.5/$E31)</f>
        <v>0.00179888312038251</v>
      </c>
      <c r="X31" s="17" t="n">
        <f aca="false">V31+IF(W31&lt;$B31,1,-1)*설정!$B$10/2^10</f>
        <v>2.21060818170497</v>
      </c>
      <c r="Y31" s="17" t="n">
        <f aca="false">IF($D31&lt;=0,0,($C31^2/8*(X31-SIN(X31)))*(($C31^2/8*(X31-SIN(X31)))/($C31*X31/2))^(2/3)*$D31^0.5/$E31)</f>
        <v>0.00178424517751942</v>
      </c>
      <c r="Z31" s="17" t="n">
        <f aca="false">X31+IF(Y31&lt;$B31,1,-1)*설정!$B$10/2^11</f>
        <v>2.21318464811722</v>
      </c>
      <c r="AA31" s="17" t="n">
        <f aca="false">IF($D31&lt;=0,0,($C31^2/8*(Z31-SIN(Z31)))*(($C31^2/8*(Z31-SIN(Z31)))/($C31*Z31/2))^(2/3)*$D31^0.5/$E31)</f>
        <v>0.00179155547384712</v>
      </c>
      <c r="AB31" s="17" t="n">
        <f aca="false">Z31+IF(AA31&lt;$B31,1,-1)*설정!$B$10/2^12</f>
        <v>2.21189641491109</v>
      </c>
      <c r="AC31" s="17" t="n">
        <f aca="false">IF($D31&lt;=0,0,($C31^2/8*(AB31-SIN(AB31)))*(($C31^2/8*(AB31-SIN(AB31)))/($C31*AB31/2))^(2/3)*$D31^0.5/$E31)</f>
        <v>0.00178789815645841</v>
      </c>
      <c r="AD31" s="17" t="n">
        <f aca="false">AB31+IF(AC31&lt;$B31,1,-1)*설정!$B$10/2^13</f>
        <v>2.21254053151416</v>
      </c>
      <c r="AE31" s="17" t="n">
        <f aca="false">IF($D31&lt;=0,0,($C31^2/8*(AD31-SIN(AD31)))*(($C31^2/8*(AD31-SIN(AD31)))/($C31*AD31/2))^(2/3)*$D31^0.5/$E31)</f>
        <v>0.00178972627290222</v>
      </c>
      <c r="AF31" s="17" t="n">
        <f aca="false">AD31+IF(AE31&lt;$B31,1,-1)*설정!$B$10/2^14</f>
        <v>2.21221847321262</v>
      </c>
      <c r="AG31" s="17" t="n">
        <f aca="false">IF($D31&lt;=0,0,($C31^2/8*(AF31-SIN(AF31)))*(($C31^2/8*(AF31-SIN(AF31)))/($C31*AF31/2))^(2/3)*$D31^0.5/$E31)</f>
        <v>0.00178881207911069</v>
      </c>
      <c r="AH31" s="17" t="n">
        <f aca="false">AF31+IF(AG31&lt;$B31,1,-1)*설정!$B$10/2^15</f>
        <v>2.21237950236339</v>
      </c>
      <c r="AI31" s="17" t="n">
        <f aca="false">IF($D31&lt;=0,0,($C31^2/8*(AH31-SIN(AH31)))*(($C31^2/8*(AH31-SIN(AH31)))/($C31*AH31/2))^(2/3)*$D31^0.5/$E31)</f>
        <v>0.00178926914211492</v>
      </c>
      <c r="AJ31" s="17" t="n">
        <f aca="false">AH31+IF(AI31&lt;$B31,1,-1)*설정!$B$10/2^16</f>
        <v>2.21229898778801</v>
      </c>
      <c r="AK31" s="17" t="n">
        <f aca="false">IF($D31&lt;=0,0,($C31^2/8*(AJ31-SIN(AJ31)))*(($C31^2/8*(AJ31-SIN(AJ31)))/($C31*AJ31/2))^(2/3)*$D31^0.5/$E31)</f>
        <v>0.00178904060213981</v>
      </c>
      <c r="AL31" s="17" t="n">
        <f aca="false">AJ31+IF(AK31&lt;$B31,1,-1)*설정!$B$10/2^17</f>
        <v>2.21225873050032</v>
      </c>
      <c r="AM31" s="17" t="n">
        <f aca="false">IF($D31&lt;=0,0,($C31^2/8*(AL31-SIN(AL31)))*(($C31^2/8*(AL31-SIN(AL31)))/($C31*AL31/2))^(2/3)*$D31^0.5/$E31)</f>
        <v>0.00178892633850699</v>
      </c>
      <c r="AN31" s="17" t="n">
        <f aca="false">AL31+IF(AM31&lt;$B31,1,-1)*설정!$B$10/2^18</f>
        <v>2.21227885914416</v>
      </c>
      <c r="AO31" s="17" t="n">
        <f aca="false">IF($D31&lt;=0,0,($C31^2/8*(AN31-SIN(AN31)))*(($C31^2/8*(AN31-SIN(AN31)))/($C31*AN31/2))^(2/3)*$D31^0.5/$E31)</f>
        <v>0.00178898346979384</v>
      </c>
      <c r="AP31" s="17" t="n">
        <f aca="false">AN31+IF(AO31&lt;$B31,1,-1)*설정!$B$10/2^19</f>
        <v>2.21228892346608</v>
      </c>
      <c r="AQ31" s="17" t="n">
        <f aca="false">IF($D31&lt;=0,0,($C31^2/8*(AP31-SIN(AP31)))*(($C31^2/8*(AP31-SIN(AP31)))/($C31*AP31/2))^(2/3)*$D31^0.5/$E31)</f>
        <v>0.00178901203583444</v>
      </c>
      <c r="AR31" s="17" t="n">
        <f aca="false">AP31+IF(AQ31&lt;$B31,1,-1)*설정!$B$10/2^20</f>
        <v>2.21228389130512</v>
      </c>
      <c r="AS31" s="17" t="n">
        <f aca="false">IF($D31&lt;=0,0,($C31^2/8*(AR31-SIN(AR31)))*(($C31^2/8*(AR31-SIN(AR31)))/($C31*AR31/2))^(2/3)*$D31^0.5/$E31)</f>
        <v>0.00178899775278104</v>
      </c>
      <c r="AT31" s="17" t="n">
        <f aca="false">AR31+IF(AS31&lt;$B31,1,-1)*설정!$B$10/2^21</f>
        <v>2.2122864073856</v>
      </c>
      <c r="AU31" s="17" t="n">
        <f aca="false">IF($D31&lt;=0,0,($C31^2/8*(AT31-SIN(AT31)))*(($C31^2/8*(AT31-SIN(AT31)))/($C31*AT31/2))^(2/3)*$D31^0.5/$E31)</f>
        <v>0.00178900489429946</v>
      </c>
      <c r="AV31" s="17" t="n">
        <f aca="false">AT31+IF(AU31&lt;$B31,1,-1)*설정!$B$10/2^22</f>
        <v>2.21228514934536</v>
      </c>
      <c r="AW31" s="17" t="n">
        <f aca="false">IF($D31&lt;=0,0,($C31^2/8*(AV31-SIN(AV31)))*(($C31^2/8*(AV31-SIN(AV31)))/($C31*AV31/2))^(2/3)*$D31^0.5/$E31)</f>
        <v>0.00178900132353818</v>
      </c>
      <c r="AX31" s="17" t="n">
        <f aca="false">AV31+IF(AW31&lt;$B31,1,-1)*설정!$B$10/2^23</f>
        <v>2.21228577836548</v>
      </c>
      <c r="AY31" s="17" t="n">
        <f aca="false">IF($D31&lt;=0,0,($C31^2/8*(AX31-SIN(AX31)))*(($C31^2/8*(AX31-SIN(AX31)))/($C31*AX31/2))^(2/3)*$D31^0.5/$E31)</f>
        <v>0.00178900310891831</v>
      </c>
      <c r="AZ31" s="17" t="n">
        <f aca="false">AX31+IF(AY31&lt;$B31,1,-1)*설정!$B$10/2^24</f>
        <v>2.21228609287554</v>
      </c>
      <c r="BA31" s="17" t="n">
        <f aca="false">IF($D31&lt;=0,0,($C31^2/8*(AZ31-SIN(AZ31)))*(($C31^2/8*(AZ31-SIN(AZ31)))/($C31*AZ31/2))^(2/3)*$D31^0.5/$E31)</f>
        <v>0.00178900400160875</v>
      </c>
      <c r="BB31" s="17" t="n">
        <f aca="false">AZ31+IF(BA31&lt;$B31,1,-1)*설정!$B$10/2^25</f>
        <v>2.21228625013057</v>
      </c>
      <c r="BC31" s="17" t="n">
        <f aca="false">IF($D31&lt;=0,0,($C31^2/8*(BB31-SIN(BB31)))*(($C31^2/8*(BB31-SIN(BB31)))/($C31*BB31/2))^(2/3)*$D31^0.5/$E31)</f>
        <v>0.00178900444795408</v>
      </c>
      <c r="BD31" s="17" t="n">
        <f aca="false">BB31+IF(BC31&lt;$B31,1,-1)*설정!$B$10/2^26</f>
        <v>2.21228632875809</v>
      </c>
      <c r="BE31" s="17" t="n">
        <f aca="false">IF($D31&lt;=0,0,($C31^2/8*(BD31-SIN(BD31)))*(($C31^2/8*(BD31-SIN(BD31)))/($C31*BD31/2))^(2/3)*$D31^0.5/$E31)</f>
        <v>0.00178900467112676</v>
      </c>
      <c r="BF31" s="17" t="n">
        <f aca="false">BD31+IF(BE31&lt;$B31,1,-1)*설정!$B$10/2^27</f>
        <v>2.21228628944433</v>
      </c>
      <c r="BG31" s="17" t="n">
        <f aca="false">IF($D31&lt;=0,0,($C31^2/8*(BF31-SIN(BF31)))*(($C31^2/8*(BF31-SIN(BF31)))/($C31*BF31/2))^(2/3)*$D31^0.5/$E31)</f>
        <v>0.00178900455954042</v>
      </c>
      <c r="BH31" s="17" t="n">
        <f aca="false">BF31+IF(BG31&lt;$B31,1,-1)*설정!$B$10/2^28</f>
        <v>2.21228630910121</v>
      </c>
      <c r="BI31" s="17" t="n">
        <f aca="false">IF($D31&lt;=0,0,($C31^2/8*(BH31-SIN(BH31)))*(($C31^2/8*(BH31-SIN(BH31)))/($C31*BH31/2))^(2/3)*$D31^0.5/$E31)</f>
        <v>0.00178900461533359</v>
      </c>
      <c r="BJ31" s="17" t="n">
        <f aca="false">BH31+IF(BI31&lt;$B31,1,-1)*설정!$B$10/2^29</f>
        <v>2.21228631892965</v>
      </c>
      <c r="BK31" s="17" t="n">
        <f aca="false">IF($D31&lt;=0,0,($C31^2/8*(BJ31-SIN(BJ31)))*(($C31^2/8*(BJ31-SIN(BJ31)))/($C31*BJ31/2))^(2/3)*$D31^0.5/$E31)</f>
        <v>0.00178900464323018</v>
      </c>
      <c r="BL31" s="17" t="n">
        <f aca="false">BJ31+IF(BK31&lt;$B31,1,-1)*설정!$B$10/2^30</f>
        <v>2.21228631401543</v>
      </c>
      <c r="BM31" s="17" t="n">
        <f aca="false">IF($D31&lt;=0,0,($C31^2/8*(BL31-SIN(BL31)))*(($C31^2/8*(BL31-SIN(BL31)))/($C31*BL31/2))^(2/3)*$D31^0.5/$E31)</f>
        <v>0.00178900462928188</v>
      </c>
      <c r="BN31" s="17" t="n">
        <f aca="false">BL31+IF(BM31&lt;$B31,1,-1)*설정!$B$10/2^31</f>
        <v>2.21228631647254</v>
      </c>
      <c r="BO31" s="17" t="n">
        <f aca="false">IF($D31&lt;=0,0,($C31^2/8*(BN31-SIN(BN31)))*(($C31^2/8*(BN31-SIN(BN31)))/($C31*BN31/2))^(2/3)*$D31^0.5/$E31)</f>
        <v>0.00178900463625603</v>
      </c>
      <c r="BP31" s="17" t="n">
        <f aca="false">BN31+IF(BO31&lt;$B31,1,-1)*설정!$B$10/2^32</f>
        <v>2.21228631524398</v>
      </c>
      <c r="BQ31" s="17" t="n">
        <f aca="false">IF($D31&lt;=0,0,($C31^2/8*(BP31-SIN(BP31)))*(($C31^2/8*(BP31-SIN(BP31)))/($C31*BP31/2))^(2/3)*$D31^0.5/$E31)</f>
        <v>0.00178900463276895</v>
      </c>
      <c r="BR31" s="17" t="n">
        <f aca="false">BP31+IF(BQ31&lt;$B31,1,-1)*설정!$B$10/2^33</f>
        <v>2.21228631462971</v>
      </c>
      <c r="BS31" s="17" t="n">
        <f aca="false">IF($D31&lt;=0,0,($C31^2/8*(BR31-SIN(BR31)))*(($C31^2/8*(BR31-SIN(BR31)))/($C31*BR31/2))^(2/3)*$D31^0.5/$E31)</f>
        <v>0.00178900463102542</v>
      </c>
      <c r="BT31" s="17" t="n">
        <f aca="false">BR31+IF(BS31&lt;$B31,1,-1)*설정!$B$10/2^34</f>
        <v>2.21228631432257</v>
      </c>
      <c r="BU31" s="17" t="n">
        <f aca="false">IF($D31&lt;=0,0,($C31^2/8*(BT31-SIN(BT31)))*(($C31^2/8*(BT31-SIN(BT31)))/($C31*BT31/2))^(2/3)*$D31^0.5/$E31)</f>
        <v>0.00178900463015365</v>
      </c>
      <c r="BV31" s="17" t="n">
        <f aca="false">BT31+IF(BU31&lt;$B31,1,-1)*설정!$B$10/2^35</f>
        <v>2.212286314169</v>
      </c>
      <c r="BW31" s="17" t="n">
        <f aca="false">IF($D31&lt;=0,0,($C31^2/8*(BV31-SIN(BV31)))*(($C31^2/8*(BV31-SIN(BV31)))/($C31*BV31/2))^(2/3)*$D31^0.5/$E31)</f>
        <v>0.00178900462971777</v>
      </c>
      <c r="BX31" s="17" t="n">
        <f aca="false">BV31+IF(BW31&lt;$B31,1,-1)*설정!$B$10/2^36</f>
        <v>2.21228631409221</v>
      </c>
      <c r="BY31" s="17" t="n">
        <f aca="false">IF($D31&lt;=0,0,($C31^2/8*(BX31-SIN(BX31)))*(($C31^2/8*(BX31-SIN(BX31)))/($C31*BX31/2))^(2/3)*$D31^0.5/$E31)</f>
        <v>0.00178900462949982</v>
      </c>
      <c r="BZ31" s="17" t="n">
        <f aca="false">BX31+IF(BY31&lt;$B31,1,-1)*설정!$B$10/2^37</f>
        <v>2.21228631413061</v>
      </c>
      <c r="CA31" s="17" t="n">
        <f aca="false">IF($D31&lt;=0,0,($C31^2/8*(BZ31-SIN(BZ31)))*(($C31^2/8*(BZ31-SIN(BZ31)))/($C31*BZ31/2))^(2/3)*$D31^0.5/$E31)</f>
        <v>0.00178900462960879</v>
      </c>
      <c r="CB31" s="17" t="n">
        <f aca="false">BZ31+IF(CA31&lt;$B31,1,-1)*설정!$B$10/2^38</f>
        <v>2.2122863141498</v>
      </c>
      <c r="CC31" s="17" t="n">
        <f aca="false">IF($D31&lt;=0,0,($C31^2/8*(CB31-SIN(CB31)))*(($C31^2/8*(CB31-SIN(CB31)))/($C31*CB31/2))^(2/3)*$D31^0.5/$E31)</f>
        <v>0.00178900462966328</v>
      </c>
      <c r="CD31" s="17" t="n">
        <f aca="false">CB31+IF(CC31&lt;$B31,1,-1)*설정!$B$10/2^39</f>
        <v>2.2122863141402</v>
      </c>
      <c r="CE31" s="17" t="n">
        <f aca="false">IF($D31&lt;=0,0,($C31^2/8*(CD31-SIN(CD31)))*(($C31^2/8*(CD31-SIN(CD31)))/($C31*CD31/2))^(2/3)*$D31^0.5/$E31)</f>
        <v>0.00178900462963604</v>
      </c>
      <c r="CF31" s="17" t="n">
        <f aca="false">CD31+IF(CE31&lt;$B31,1,-1)*설정!$B$10/2^40</f>
        <v>2.21228631413541</v>
      </c>
      <c r="CG31" s="17" t="n">
        <f aca="false">IF($D31&lt;=0,0,($C31^2/8*(CF31-SIN(CF31)))*(($C31^2/8*(CF31-SIN(CF31)))/($C31*CF31/2))^(2/3)*$D31^0.5/$E31)</f>
        <v>0.00178900462962242</v>
      </c>
      <c r="CH31" s="17" t="n">
        <f aca="false">CF31+IF(CG31&lt;$B31,1,-1)*설정!$B$10/2^41</f>
        <v>2.21228631413781</v>
      </c>
    </row>
    <row r="32" customFormat="false" ht="15" hidden="false" customHeight="false" outlineLevel="0" collapsed="false">
      <c r="A32" s="14" t="str">
        <f aca="false">계산!A32</f>
        <v>BC-28</v>
      </c>
      <c r="B32" s="15" t="n">
        <f aca="false">계산!E32</f>
        <v>0.00178900462962963</v>
      </c>
      <c r="C32" s="14" t="n">
        <f aca="false">입력!E32/1000</f>
        <v>0.2</v>
      </c>
      <c r="D32" s="14" t="n">
        <f aca="false">(입력!F32-입력!G32)/입력!D32</f>
        <v>0.00250000000000004</v>
      </c>
      <c r="E32" s="14" t="n">
        <f aca="false">입력!J32</f>
        <v>0.011</v>
      </c>
      <c r="F32" s="16" t="n">
        <f aca="false">설정!$B$10/2</f>
        <v>2.6383016061374</v>
      </c>
      <c r="G32" s="17" t="n">
        <f aca="false">IF($D32&lt;=0,0,($C32^2/8*(F32-SIN(F32)))*(($C32^2/8*(F32-SIN(F32)))/($C32*F32/2))^(2/3)*$D32^0.5/$E32)</f>
        <v>0.00581284984204589</v>
      </c>
      <c r="H32" s="17" t="n">
        <f aca="false">F32+IF(G32&lt;$B32,1,-1)*설정!$B$10/2^2</f>
        <v>1.3191508030687</v>
      </c>
      <c r="I32" s="17" t="n">
        <f aca="false">IF($D32&lt;=0,0,($C32^2/8*(H32-SIN(H32)))*(($C32^2/8*(H32-SIN(H32)))/($C32*H32/2))^(2/3)*$D32^0.5/$E32)</f>
        <v>0.000447144094816529</v>
      </c>
      <c r="J32" s="17" t="n">
        <f aca="false">H32+IF(I32&lt;$B32,1,-1)*설정!$B$10/2^3</f>
        <v>1.97872620460305</v>
      </c>
      <c r="K32" s="17" t="n">
        <f aca="false">IF($D32&lt;=0,0,($C32^2/8*(J32-SIN(J32)))*(($C32^2/8*(J32-SIN(J32)))/($C32*J32/2))^(2/3)*$D32^0.5/$E32)</f>
        <v>0.00215930445239528</v>
      </c>
      <c r="L32" s="17" t="n">
        <f aca="false">J32+IF(K32&lt;$B32,1,-1)*설정!$B$10/2^4</f>
        <v>1.64893850383588</v>
      </c>
      <c r="M32" s="17" t="n">
        <f aca="false">IF($D32&lt;=0,0,($C32^2/8*(L32-SIN(L32)))*(($C32^2/8*(L32-SIN(L32)))/($C32*L32/2))^(2/3)*$D32^0.5/$E32)</f>
        <v>0.00108340948697301</v>
      </c>
      <c r="N32" s="17" t="n">
        <f aca="false">L32+IF(M32&lt;$B32,1,-1)*설정!$B$10/2^5</f>
        <v>1.81383235421946</v>
      </c>
      <c r="O32" s="17" t="n">
        <f aca="false">IF($D32&lt;=0,0,($C32^2/8*(N32-SIN(N32)))*(($C32^2/8*(N32-SIN(N32)))/($C32*N32/2))^(2/3)*$D32^0.5/$E32)</f>
        <v>0.00156086202151384</v>
      </c>
      <c r="P32" s="17" t="n">
        <f aca="false">N32+IF(O32&lt;$B32,1,-1)*설정!$B$10/2^6</f>
        <v>1.89627927941126</v>
      </c>
      <c r="Q32" s="17" t="n">
        <f aca="false">IF($D32&lt;=0,0,($C32^2/8*(P32-SIN(P32)))*(($C32^2/8*(P32-SIN(P32)))/($C32*P32/2))^(2/3)*$D32^0.5/$E32)</f>
        <v>0.00184446543857855</v>
      </c>
      <c r="R32" s="17" t="n">
        <f aca="false">P32+IF(Q32&lt;$B32,1,-1)*설정!$B$10/2^7</f>
        <v>1.85505581681536</v>
      </c>
      <c r="S32" s="17" t="n">
        <f aca="false">IF($D32&lt;=0,0,($C32^2/8*(R32-SIN(R32)))*(($C32^2/8*(R32-SIN(R32)))/($C32*R32/2))^(2/3)*$D32^0.5/$E32)</f>
        <v>0.00169881071572409</v>
      </c>
      <c r="T32" s="17" t="n">
        <f aca="false">R32+IF(S32&lt;$B32,1,-1)*설정!$B$10/2^8</f>
        <v>1.87566754811331</v>
      </c>
      <c r="U32" s="17" t="n">
        <f aca="false">IF($D32&lt;=0,0,($C32^2/8*(T32-SIN(T32)))*(($C32^2/8*(T32-SIN(T32)))/($C32*T32/2))^(2/3)*$D32^0.5/$E32)</f>
        <v>0.0017706677150782</v>
      </c>
      <c r="V32" s="17" t="n">
        <f aca="false">T32+IF(U32&lt;$B32,1,-1)*설정!$B$10/2^9</f>
        <v>1.88597341376228</v>
      </c>
      <c r="W32" s="17" t="n">
        <f aca="false">IF($D32&lt;=0,0,($C32^2/8*(V32-SIN(V32)))*(($C32^2/8*(V32-SIN(V32)))/($C32*V32/2))^(2/3)*$D32^0.5/$E32)</f>
        <v>0.00180732315603436</v>
      </c>
      <c r="X32" s="17" t="n">
        <f aca="false">V32+IF(W32&lt;$B32,1,-1)*설정!$B$10/2^10</f>
        <v>1.8808204809378</v>
      </c>
      <c r="Y32" s="17" t="n">
        <f aca="false">IF($D32&lt;=0,0,($C32^2/8*(X32-SIN(X32)))*(($C32^2/8*(X32-SIN(X32)))/($C32*X32/2))^(2/3)*$D32^0.5/$E32)</f>
        <v>0.00178893468150251</v>
      </c>
      <c r="Z32" s="17" t="n">
        <f aca="false">X32+IF(Y32&lt;$B32,1,-1)*설정!$B$10/2^11</f>
        <v>1.88339694735004</v>
      </c>
      <c r="AA32" s="17" t="n">
        <f aca="false">IF($D32&lt;=0,0,($C32^2/8*(Z32-SIN(Z32)))*(($C32^2/8*(Z32-SIN(Z32)))/($C32*Z32/2))^(2/3)*$D32^0.5/$E32)</f>
        <v>0.00179811371744594</v>
      </c>
      <c r="AB32" s="17" t="n">
        <f aca="false">Z32+IF(AA32&lt;$B32,1,-1)*설정!$B$10/2^12</f>
        <v>1.88210871414392</v>
      </c>
      <c r="AC32" s="17" t="n">
        <f aca="false">IF($D32&lt;=0,0,($C32^2/8*(AB32-SIN(AB32)))*(($C32^2/8*(AB32-SIN(AB32)))/($C32*AB32/2))^(2/3)*$D32^0.5/$E32)</f>
        <v>0.00179352040073439</v>
      </c>
      <c r="AD32" s="17" t="n">
        <f aca="false">AB32+IF(AC32&lt;$B32,1,-1)*설정!$B$10/2^13</f>
        <v>1.88146459754086</v>
      </c>
      <c r="AE32" s="17" t="n">
        <f aca="false">IF($D32&lt;=0,0,($C32^2/8*(AD32-SIN(AD32)))*(($C32^2/8*(AD32-SIN(AD32)))/($C32*AD32/2))^(2/3)*$D32^0.5/$E32)</f>
        <v>0.00179122659163324</v>
      </c>
      <c r="AF32" s="17" t="n">
        <f aca="false">AD32+IF(AE32&lt;$B32,1,-1)*설정!$B$10/2^14</f>
        <v>1.88114253923933</v>
      </c>
      <c r="AG32" s="17" t="n">
        <f aca="false">IF($D32&lt;=0,0,($C32^2/8*(AF32-SIN(AF32)))*(($C32^2/8*(AF32-SIN(AF32)))/($C32*AF32/2))^(2/3)*$D32^0.5/$E32)</f>
        <v>0.0017900803992216</v>
      </c>
      <c r="AH32" s="17" t="n">
        <f aca="false">AF32+IF(AG32&lt;$B32,1,-1)*설정!$B$10/2^15</f>
        <v>1.88098151008856</v>
      </c>
      <c r="AI32" s="17" t="n">
        <f aca="false">IF($D32&lt;=0,0,($C32^2/8*(AH32-SIN(AH32)))*(($C32^2/8*(AH32-SIN(AH32)))/($C32*AH32/2))^(2/3)*$D32^0.5/$E32)</f>
        <v>0.00178950748102862</v>
      </c>
      <c r="AJ32" s="17" t="n">
        <f aca="false">AH32+IF(AI32&lt;$B32,1,-1)*설정!$B$10/2^16</f>
        <v>1.88090099551318</v>
      </c>
      <c r="AK32" s="17" t="n">
        <f aca="false">IF($D32&lt;=0,0,($C32^2/8*(AJ32-SIN(AJ32)))*(($C32^2/8*(AJ32-SIN(AJ32)))/($C32*AJ32/2))^(2/3)*$D32^0.5/$E32)</f>
        <v>0.00178922106643259</v>
      </c>
      <c r="AL32" s="17" t="n">
        <f aca="false">AJ32+IF(AK32&lt;$B32,1,-1)*설정!$B$10/2^17</f>
        <v>1.88086073822549</v>
      </c>
      <c r="AM32" s="17" t="n">
        <f aca="false">IF($D32&lt;=0,0,($C32^2/8*(AL32-SIN(AL32)))*(($C32^2/8*(AL32-SIN(AL32)))/($C32*AL32/2))^(2/3)*$D32^0.5/$E32)</f>
        <v>0.00178907787025936</v>
      </c>
      <c r="AN32" s="17" t="n">
        <f aca="false">AL32+IF(AM32&lt;$B32,1,-1)*설정!$B$10/2^18</f>
        <v>1.88084060958164</v>
      </c>
      <c r="AO32" s="17" t="n">
        <f aca="false">IF($D32&lt;=0,0,($C32^2/8*(AN32-SIN(AN32)))*(($C32^2/8*(AN32-SIN(AN32)))/($C32*AN32/2))^(2/3)*$D32^0.5/$E32)</f>
        <v>0.00178900627495389</v>
      </c>
      <c r="AP32" s="17" t="n">
        <f aca="false">AN32+IF(AO32&lt;$B32,1,-1)*설정!$B$10/2^19</f>
        <v>1.88083054525972</v>
      </c>
      <c r="AQ32" s="17" t="n">
        <f aca="false">IF($D32&lt;=0,0,($C32^2/8*(AP32-SIN(AP32)))*(($C32^2/8*(AP32-SIN(AP32)))/($C32*AP32/2))^(2/3)*$D32^0.5/$E32)</f>
        <v>0.00178897047799644</v>
      </c>
      <c r="AR32" s="17" t="n">
        <f aca="false">AP32+IF(AQ32&lt;$B32,1,-1)*설정!$B$10/2^20</f>
        <v>1.88083557742068</v>
      </c>
      <c r="AS32" s="17" t="n">
        <f aca="false">IF($D32&lt;=0,0,($C32^2/8*(AR32-SIN(AR32)))*(($C32^2/8*(AR32-SIN(AR32)))/($C32*AR32/2))^(2/3)*$D32^0.5/$E32)</f>
        <v>0.00178898837641722</v>
      </c>
      <c r="AT32" s="17" t="n">
        <f aca="false">AR32+IF(AS32&lt;$B32,1,-1)*설정!$B$10/2^21</f>
        <v>1.88083809350116</v>
      </c>
      <c r="AU32" s="17" t="n">
        <f aca="false">IF($D32&lt;=0,0,($C32^2/8*(AT32-SIN(AT32)))*(($C32^2/8*(AT32-SIN(AT32)))/($C32*AT32/2))^(2/3)*$D32^0.5/$E32)</f>
        <v>0.00178899732567107</v>
      </c>
      <c r="AV32" s="17" t="n">
        <f aca="false">AT32+IF(AU32&lt;$B32,1,-1)*설정!$B$10/2^22</f>
        <v>1.8808393515414</v>
      </c>
      <c r="AW32" s="17" t="n">
        <f aca="false">IF($D32&lt;=0,0,($C32^2/8*(AV32-SIN(AV32)))*(($C32^2/8*(AV32-SIN(AV32)))/($C32*AV32/2))^(2/3)*$D32^0.5/$E32)</f>
        <v>0.00178900180030886</v>
      </c>
      <c r="AX32" s="17" t="n">
        <f aca="false">AV32+IF(AW32&lt;$B32,1,-1)*설정!$B$10/2^23</f>
        <v>1.88083998056152</v>
      </c>
      <c r="AY32" s="17" t="n">
        <f aca="false">IF($D32&lt;=0,0,($C32^2/8*(AX32-SIN(AX32)))*(($C32^2/8*(AX32-SIN(AX32)))/($C32*AX32/2))^(2/3)*$D32^0.5/$E32)</f>
        <v>0.00178900403763047</v>
      </c>
      <c r="AZ32" s="17" t="n">
        <f aca="false">AX32+IF(AY32&lt;$B32,1,-1)*설정!$B$10/2^24</f>
        <v>1.88084029507158</v>
      </c>
      <c r="BA32" s="17" t="n">
        <f aca="false">IF($D32&lt;=0,0,($C32^2/8*(AZ32-SIN(AZ32)))*(($C32^2/8*(AZ32-SIN(AZ32)))/($C32*AZ32/2))^(2/3)*$D32^0.5/$E32)</f>
        <v>0.00178900515629195</v>
      </c>
      <c r="BB32" s="17" t="n">
        <f aca="false">AZ32+IF(BA32&lt;$B32,1,-1)*설정!$B$10/2^25</f>
        <v>1.88084013781655</v>
      </c>
      <c r="BC32" s="17" t="n">
        <f aca="false">IF($D32&lt;=0,0,($C32^2/8*(BB32-SIN(BB32)))*(($C32^2/8*(BB32-SIN(BB32)))/($C32*BB32/2))^(2/3)*$D32^0.5/$E32)</f>
        <v>0.00178900459696115</v>
      </c>
      <c r="BD32" s="17" t="n">
        <f aca="false">BB32+IF(BC32&lt;$B32,1,-1)*설정!$B$10/2^26</f>
        <v>1.88084021644407</v>
      </c>
      <c r="BE32" s="17" t="n">
        <f aca="false">IF($D32&lt;=0,0,($C32^2/8*(BD32-SIN(BD32)))*(($C32^2/8*(BD32-SIN(BD32)))/($C32*BD32/2))^(2/3)*$D32^0.5/$E32)</f>
        <v>0.00178900487662654</v>
      </c>
      <c r="BF32" s="17" t="n">
        <f aca="false">BD32+IF(BE32&lt;$B32,1,-1)*설정!$B$10/2^27</f>
        <v>1.88084017713031</v>
      </c>
      <c r="BG32" s="17" t="n">
        <f aca="false">IF($D32&lt;=0,0,($C32^2/8*(BF32-SIN(BF32)))*(($C32^2/8*(BF32-SIN(BF32)))/($C32*BF32/2))^(2/3)*$D32^0.5/$E32)</f>
        <v>0.00178900473679384</v>
      </c>
      <c r="BH32" s="17" t="n">
        <f aca="false">BF32+IF(BG32&lt;$B32,1,-1)*설정!$B$10/2^28</f>
        <v>1.88084015747343</v>
      </c>
      <c r="BI32" s="17" t="n">
        <f aca="false">IF($D32&lt;=0,0,($C32^2/8*(BH32-SIN(BH32)))*(($C32^2/8*(BH32-SIN(BH32)))/($C32*BH32/2))^(2/3)*$D32^0.5/$E32)</f>
        <v>0.0017890046668775</v>
      </c>
      <c r="BJ32" s="17" t="n">
        <f aca="false">BH32+IF(BI32&lt;$B32,1,-1)*설정!$B$10/2^29</f>
        <v>1.88084014764499</v>
      </c>
      <c r="BK32" s="17" t="n">
        <f aca="false">IF($D32&lt;=0,0,($C32^2/8*(BJ32-SIN(BJ32)))*(($C32^2/8*(BJ32-SIN(BJ32)))/($C32*BJ32/2))^(2/3)*$D32^0.5/$E32)</f>
        <v>0.00178900463191933</v>
      </c>
      <c r="BL32" s="17" t="n">
        <f aca="false">BJ32+IF(BK32&lt;$B32,1,-1)*설정!$B$10/2^30</f>
        <v>1.88084014273077</v>
      </c>
      <c r="BM32" s="17" t="n">
        <f aca="false">IF($D32&lt;=0,0,($C32^2/8*(BL32-SIN(BL32)))*(($C32^2/8*(BL32-SIN(BL32)))/($C32*BL32/2))^(2/3)*$D32^0.5/$E32)</f>
        <v>0.00178900461444024</v>
      </c>
      <c r="BN32" s="17" t="n">
        <f aca="false">BL32+IF(BM32&lt;$B32,1,-1)*설정!$B$10/2^31</f>
        <v>1.88084014518788</v>
      </c>
      <c r="BO32" s="17" t="n">
        <f aca="false">IF($D32&lt;=0,0,($C32^2/8*(BN32-SIN(BN32)))*(($C32^2/8*(BN32-SIN(BN32)))/($C32*BN32/2))^(2/3)*$D32^0.5/$E32)</f>
        <v>0.00178900462317978</v>
      </c>
      <c r="BP32" s="17" t="n">
        <f aca="false">BN32+IF(BO32&lt;$B32,1,-1)*설정!$B$10/2^32</f>
        <v>1.88084014641644</v>
      </c>
      <c r="BQ32" s="17" t="n">
        <f aca="false">IF($D32&lt;=0,0,($C32^2/8*(BP32-SIN(BP32)))*(($C32^2/8*(BP32-SIN(BP32)))/($C32*BP32/2))^(2/3)*$D32^0.5/$E32)</f>
        <v>0.00178900462754955</v>
      </c>
      <c r="BR32" s="17" t="n">
        <f aca="false">BP32+IF(BQ32&lt;$B32,1,-1)*설정!$B$10/2^33</f>
        <v>1.88084014703071</v>
      </c>
      <c r="BS32" s="17" t="n">
        <f aca="false">IF($D32&lt;=0,0,($C32^2/8*(BR32-SIN(BR32)))*(($C32^2/8*(BR32-SIN(BR32)))/($C32*BR32/2))^(2/3)*$D32^0.5/$E32)</f>
        <v>0.00178900462973444</v>
      </c>
      <c r="BT32" s="17" t="n">
        <f aca="false">BR32+IF(BS32&lt;$B32,1,-1)*설정!$B$10/2^34</f>
        <v>1.88084014672358</v>
      </c>
      <c r="BU32" s="17" t="n">
        <f aca="false">IF($D32&lt;=0,0,($C32^2/8*(BT32-SIN(BT32)))*(($C32^2/8*(BT32-SIN(BT32)))/($C32*BT32/2))^(2/3)*$D32^0.5/$E32)</f>
        <v>0.001789004628642</v>
      </c>
      <c r="BV32" s="17" t="n">
        <f aca="false">BT32+IF(BU32&lt;$B32,1,-1)*설정!$B$10/2^35</f>
        <v>1.88084014687715</v>
      </c>
      <c r="BW32" s="17" t="n">
        <f aca="false">IF($D32&lt;=0,0,($C32^2/8*(BV32-SIN(BV32)))*(($C32^2/8*(BV32-SIN(BV32)))/($C32*BV32/2))^(2/3)*$D32^0.5/$E32)</f>
        <v>0.00178900462918822</v>
      </c>
      <c r="BX32" s="17" t="n">
        <f aca="false">BV32+IF(BW32&lt;$B32,1,-1)*설정!$B$10/2^36</f>
        <v>1.88084014695393</v>
      </c>
      <c r="BY32" s="17" t="n">
        <f aca="false">IF($D32&lt;=0,0,($C32^2/8*(BX32-SIN(BX32)))*(($C32^2/8*(BX32-SIN(BX32)))/($C32*BX32/2))^(2/3)*$D32^0.5/$E32)</f>
        <v>0.00178900462946133</v>
      </c>
      <c r="BZ32" s="17" t="n">
        <f aca="false">BX32+IF(BY32&lt;$B32,1,-1)*설정!$B$10/2^37</f>
        <v>1.88084014699232</v>
      </c>
      <c r="CA32" s="17" t="n">
        <f aca="false">IF($D32&lt;=0,0,($C32^2/8*(BZ32-SIN(BZ32)))*(($C32^2/8*(BZ32-SIN(BZ32)))/($C32*BZ32/2))^(2/3)*$D32^0.5/$E32)</f>
        <v>0.00178900462959788</v>
      </c>
      <c r="CB32" s="17" t="n">
        <f aca="false">BZ32+IF(CA32&lt;$B32,1,-1)*설정!$B$10/2^38</f>
        <v>1.88084014701152</v>
      </c>
      <c r="CC32" s="17" t="n">
        <f aca="false">IF($D32&lt;=0,0,($C32^2/8*(CB32-SIN(CB32)))*(($C32^2/8*(CB32-SIN(CB32)))/($C32*CB32/2))^(2/3)*$D32^0.5/$E32)</f>
        <v>0.00178900462966616</v>
      </c>
      <c r="CD32" s="17" t="n">
        <f aca="false">CB32+IF(CC32&lt;$B32,1,-1)*설정!$B$10/2^39</f>
        <v>1.88084014700192</v>
      </c>
      <c r="CE32" s="17" t="n">
        <f aca="false">IF($D32&lt;=0,0,($C32^2/8*(CD32-SIN(CD32)))*(($C32^2/8*(CD32-SIN(CD32)))/($C32*CD32/2))^(2/3)*$D32^0.5/$E32)</f>
        <v>0.00178900462963202</v>
      </c>
      <c r="CF32" s="17" t="n">
        <f aca="false">CD32+IF(CE32&lt;$B32,1,-1)*설정!$B$10/2^40</f>
        <v>1.88084014699712</v>
      </c>
      <c r="CG32" s="17" t="n">
        <f aca="false">IF($D32&lt;=0,0,($C32^2/8*(CF32-SIN(CF32)))*(($C32^2/8*(CF32-SIN(CF32)))/($C32*CF32/2))^(2/3)*$D32^0.5/$E32)</f>
        <v>0.00178900462961495</v>
      </c>
      <c r="CH32" s="17" t="n">
        <f aca="false">CF32+IF(CG32&lt;$B32,1,-1)*설정!$B$10/2^41</f>
        <v>1.88084014699952</v>
      </c>
    </row>
    <row r="33" customFormat="false" ht="15" hidden="false" customHeight="false" outlineLevel="0" collapsed="false">
      <c r="A33" s="14" t="str">
        <f aca="false">계산!A33</f>
        <v>BC-29</v>
      </c>
      <c r="B33" s="15" t="n">
        <f aca="false">계산!E33</f>
        <v>0.00178900462962963</v>
      </c>
      <c r="C33" s="14" t="n">
        <f aca="false">입력!E33/1000</f>
        <v>0.2</v>
      </c>
      <c r="D33" s="14" t="n">
        <f aca="false">(입력!F33-입력!G33)/입력!D33</f>
        <v>0.00249999999999995</v>
      </c>
      <c r="E33" s="14" t="n">
        <f aca="false">입력!J33</f>
        <v>0.011</v>
      </c>
      <c r="F33" s="16" t="n">
        <f aca="false">설정!$B$10/2</f>
        <v>2.6383016061374</v>
      </c>
      <c r="G33" s="17" t="n">
        <f aca="false">IF($D33&lt;=0,0,($C33^2/8*(F33-SIN(F33)))*(($C33^2/8*(F33-SIN(F33)))/($C33*F33/2))^(2/3)*$D33^0.5/$E33)</f>
        <v>0.00581284984204579</v>
      </c>
      <c r="H33" s="17" t="n">
        <f aca="false">F33+IF(G33&lt;$B33,1,-1)*설정!$B$10/2^2</f>
        <v>1.3191508030687</v>
      </c>
      <c r="I33" s="17" t="n">
        <f aca="false">IF($D33&lt;=0,0,($C33^2/8*(H33-SIN(H33)))*(($C33^2/8*(H33-SIN(H33)))/($C33*H33/2))^(2/3)*$D33^0.5/$E33)</f>
        <v>0.000447144094816521</v>
      </c>
      <c r="J33" s="17" t="n">
        <f aca="false">H33+IF(I33&lt;$B33,1,-1)*설정!$B$10/2^3</f>
        <v>1.97872620460305</v>
      </c>
      <c r="K33" s="17" t="n">
        <f aca="false">IF($D33&lt;=0,0,($C33^2/8*(J33-SIN(J33)))*(($C33^2/8*(J33-SIN(J33)))/($C33*J33/2))^(2/3)*$D33^0.5/$E33)</f>
        <v>0.00215930445239525</v>
      </c>
      <c r="L33" s="17" t="n">
        <f aca="false">J33+IF(K33&lt;$B33,1,-1)*설정!$B$10/2^4</f>
        <v>1.64893850383588</v>
      </c>
      <c r="M33" s="17" t="n">
        <f aca="false">IF($D33&lt;=0,0,($C33^2/8*(L33-SIN(L33)))*(($C33^2/8*(L33-SIN(L33)))/($C33*L33/2))^(2/3)*$D33^0.5/$E33)</f>
        <v>0.00108340948697299</v>
      </c>
      <c r="N33" s="17" t="n">
        <f aca="false">L33+IF(M33&lt;$B33,1,-1)*설정!$B$10/2^5</f>
        <v>1.81383235421946</v>
      </c>
      <c r="O33" s="17" t="n">
        <f aca="false">IF($D33&lt;=0,0,($C33^2/8*(N33-SIN(N33)))*(($C33^2/8*(N33-SIN(N33)))/($C33*N33/2))^(2/3)*$D33^0.5/$E33)</f>
        <v>0.00156086202151382</v>
      </c>
      <c r="P33" s="17" t="n">
        <f aca="false">N33+IF(O33&lt;$B33,1,-1)*설정!$B$10/2^6</f>
        <v>1.89627927941126</v>
      </c>
      <c r="Q33" s="17" t="n">
        <f aca="false">IF($D33&lt;=0,0,($C33^2/8*(P33-SIN(P33)))*(($C33^2/8*(P33-SIN(P33)))/($C33*P33/2))^(2/3)*$D33^0.5/$E33)</f>
        <v>0.00184446543857852</v>
      </c>
      <c r="R33" s="17" t="n">
        <f aca="false">P33+IF(Q33&lt;$B33,1,-1)*설정!$B$10/2^7</f>
        <v>1.85505581681536</v>
      </c>
      <c r="S33" s="17" t="n">
        <f aca="false">IF($D33&lt;=0,0,($C33^2/8*(R33-SIN(R33)))*(($C33^2/8*(R33-SIN(R33)))/($C33*R33/2))^(2/3)*$D33^0.5/$E33)</f>
        <v>0.00169881071572406</v>
      </c>
      <c r="T33" s="17" t="n">
        <f aca="false">R33+IF(S33&lt;$B33,1,-1)*설정!$B$10/2^8</f>
        <v>1.87566754811331</v>
      </c>
      <c r="U33" s="17" t="n">
        <f aca="false">IF($D33&lt;=0,0,($C33^2/8*(T33-SIN(T33)))*(($C33^2/8*(T33-SIN(T33)))/($C33*T33/2))^(2/3)*$D33^0.5/$E33)</f>
        <v>0.00177066771507817</v>
      </c>
      <c r="V33" s="17" t="n">
        <f aca="false">T33+IF(U33&lt;$B33,1,-1)*설정!$B$10/2^9</f>
        <v>1.88597341376228</v>
      </c>
      <c r="W33" s="17" t="n">
        <f aca="false">IF($D33&lt;=0,0,($C33^2/8*(V33-SIN(V33)))*(($C33^2/8*(V33-SIN(V33)))/($C33*V33/2))^(2/3)*$D33^0.5/$E33)</f>
        <v>0.00180732315603433</v>
      </c>
      <c r="X33" s="17" t="n">
        <f aca="false">V33+IF(W33&lt;$B33,1,-1)*설정!$B$10/2^10</f>
        <v>1.8808204809378</v>
      </c>
      <c r="Y33" s="17" t="n">
        <f aca="false">IF($D33&lt;=0,0,($C33^2/8*(X33-SIN(X33)))*(($C33^2/8*(X33-SIN(X33)))/($C33*X33/2))^(2/3)*$D33^0.5/$E33)</f>
        <v>0.00178893468150248</v>
      </c>
      <c r="Z33" s="17" t="n">
        <f aca="false">X33+IF(Y33&lt;$B33,1,-1)*설정!$B$10/2^11</f>
        <v>1.88339694735004</v>
      </c>
      <c r="AA33" s="17" t="n">
        <f aca="false">IF($D33&lt;=0,0,($C33^2/8*(Z33-SIN(Z33)))*(($C33^2/8*(Z33-SIN(Z33)))/($C33*Z33/2))^(2/3)*$D33^0.5/$E33)</f>
        <v>0.00179811371744591</v>
      </c>
      <c r="AB33" s="17" t="n">
        <f aca="false">Z33+IF(AA33&lt;$B33,1,-1)*설정!$B$10/2^12</f>
        <v>1.88210871414392</v>
      </c>
      <c r="AC33" s="17" t="n">
        <f aca="false">IF($D33&lt;=0,0,($C33^2/8*(AB33-SIN(AB33)))*(($C33^2/8*(AB33-SIN(AB33)))/($C33*AB33/2))^(2/3)*$D33^0.5/$E33)</f>
        <v>0.00179352040073436</v>
      </c>
      <c r="AD33" s="17" t="n">
        <f aca="false">AB33+IF(AC33&lt;$B33,1,-1)*설정!$B$10/2^13</f>
        <v>1.88146459754086</v>
      </c>
      <c r="AE33" s="17" t="n">
        <f aca="false">IF($D33&lt;=0,0,($C33^2/8*(AD33-SIN(AD33)))*(($C33^2/8*(AD33-SIN(AD33)))/($C33*AD33/2))^(2/3)*$D33^0.5/$E33)</f>
        <v>0.00179122659163321</v>
      </c>
      <c r="AF33" s="17" t="n">
        <f aca="false">AD33+IF(AE33&lt;$B33,1,-1)*설정!$B$10/2^14</f>
        <v>1.88114253923933</v>
      </c>
      <c r="AG33" s="17" t="n">
        <f aca="false">IF($D33&lt;=0,0,($C33^2/8*(AF33-SIN(AF33)))*(($C33^2/8*(AF33-SIN(AF33)))/($C33*AF33/2))^(2/3)*$D33^0.5/$E33)</f>
        <v>0.00179008039922157</v>
      </c>
      <c r="AH33" s="17" t="n">
        <f aca="false">AF33+IF(AG33&lt;$B33,1,-1)*설정!$B$10/2^15</f>
        <v>1.88098151008856</v>
      </c>
      <c r="AI33" s="17" t="n">
        <f aca="false">IF($D33&lt;=0,0,($C33^2/8*(AH33-SIN(AH33)))*(($C33^2/8*(AH33-SIN(AH33)))/($C33*AH33/2))^(2/3)*$D33^0.5/$E33)</f>
        <v>0.00178950748102858</v>
      </c>
      <c r="AJ33" s="17" t="n">
        <f aca="false">AH33+IF(AI33&lt;$B33,1,-1)*설정!$B$10/2^16</f>
        <v>1.88090099551318</v>
      </c>
      <c r="AK33" s="17" t="n">
        <f aca="false">IF($D33&lt;=0,0,($C33^2/8*(AJ33-SIN(AJ33)))*(($C33^2/8*(AJ33-SIN(AJ33)))/($C33*AJ33/2))^(2/3)*$D33^0.5/$E33)</f>
        <v>0.00178922106643256</v>
      </c>
      <c r="AL33" s="17" t="n">
        <f aca="false">AJ33+IF(AK33&lt;$B33,1,-1)*설정!$B$10/2^17</f>
        <v>1.88086073822549</v>
      </c>
      <c r="AM33" s="17" t="n">
        <f aca="false">IF($D33&lt;=0,0,($C33^2/8*(AL33-SIN(AL33)))*(($C33^2/8*(AL33-SIN(AL33)))/($C33*AL33/2))^(2/3)*$D33^0.5/$E33)</f>
        <v>0.00178907787025933</v>
      </c>
      <c r="AN33" s="17" t="n">
        <f aca="false">AL33+IF(AM33&lt;$B33,1,-1)*설정!$B$10/2^18</f>
        <v>1.88084060958164</v>
      </c>
      <c r="AO33" s="17" t="n">
        <f aca="false">IF($D33&lt;=0,0,($C33^2/8*(AN33-SIN(AN33)))*(($C33^2/8*(AN33-SIN(AN33)))/($C33*AN33/2))^(2/3)*$D33^0.5/$E33)</f>
        <v>0.00178900627495386</v>
      </c>
      <c r="AP33" s="17" t="n">
        <f aca="false">AN33+IF(AO33&lt;$B33,1,-1)*설정!$B$10/2^19</f>
        <v>1.88083054525972</v>
      </c>
      <c r="AQ33" s="17" t="n">
        <f aca="false">IF($D33&lt;=0,0,($C33^2/8*(AP33-SIN(AP33)))*(($C33^2/8*(AP33-SIN(AP33)))/($C33*AP33/2))^(2/3)*$D33^0.5/$E33)</f>
        <v>0.00178897047799641</v>
      </c>
      <c r="AR33" s="17" t="n">
        <f aca="false">AP33+IF(AQ33&lt;$B33,1,-1)*설정!$B$10/2^20</f>
        <v>1.88083557742068</v>
      </c>
      <c r="AS33" s="17" t="n">
        <f aca="false">IF($D33&lt;=0,0,($C33^2/8*(AR33-SIN(AR33)))*(($C33^2/8*(AR33-SIN(AR33)))/($C33*AR33/2))^(2/3)*$D33^0.5/$E33)</f>
        <v>0.00178898837641719</v>
      </c>
      <c r="AT33" s="17" t="n">
        <f aca="false">AR33+IF(AS33&lt;$B33,1,-1)*설정!$B$10/2^21</f>
        <v>1.88083809350116</v>
      </c>
      <c r="AU33" s="17" t="n">
        <f aca="false">IF($D33&lt;=0,0,($C33^2/8*(AT33-SIN(AT33)))*(($C33^2/8*(AT33-SIN(AT33)))/($C33*AT33/2))^(2/3)*$D33^0.5/$E33)</f>
        <v>0.00178899732567104</v>
      </c>
      <c r="AV33" s="17" t="n">
        <f aca="false">AT33+IF(AU33&lt;$B33,1,-1)*설정!$B$10/2^22</f>
        <v>1.8808393515414</v>
      </c>
      <c r="AW33" s="17" t="n">
        <f aca="false">IF($D33&lt;=0,0,($C33^2/8*(AV33-SIN(AV33)))*(($C33^2/8*(AV33-SIN(AV33)))/($C33*AV33/2))^(2/3)*$D33^0.5/$E33)</f>
        <v>0.00178900180030883</v>
      </c>
      <c r="AX33" s="17" t="n">
        <f aca="false">AV33+IF(AW33&lt;$B33,1,-1)*설정!$B$10/2^23</f>
        <v>1.88083998056152</v>
      </c>
      <c r="AY33" s="17" t="n">
        <f aca="false">IF($D33&lt;=0,0,($C33^2/8*(AX33-SIN(AX33)))*(($C33^2/8*(AX33-SIN(AX33)))/($C33*AX33/2))^(2/3)*$D33^0.5/$E33)</f>
        <v>0.00178900403763044</v>
      </c>
      <c r="AZ33" s="17" t="n">
        <f aca="false">AX33+IF(AY33&lt;$B33,1,-1)*설정!$B$10/2^24</f>
        <v>1.88084029507158</v>
      </c>
      <c r="BA33" s="17" t="n">
        <f aca="false">IF($D33&lt;=0,0,($C33^2/8*(AZ33-SIN(AZ33)))*(($C33^2/8*(AZ33-SIN(AZ33)))/($C33*AZ33/2))^(2/3)*$D33^0.5/$E33)</f>
        <v>0.00178900515629192</v>
      </c>
      <c r="BB33" s="17" t="n">
        <f aca="false">AZ33+IF(BA33&lt;$B33,1,-1)*설정!$B$10/2^25</f>
        <v>1.88084013781655</v>
      </c>
      <c r="BC33" s="17" t="n">
        <f aca="false">IF($D33&lt;=0,0,($C33^2/8*(BB33-SIN(BB33)))*(($C33^2/8*(BB33-SIN(BB33)))/($C33*BB33/2))^(2/3)*$D33^0.5/$E33)</f>
        <v>0.00178900459696112</v>
      </c>
      <c r="BD33" s="17" t="n">
        <f aca="false">BB33+IF(BC33&lt;$B33,1,-1)*설정!$B$10/2^26</f>
        <v>1.88084021644407</v>
      </c>
      <c r="BE33" s="17" t="n">
        <f aca="false">IF($D33&lt;=0,0,($C33^2/8*(BD33-SIN(BD33)))*(($C33^2/8*(BD33-SIN(BD33)))/($C33*BD33/2))^(2/3)*$D33^0.5/$E33)</f>
        <v>0.00178900487662651</v>
      </c>
      <c r="BF33" s="17" t="n">
        <f aca="false">BD33+IF(BE33&lt;$B33,1,-1)*설정!$B$10/2^27</f>
        <v>1.88084017713031</v>
      </c>
      <c r="BG33" s="17" t="n">
        <f aca="false">IF($D33&lt;=0,0,($C33^2/8*(BF33-SIN(BF33)))*(($C33^2/8*(BF33-SIN(BF33)))/($C33*BF33/2))^(2/3)*$D33^0.5/$E33)</f>
        <v>0.00178900473679381</v>
      </c>
      <c r="BH33" s="17" t="n">
        <f aca="false">BF33+IF(BG33&lt;$B33,1,-1)*설정!$B$10/2^28</f>
        <v>1.88084015747343</v>
      </c>
      <c r="BI33" s="17" t="n">
        <f aca="false">IF($D33&lt;=0,0,($C33^2/8*(BH33-SIN(BH33)))*(($C33^2/8*(BH33-SIN(BH33)))/($C33*BH33/2))^(2/3)*$D33^0.5/$E33)</f>
        <v>0.00178900466687747</v>
      </c>
      <c r="BJ33" s="17" t="n">
        <f aca="false">BH33+IF(BI33&lt;$B33,1,-1)*설정!$B$10/2^29</f>
        <v>1.88084014764499</v>
      </c>
      <c r="BK33" s="17" t="n">
        <f aca="false">IF($D33&lt;=0,0,($C33^2/8*(BJ33-SIN(BJ33)))*(($C33^2/8*(BJ33-SIN(BJ33)))/($C33*BJ33/2))^(2/3)*$D33^0.5/$E33)</f>
        <v>0.00178900463191929</v>
      </c>
      <c r="BL33" s="17" t="n">
        <f aca="false">BJ33+IF(BK33&lt;$B33,1,-1)*설정!$B$10/2^30</f>
        <v>1.88084014273077</v>
      </c>
      <c r="BM33" s="17" t="n">
        <f aca="false">IF($D33&lt;=0,0,($C33^2/8*(BL33-SIN(BL33)))*(($C33^2/8*(BL33-SIN(BL33)))/($C33*BL33/2))^(2/3)*$D33^0.5/$E33)</f>
        <v>0.00178900461444021</v>
      </c>
      <c r="BN33" s="17" t="n">
        <f aca="false">BL33+IF(BM33&lt;$B33,1,-1)*설정!$B$10/2^31</f>
        <v>1.88084014518788</v>
      </c>
      <c r="BO33" s="17" t="n">
        <f aca="false">IF($D33&lt;=0,0,($C33^2/8*(BN33-SIN(BN33)))*(($C33^2/8*(BN33-SIN(BN33)))/($C33*BN33/2))^(2/3)*$D33^0.5/$E33)</f>
        <v>0.00178900462317975</v>
      </c>
      <c r="BP33" s="17" t="n">
        <f aca="false">BN33+IF(BO33&lt;$B33,1,-1)*설정!$B$10/2^32</f>
        <v>1.88084014641644</v>
      </c>
      <c r="BQ33" s="17" t="n">
        <f aca="false">IF($D33&lt;=0,0,($C33^2/8*(BP33-SIN(BP33)))*(($C33^2/8*(BP33-SIN(BP33)))/($C33*BP33/2))^(2/3)*$D33^0.5/$E33)</f>
        <v>0.00178900462754952</v>
      </c>
      <c r="BR33" s="17" t="n">
        <f aca="false">BP33+IF(BQ33&lt;$B33,1,-1)*설정!$B$10/2^33</f>
        <v>1.88084014703071</v>
      </c>
      <c r="BS33" s="17" t="n">
        <f aca="false">IF($D33&lt;=0,0,($C33^2/8*(BR33-SIN(BR33)))*(($C33^2/8*(BR33-SIN(BR33)))/($C33*BR33/2))^(2/3)*$D33^0.5/$E33)</f>
        <v>0.00178900462973441</v>
      </c>
      <c r="BT33" s="17" t="n">
        <f aca="false">BR33+IF(BS33&lt;$B33,1,-1)*설정!$B$10/2^34</f>
        <v>1.88084014672358</v>
      </c>
      <c r="BU33" s="17" t="n">
        <f aca="false">IF($D33&lt;=0,0,($C33^2/8*(BT33-SIN(BT33)))*(($C33^2/8*(BT33-SIN(BT33)))/($C33*BT33/2))^(2/3)*$D33^0.5/$E33)</f>
        <v>0.00178900462864196</v>
      </c>
      <c r="BV33" s="17" t="n">
        <f aca="false">BT33+IF(BU33&lt;$B33,1,-1)*설정!$B$10/2^35</f>
        <v>1.88084014687715</v>
      </c>
      <c r="BW33" s="17" t="n">
        <f aca="false">IF($D33&lt;=0,0,($C33^2/8*(BV33-SIN(BV33)))*(($C33^2/8*(BV33-SIN(BV33)))/($C33*BV33/2))^(2/3)*$D33^0.5/$E33)</f>
        <v>0.00178900462918819</v>
      </c>
      <c r="BX33" s="17" t="n">
        <f aca="false">BV33+IF(BW33&lt;$B33,1,-1)*설정!$B$10/2^36</f>
        <v>1.88084014695393</v>
      </c>
      <c r="BY33" s="17" t="n">
        <f aca="false">IF($D33&lt;=0,0,($C33^2/8*(BX33-SIN(BX33)))*(($C33^2/8*(BX33-SIN(BX33)))/($C33*BX33/2))^(2/3)*$D33^0.5/$E33)</f>
        <v>0.0017890046294613</v>
      </c>
      <c r="BZ33" s="17" t="n">
        <f aca="false">BX33+IF(BY33&lt;$B33,1,-1)*설정!$B$10/2^37</f>
        <v>1.88084014699232</v>
      </c>
      <c r="CA33" s="17" t="n">
        <f aca="false">IF($D33&lt;=0,0,($C33^2/8*(BZ33-SIN(BZ33)))*(($C33^2/8*(BZ33-SIN(BZ33)))/($C33*BZ33/2))^(2/3)*$D33^0.5/$E33)</f>
        <v>0.00178900462959785</v>
      </c>
      <c r="CB33" s="17" t="n">
        <f aca="false">BZ33+IF(CA33&lt;$B33,1,-1)*설정!$B$10/2^38</f>
        <v>1.88084014701152</v>
      </c>
      <c r="CC33" s="17" t="n">
        <f aca="false">IF($D33&lt;=0,0,($C33^2/8*(CB33-SIN(CB33)))*(($C33^2/8*(CB33-SIN(CB33)))/($C33*CB33/2))^(2/3)*$D33^0.5/$E33)</f>
        <v>0.00178900462966613</v>
      </c>
      <c r="CD33" s="17" t="n">
        <f aca="false">CB33+IF(CC33&lt;$B33,1,-1)*설정!$B$10/2^39</f>
        <v>1.88084014700192</v>
      </c>
      <c r="CE33" s="17" t="n">
        <f aca="false">IF($D33&lt;=0,0,($C33^2/8*(CD33-SIN(CD33)))*(($C33^2/8*(CD33-SIN(CD33)))/($C33*CD33/2))^(2/3)*$D33^0.5/$E33)</f>
        <v>0.00178900462963199</v>
      </c>
      <c r="CF33" s="17" t="n">
        <f aca="false">CD33+IF(CE33&lt;$B33,1,-1)*설정!$B$10/2^40</f>
        <v>1.88084014699712</v>
      </c>
      <c r="CG33" s="17" t="n">
        <f aca="false">IF($D33&lt;=0,0,($C33^2/8*(CF33-SIN(CF33)))*(($C33^2/8*(CF33-SIN(CF33)))/($C33*CF33/2))^(2/3)*$D33^0.5/$E33)</f>
        <v>0.00178900462961492</v>
      </c>
      <c r="CH33" s="17" t="n">
        <f aca="false">CF33+IF(CG33&lt;$B33,1,-1)*설정!$B$10/2^41</f>
        <v>1.88084014699952</v>
      </c>
    </row>
    <row r="34" customFormat="false" ht="15" hidden="false" customHeight="false" outlineLevel="0" collapsed="false">
      <c r="A34" s="14" t="str">
        <f aca="false">계산!A34</f>
        <v>BC-30</v>
      </c>
      <c r="B34" s="15" t="n">
        <f aca="false">계산!E34</f>
        <v>0.00178900462962963</v>
      </c>
      <c r="C34" s="14" t="n">
        <f aca="false">입력!E34/1000</f>
        <v>0.2</v>
      </c>
      <c r="D34" s="14" t="n">
        <f aca="false">(입력!F34-입력!G34)/입력!D34</f>
        <v>0.00357142857142862</v>
      </c>
      <c r="E34" s="14" t="n">
        <f aca="false">입력!J34</f>
        <v>0.011</v>
      </c>
      <c r="F34" s="16" t="n">
        <f aca="false">설정!$B$10/2</f>
        <v>2.6383016061374</v>
      </c>
      <c r="G34" s="17" t="n">
        <f aca="false">IF($D34&lt;=0,0,($C34^2/8*(F34-SIN(F34)))*(($C34^2/8*(F34-SIN(F34)))/($C34*F34/2))^(2/3)*$D34^0.5/$E34)</f>
        <v>0.00694768443297816</v>
      </c>
      <c r="H34" s="17" t="n">
        <f aca="false">F34+IF(G34&lt;$B34,1,-1)*설정!$B$10/2^2</f>
        <v>1.3191508030687</v>
      </c>
      <c r="I34" s="17" t="n">
        <f aca="false">IF($D34&lt;=0,0,($C34^2/8*(H34-SIN(H34)))*(($C34^2/8*(H34-SIN(H34)))/($C34*H34/2))^(2/3)*$D34^0.5/$E34)</f>
        <v>0.000534439414619646</v>
      </c>
      <c r="J34" s="17" t="n">
        <f aca="false">H34+IF(I34&lt;$B34,1,-1)*설정!$B$10/2^3</f>
        <v>1.97872620460305</v>
      </c>
      <c r="K34" s="17" t="n">
        <f aca="false">IF($D34&lt;=0,0,($C34^2/8*(J34-SIN(J34)))*(($C34^2/8*(J34-SIN(J34)))/($C34*J34/2))^(2/3)*$D34^0.5/$E34)</f>
        <v>0.00258086245776598</v>
      </c>
      <c r="L34" s="17" t="n">
        <f aca="false">J34+IF(K34&lt;$B34,1,-1)*설정!$B$10/2^4</f>
        <v>1.64893850383588</v>
      </c>
      <c r="M34" s="17" t="n">
        <f aca="false">IF($D34&lt;=0,0,($C34^2/8*(L34-SIN(L34)))*(($C34^2/8*(L34-SIN(L34)))/($C34*L34/2))^(2/3)*$D34^0.5/$E34)</f>
        <v>0.00129492201445444</v>
      </c>
      <c r="N34" s="17" t="n">
        <f aca="false">L34+IF(M34&lt;$B34,1,-1)*설정!$B$10/2^5</f>
        <v>1.81383235421946</v>
      </c>
      <c r="O34" s="17" t="n">
        <f aca="false">IF($D34&lt;=0,0,($C34^2/8*(N34-SIN(N34)))*(($C34^2/8*(N34-SIN(N34)))/($C34*N34/2))^(2/3)*$D34^0.5/$E34)</f>
        <v>0.00186558694333686</v>
      </c>
      <c r="P34" s="17" t="n">
        <f aca="false">N34+IF(O34&lt;$B34,1,-1)*설정!$B$10/2^6</f>
        <v>1.73138542902767</v>
      </c>
      <c r="Q34" s="17" t="n">
        <f aca="false">IF($D34&lt;=0,0,($C34^2/8*(P34-SIN(P34)))*(($C34^2/8*(P34-SIN(P34)))/($C34*P34/2))^(2/3)*$D34^0.5/$E34)</f>
        <v>0.00156284527885308</v>
      </c>
      <c r="R34" s="17" t="n">
        <f aca="false">P34+IF(Q34&lt;$B34,1,-1)*설정!$B$10/2^7</f>
        <v>1.77260889162357</v>
      </c>
      <c r="S34" s="17" t="n">
        <f aca="false">IF($D34&lt;=0,0,($C34^2/8*(R34-SIN(R34)))*(($C34^2/8*(R34-SIN(R34)))/($C34*R34/2))^(2/3)*$D34^0.5/$E34)</f>
        <v>0.00170976882636096</v>
      </c>
      <c r="T34" s="17" t="n">
        <f aca="false">R34+IF(S34&lt;$B34,1,-1)*설정!$B$10/2^8</f>
        <v>1.79322062292152</v>
      </c>
      <c r="U34" s="17" t="n">
        <f aca="false">IF($D34&lt;=0,0,($C34^2/8*(T34-SIN(T34)))*(($C34^2/8*(T34-SIN(T34)))/($C34*T34/2))^(2/3)*$D34^0.5/$E34)</f>
        <v>0.00178655515454885</v>
      </c>
      <c r="V34" s="17" t="n">
        <f aca="false">T34+IF(U34&lt;$B34,1,-1)*설정!$B$10/2^9</f>
        <v>1.80352648857049</v>
      </c>
      <c r="W34" s="17" t="n">
        <f aca="false">IF($D34&lt;=0,0,($C34^2/8*(V34-SIN(V34)))*(($C34^2/8*(V34-SIN(V34)))/($C34*V34/2))^(2/3)*$D34^0.5/$E34)</f>
        <v>0.00182578906571613</v>
      </c>
      <c r="X34" s="17" t="n">
        <f aca="false">V34+IF(W34&lt;$B34,1,-1)*설정!$B$10/2^10</f>
        <v>1.798373555746</v>
      </c>
      <c r="Y34" s="17" t="n">
        <f aca="false">IF($D34&lt;=0,0,($C34^2/8*(X34-SIN(X34)))*(($C34^2/8*(X34-SIN(X34)))/($C34*X34/2))^(2/3)*$D34^0.5/$E34)</f>
        <v>0.00180610177404402</v>
      </c>
      <c r="Z34" s="17" t="n">
        <f aca="false">X34+IF(Y34&lt;$B34,1,-1)*설정!$B$10/2^11</f>
        <v>1.79579708933376</v>
      </c>
      <c r="AA34" s="17" t="n">
        <f aca="false">IF($D34&lt;=0,0,($C34^2/8*(Z34-SIN(Z34)))*(($C34^2/8*(Z34-SIN(Z34)))/($C34*Z34/2))^(2/3)*$D34^0.5/$E34)</f>
        <v>0.00179631090049116</v>
      </c>
      <c r="AB34" s="17" t="n">
        <f aca="false">Z34+IF(AA34&lt;$B34,1,-1)*설정!$B$10/2^12</f>
        <v>1.79450885612764</v>
      </c>
      <c r="AC34" s="17" t="n">
        <f aca="false">IF($D34&lt;=0,0,($C34^2/8*(AB34-SIN(AB34)))*(($C34^2/8*(AB34-SIN(AB34)))/($C34*AB34/2))^(2/3)*$D34^0.5/$E34)</f>
        <v>0.00179142863911147</v>
      </c>
      <c r="AD34" s="17" t="n">
        <f aca="false">AB34+IF(AC34&lt;$B34,1,-1)*설정!$B$10/2^13</f>
        <v>1.79386473952458</v>
      </c>
      <c r="AE34" s="17" t="n">
        <f aca="false">IF($D34&lt;=0,0,($C34^2/8*(AD34-SIN(AD34)))*(($C34^2/8*(AD34-SIN(AD34)))/($C34*AD34/2))^(2/3)*$D34^0.5/$E34)</f>
        <v>0.00178899080004685</v>
      </c>
      <c r="AF34" s="17" t="n">
        <f aca="false">AD34+IF(AE34&lt;$B34,1,-1)*설정!$B$10/2^14</f>
        <v>1.79418679782611</v>
      </c>
      <c r="AG34" s="17" t="n">
        <f aca="false">IF($D34&lt;=0,0,($C34^2/8*(AF34-SIN(AF34)))*(($C34^2/8*(AF34-SIN(AF34)))/($C34*AF34/2))^(2/3)*$D34^0.5/$E34)</f>
        <v>0.00179020944534343</v>
      </c>
      <c r="AH34" s="17" t="n">
        <f aca="false">AF34+IF(AG34&lt;$B34,1,-1)*설정!$B$10/2^15</f>
        <v>1.79402576867534</v>
      </c>
      <c r="AI34" s="17" t="n">
        <f aca="false">IF($D34&lt;=0,0,($C34^2/8*(AH34-SIN(AH34)))*(($C34^2/8*(AH34-SIN(AH34)))/($C34*AH34/2))^(2/3)*$D34^0.5/$E34)</f>
        <v>0.00178960005414119</v>
      </c>
      <c r="AJ34" s="17" t="n">
        <f aca="false">AH34+IF(AI34&lt;$B34,1,-1)*설정!$B$10/2^16</f>
        <v>1.79394525409996</v>
      </c>
      <c r="AK34" s="17" t="n">
        <f aca="false">IF($D34&lt;=0,0,($C34^2/8*(AJ34-SIN(AJ34)))*(($C34^2/8*(AJ34-SIN(AJ34)))/($C34*AJ34/2))^(2/3)*$D34^0.5/$E34)</f>
        <v>0.00178929540995616</v>
      </c>
      <c r="AL34" s="17" t="n">
        <f aca="false">AJ34+IF(AK34&lt;$B34,1,-1)*설정!$B$10/2^17</f>
        <v>1.79390499681227</v>
      </c>
      <c r="AM34" s="17" t="n">
        <f aca="false">IF($D34&lt;=0,0,($C34^2/8*(AL34-SIN(AL34)))*(($C34^2/8*(AL34-SIN(AL34)))/($C34*AL34/2))^(2/3)*$D34^0.5/$E34)</f>
        <v>0.00178914310071711</v>
      </c>
      <c r="AN34" s="17" t="n">
        <f aca="false">AL34+IF(AM34&lt;$B34,1,-1)*설정!$B$10/2^18</f>
        <v>1.79388486816842</v>
      </c>
      <c r="AO34" s="17" t="n">
        <f aca="false">IF($D34&lt;=0,0,($C34^2/8*(AN34-SIN(AN34)))*(($C34^2/8*(AN34-SIN(AN34)))/($C34*AN34/2))^(2/3)*$D34^0.5/$E34)</f>
        <v>0.00178906694931089</v>
      </c>
      <c r="AP34" s="17" t="n">
        <f aca="false">AN34+IF(AO34&lt;$B34,1,-1)*설정!$B$10/2^19</f>
        <v>1.7938748038465</v>
      </c>
      <c r="AQ34" s="17" t="n">
        <f aca="false">IF($D34&lt;=0,0,($C34^2/8*(AP34-SIN(AP34)))*(($C34^2/8*(AP34-SIN(AP34)))/($C34*AP34/2))^(2/3)*$D34^0.5/$E34)</f>
        <v>0.0017890288744111</v>
      </c>
      <c r="AR34" s="17" t="n">
        <f aca="false">AP34+IF(AQ34&lt;$B34,1,-1)*설정!$B$10/2^20</f>
        <v>1.79386977168554</v>
      </c>
      <c r="AS34" s="17" t="n">
        <f aca="false">IF($D34&lt;=0,0,($C34^2/8*(AR34-SIN(AR34)))*(($C34^2/8*(AR34-SIN(AR34)))/($C34*AR34/2))^(2/3)*$D34^0.5/$E34)</f>
        <v>0.00178900983716203</v>
      </c>
      <c r="AT34" s="17" t="n">
        <f aca="false">AR34+IF(AS34&lt;$B34,1,-1)*설정!$B$10/2^21</f>
        <v>1.79386725560506</v>
      </c>
      <c r="AU34" s="17" t="n">
        <f aca="false">IF($D34&lt;=0,0,($C34^2/8*(AT34-SIN(AT34)))*(($C34^2/8*(AT34-SIN(AT34)))/($C34*AT34/2))^(2/3)*$D34^0.5/$E34)</f>
        <v>0.0017890003185877</v>
      </c>
      <c r="AV34" s="17" t="n">
        <f aca="false">AT34+IF(AU34&lt;$B34,1,-1)*설정!$B$10/2^22</f>
        <v>1.7938685136453</v>
      </c>
      <c r="AW34" s="17" t="n">
        <f aca="false">IF($D34&lt;=0,0,($C34^2/8*(AV34-SIN(AV34)))*(($C34^2/8*(AV34-SIN(AV34)))/($C34*AV34/2))^(2/3)*$D34^0.5/$E34)</f>
        <v>0.00178900507787068</v>
      </c>
      <c r="AX34" s="17" t="n">
        <f aca="false">AV34+IF(AW34&lt;$B34,1,-1)*설정!$B$10/2^23</f>
        <v>1.79386788462518</v>
      </c>
      <c r="AY34" s="17" t="n">
        <f aca="false">IF($D34&lt;=0,0,($C34^2/8*(AX34-SIN(AX34)))*(($C34^2/8*(AX34-SIN(AX34)))/($C34*AX34/2))^(2/3)*$D34^0.5/$E34)</f>
        <v>0.00178900269822815</v>
      </c>
      <c r="AZ34" s="17" t="n">
        <f aca="false">AX34+IF(AY34&lt;$B34,1,-1)*설정!$B$10/2^24</f>
        <v>1.79386819913524</v>
      </c>
      <c r="BA34" s="17" t="n">
        <f aca="false">IF($D34&lt;=0,0,($C34^2/8*(AZ34-SIN(AZ34)))*(($C34^2/8*(AZ34-SIN(AZ34)))/($C34*AZ34/2))^(2/3)*$D34^0.5/$E34)</f>
        <v>0.00178900388804915</v>
      </c>
      <c r="BB34" s="17" t="n">
        <f aca="false">AZ34+IF(BA34&lt;$B34,1,-1)*설정!$B$10/2^25</f>
        <v>1.79386835639027</v>
      </c>
      <c r="BC34" s="17" t="n">
        <f aca="false">IF($D34&lt;=0,0,($C34^2/8*(BB34-SIN(BB34)))*(($C34^2/8*(BB34-SIN(BB34)))/($C34*BB34/2))^(2/3)*$D34^0.5/$E34)</f>
        <v>0.00178900448295985</v>
      </c>
      <c r="BD34" s="17" t="n">
        <f aca="false">BB34+IF(BC34&lt;$B34,1,-1)*설정!$B$10/2^26</f>
        <v>1.79386843501778</v>
      </c>
      <c r="BE34" s="17" t="n">
        <f aca="false">IF($D34&lt;=0,0,($C34^2/8*(BD34-SIN(BD34)))*(($C34^2/8*(BD34-SIN(BD34)))/($C34*BD34/2))^(2/3)*$D34^0.5/$E34)</f>
        <v>0.00178900478041525</v>
      </c>
      <c r="BF34" s="17" t="n">
        <f aca="false">BD34+IF(BE34&lt;$B34,1,-1)*설정!$B$10/2^27</f>
        <v>1.79386839570403</v>
      </c>
      <c r="BG34" s="17" t="n">
        <f aca="false">IF($D34&lt;=0,0,($C34^2/8*(BF34-SIN(BF34)))*(($C34^2/8*(BF34-SIN(BF34)))/($C34*BF34/2))^(2/3)*$D34^0.5/$E34)</f>
        <v>0.00178900463168755</v>
      </c>
      <c r="BH34" s="17" t="n">
        <f aca="false">BF34+IF(BG34&lt;$B34,1,-1)*설정!$B$10/2^28</f>
        <v>1.79386837604715</v>
      </c>
      <c r="BI34" s="17" t="n">
        <f aca="false">IF($D34&lt;=0,0,($C34^2/8*(BH34-SIN(BH34)))*(($C34^2/8*(BH34-SIN(BH34)))/($C34*BH34/2))^(2/3)*$D34^0.5/$E34)</f>
        <v>0.0017890045573237</v>
      </c>
      <c r="BJ34" s="17" t="n">
        <f aca="false">BH34+IF(BI34&lt;$B34,1,-1)*설정!$B$10/2^29</f>
        <v>1.79386838587559</v>
      </c>
      <c r="BK34" s="17" t="n">
        <f aca="false">IF($D34&lt;=0,0,($C34^2/8*(BJ34-SIN(BJ34)))*(($C34^2/8*(BJ34-SIN(BJ34)))/($C34*BJ34/2))^(2/3)*$D34^0.5/$E34)</f>
        <v>0.00178900459450562</v>
      </c>
      <c r="BL34" s="17" t="n">
        <f aca="false">BJ34+IF(BK34&lt;$B34,1,-1)*설정!$B$10/2^30</f>
        <v>1.79386839078981</v>
      </c>
      <c r="BM34" s="17" t="n">
        <f aca="false">IF($D34&lt;=0,0,($C34^2/8*(BL34-SIN(BL34)))*(($C34^2/8*(BL34-SIN(BL34)))/($C34*BL34/2))^(2/3)*$D34^0.5/$E34)</f>
        <v>0.00178900461309659</v>
      </c>
      <c r="BN34" s="17" t="n">
        <f aca="false">BL34+IF(BM34&lt;$B34,1,-1)*설정!$B$10/2^31</f>
        <v>1.79386839324692</v>
      </c>
      <c r="BO34" s="17" t="n">
        <f aca="false">IF($D34&lt;=0,0,($C34^2/8*(BN34-SIN(BN34)))*(($C34^2/8*(BN34-SIN(BN34)))/($C34*BN34/2))^(2/3)*$D34^0.5/$E34)</f>
        <v>0.00178900462239207</v>
      </c>
      <c r="BP34" s="17" t="n">
        <f aca="false">BN34+IF(BO34&lt;$B34,1,-1)*설정!$B$10/2^32</f>
        <v>1.79386839447547</v>
      </c>
      <c r="BQ34" s="17" t="n">
        <f aca="false">IF($D34&lt;=0,0,($C34^2/8*(BP34-SIN(BP34)))*(($C34^2/8*(BP34-SIN(BP34)))/($C34*BP34/2))^(2/3)*$D34^0.5/$E34)</f>
        <v>0.00178900462703981</v>
      </c>
      <c r="BR34" s="17" t="n">
        <f aca="false">BP34+IF(BQ34&lt;$B34,1,-1)*설정!$B$10/2^33</f>
        <v>1.79386839508975</v>
      </c>
      <c r="BS34" s="17" t="n">
        <f aca="false">IF($D34&lt;=0,0,($C34^2/8*(BR34-SIN(BR34)))*(($C34^2/8*(BR34-SIN(BR34)))/($C34*BR34/2))^(2/3)*$D34^0.5/$E34)</f>
        <v>0.00178900462936368</v>
      </c>
      <c r="BT34" s="17" t="n">
        <f aca="false">BR34+IF(BS34&lt;$B34,1,-1)*설정!$B$10/2^34</f>
        <v>1.79386839539689</v>
      </c>
      <c r="BU34" s="17" t="n">
        <f aca="false">IF($D34&lt;=0,0,($C34^2/8*(BT34-SIN(BT34)))*(($C34^2/8*(BT34-SIN(BT34)))/($C34*BT34/2))^(2/3)*$D34^0.5/$E34)</f>
        <v>0.00178900463052561</v>
      </c>
      <c r="BV34" s="17" t="n">
        <f aca="false">BT34+IF(BU34&lt;$B34,1,-1)*설정!$B$10/2^35</f>
        <v>1.79386839524332</v>
      </c>
      <c r="BW34" s="17" t="n">
        <f aca="false">IF($D34&lt;=0,0,($C34^2/8*(BV34-SIN(BV34)))*(($C34^2/8*(BV34-SIN(BV34)))/($C34*BV34/2))^(2/3)*$D34^0.5/$E34)</f>
        <v>0.00178900462994465</v>
      </c>
      <c r="BX34" s="17" t="n">
        <f aca="false">BV34+IF(BW34&lt;$B34,1,-1)*설정!$B$10/2^36</f>
        <v>1.79386839516653</v>
      </c>
      <c r="BY34" s="17" t="n">
        <f aca="false">IF($D34&lt;=0,0,($C34^2/8*(BX34-SIN(BX34)))*(($C34^2/8*(BX34-SIN(BX34)))/($C34*BX34/2))^(2/3)*$D34^0.5/$E34)</f>
        <v>0.00178900462965416</v>
      </c>
      <c r="BZ34" s="17" t="n">
        <f aca="false">BX34+IF(BY34&lt;$B34,1,-1)*설정!$B$10/2^37</f>
        <v>1.79386839512814</v>
      </c>
      <c r="CA34" s="17" t="n">
        <f aca="false">IF($D34&lt;=0,0,($C34^2/8*(BZ34-SIN(BZ34)))*(($C34^2/8*(BZ34-SIN(BZ34)))/($C34*BZ34/2))^(2/3)*$D34^0.5/$E34)</f>
        <v>0.00178900462950892</v>
      </c>
      <c r="CB34" s="17" t="n">
        <f aca="false">BZ34+IF(CA34&lt;$B34,1,-1)*설정!$B$10/2^38</f>
        <v>1.79386839514734</v>
      </c>
      <c r="CC34" s="17" t="n">
        <f aca="false">IF($D34&lt;=0,0,($C34^2/8*(CB34-SIN(CB34)))*(($C34^2/8*(CB34-SIN(CB34)))/($C34*CB34/2))^(2/3)*$D34^0.5/$E34)</f>
        <v>0.00178900462958154</v>
      </c>
      <c r="CD34" s="17" t="n">
        <f aca="false">CB34+IF(CC34&lt;$B34,1,-1)*설정!$B$10/2^39</f>
        <v>1.79386839515693</v>
      </c>
      <c r="CE34" s="17" t="n">
        <f aca="false">IF($D34&lt;=0,0,($C34^2/8*(CD34-SIN(CD34)))*(($C34^2/8*(CD34-SIN(CD34)))/($C34*CD34/2))^(2/3)*$D34^0.5/$E34)</f>
        <v>0.00178900462961785</v>
      </c>
      <c r="CF34" s="17" t="n">
        <f aca="false">CD34+IF(CE34&lt;$B34,1,-1)*설정!$B$10/2^40</f>
        <v>1.79386839516173</v>
      </c>
      <c r="CG34" s="17" t="n">
        <f aca="false">IF($D34&lt;=0,0,($C34^2/8*(CF34-SIN(CF34)))*(($C34^2/8*(CF34-SIN(CF34)))/($C34*CF34/2))^(2/3)*$D34^0.5/$E34)</f>
        <v>0.00178900462963601</v>
      </c>
      <c r="CH34" s="17" t="n">
        <f aca="false">CF34+IF(CG34&lt;$B34,1,-1)*설정!$B$10/2^41</f>
        <v>1.79386839515933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8" min="2" style="0" width="13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4"/>
    <col collapsed="false" customWidth="true" hidden="false" outlineLevel="0" max="22" min="22" style="0" width="15"/>
    <col collapsed="false" customWidth="true" hidden="false" outlineLevel="0" max="24" min="23" style="0" width="13"/>
  </cols>
  <sheetData>
    <row r="1" customFormat="false" ht="19.4" hidden="false" customHeight="false" outlineLevel="0" collapsed="false">
      <c r="A1" s="1" t="s">
        <v>189</v>
      </c>
    </row>
    <row r="2" customFormat="false" ht="15" hidden="false" customHeight="false" outlineLevel="0" collapsed="false">
      <c r="A2" s="3" t="s">
        <v>190</v>
      </c>
    </row>
    <row r="4" customFormat="false" ht="31.5" hidden="false" customHeight="true" outlineLevel="0" collapsed="false">
      <c r="A4" s="5" t="s">
        <v>103</v>
      </c>
      <c r="B4" s="5" t="s">
        <v>191</v>
      </c>
      <c r="C4" s="5" t="s">
        <v>192</v>
      </c>
      <c r="D4" s="5" t="s">
        <v>193</v>
      </c>
      <c r="E4" s="5" t="s">
        <v>194</v>
      </c>
      <c r="F4" s="5" t="s">
        <v>195</v>
      </c>
      <c r="G4" s="5" t="s">
        <v>196</v>
      </c>
      <c r="H4" s="5" t="s">
        <v>197</v>
      </c>
      <c r="I4" s="5" t="s">
        <v>198</v>
      </c>
      <c r="J4" s="5" t="s">
        <v>199</v>
      </c>
      <c r="K4" s="5" t="s">
        <v>200</v>
      </c>
      <c r="L4" s="5" t="s">
        <v>201</v>
      </c>
      <c r="M4" s="5" t="s">
        <v>202</v>
      </c>
      <c r="N4" s="5" t="s">
        <v>203</v>
      </c>
      <c r="O4" s="5" t="s">
        <v>204</v>
      </c>
      <c r="P4" s="5" t="s">
        <v>47</v>
      </c>
      <c r="Q4" s="5" t="s">
        <v>205</v>
      </c>
      <c r="R4" s="5" t="s">
        <v>206</v>
      </c>
      <c r="S4" s="5" t="s">
        <v>207</v>
      </c>
      <c r="T4" s="5" t="s">
        <v>208</v>
      </c>
      <c r="U4" s="5" t="s">
        <v>209</v>
      </c>
      <c r="V4" s="5" t="s">
        <v>210</v>
      </c>
      <c r="W4" s="5" t="s">
        <v>211</v>
      </c>
      <c r="X4" s="5" t="s">
        <v>212</v>
      </c>
    </row>
    <row r="5" customFormat="false" ht="15" hidden="false" customHeight="false" outlineLevel="0" collapsed="false">
      <c r="A5" s="18" t="str">
        <f aca="false">입력!A5</f>
        <v>BC-01</v>
      </c>
      <c r="B5" s="19" t="n">
        <f aca="false">입력!K5*입력!L5</f>
        <v>0</v>
      </c>
      <c r="C5" s="19" t="n">
        <f aca="false">B5</f>
        <v>0</v>
      </c>
      <c r="D5" s="20" t="n">
        <f aca="false">(입력!M5*입력!O5+입력!N5)*B5/설정!$B$11+입력!P5</f>
        <v>0.00178900462962963</v>
      </c>
      <c r="E5" s="20" t="n">
        <f aca="false">D5</f>
        <v>0.00178900462962963</v>
      </c>
      <c r="F5" s="21" t="n">
        <f aca="false">(입력!F5-입력!G5)/입력!D5*1000</f>
        <v>13.0000000000003</v>
      </c>
      <c r="G5" s="22" t="n">
        <f aca="false">PI()*(입력!E5/1000)^2/4</f>
        <v>0.0314159265358979</v>
      </c>
      <c r="H5" s="23" t="n">
        <f aca="false">IF(F5&lt;=0,0,G5*((입력!E5/1000)/4)^(2/3)*(F5/1000)^0.5/입력!J5)</f>
        <v>0.0441952437236348</v>
      </c>
      <c r="I5" s="24" t="n">
        <f aca="false">IF(G5&gt;0,H5/G5,0)</f>
        <v>1.40677829995351</v>
      </c>
      <c r="J5" s="23" t="n">
        <f aca="false">IF(F5&lt;=0,0,((입력!E5/1000)^2/8*(설정!$B$10-SIN(설정!$B$10)))*(((입력!E5/1000)^2/8*(설정!$B$10-SIN(설정!$B$10)))/((입력!E5/1000)*설정!$B$10/2))^(2/3)*(F5/1000)^0.5/입력!J5)</f>
        <v>0.0475410829748392</v>
      </c>
      <c r="K5" s="22" t="n">
        <f aca="false">수심반복!CH5</f>
        <v>1.5183863669879</v>
      </c>
      <c r="L5" s="22" t="n">
        <f aca="false">IF(E5&lt;=0,0,IF(E5&gt;J5,입력!E5/1000,(입력!E5/1000)/2*(1-COS(K5/2))))</f>
        <v>0.0274608392043142</v>
      </c>
      <c r="M5" s="24" t="n">
        <f aca="false">IF(E5&lt;=0,0,IF(E5&gt;J5,E5/G5,E5/((입력!E5/1000)^2/8*(K5-SIN(K5)))))</f>
        <v>0.688397147502646</v>
      </c>
      <c r="N5" s="21" t="n">
        <f aca="false">L5/(입력!E5/1000)*100</f>
        <v>13.7304196021571</v>
      </c>
      <c r="O5" s="21" t="n">
        <f aca="false">IF(H5&gt;0,E5/H5*100,0)</f>
        <v>4.0479573793433</v>
      </c>
      <c r="P5" s="25" t="n">
        <f aca="false">IF(입력!E5&lt;=설정!$A$15,설정!$B$15,IF(입력!E5&lt;=설정!$A$16,설정!$B$16,설정!$B$17))</f>
        <v>1</v>
      </c>
      <c r="Q5" s="23" t="n">
        <f aca="false">H5</f>
        <v>0.0441952437236348</v>
      </c>
      <c r="R5" s="24" t="n">
        <f aca="false">IF(Q5&gt;0,E5*(1+P5)/Q5,0)</f>
        <v>0.0809591475868659</v>
      </c>
      <c r="S5" s="26" t="str">
        <f aca="false">IF(AND(F5&gt;0,R5&lt;=1),"GOOD",IF(F5&lt;=0,"Adverse Slope","NG_"&amp;ROUND(R5*100,0)&amp;"%"))</f>
        <v>GOOD</v>
      </c>
      <c r="T5" s="24" t="n">
        <f aca="false">IF(E5&gt;0,M5,I5)</f>
        <v>0.688397147502646</v>
      </c>
      <c r="U5" s="26" t="str">
        <f aca="false">IF(T5&lt;설정!$B$6,"NG(V)"&amp;TEXT(설정!$B$6,"0.0")&amp;"↓",IF(T5&lt;설정!$B$4,"유지관리",IF(T5&gt;설정!$B$5,"NG(V)"&amp;TEXT(설정!$B$5,"0.0")&amp;"↑","GOOD")))</f>
        <v>GOOD</v>
      </c>
      <c r="V5" s="26" t="str">
        <f aca="false">IF(AND(LEFT(U5,2)="NG",F5&gt;=설정!$B$8),"구배10.0%이상",U5)</f>
        <v>GOOD</v>
      </c>
      <c r="W5" s="21" t="n">
        <f aca="false">입력!H5-입력!F5-입력!E5/1000</f>
        <v>1.14999999999999</v>
      </c>
      <c r="X5" s="26" t="str">
        <f aca="false">IF(W5&lt;설정!$B$7-0.0005,"NG","GOOD")</f>
        <v>GOOD</v>
      </c>
    </row>
    <row r="6" customFormat="false" ht="15" hidden="false" customHeight="false" outlineLevel="0" collapsed="false">
      <c r="A6" s="18" t="str">
        <f aca="false">입력!A6</f>
        <v>BC-02</v>
      </c>
      <c r="B6" s="19" t="n">
        <f aca="false">입력!K6*입력!L6</f>
        <v>0</v>
      </c>
      <c r="C6" s="19" t="n">
        <f aca="false">B6+IF(입력!C5=입력!B6,C5,0)</f>
        <v>0</v>
      </c>
      <c r="D6" s="20" t="n">
        <f aca="false">(입력!M6*입력!O6+입력!N6)*B6/설정!$B$11+입력!P6</f>
        <v>0</v>
      </c>
      <c r="E6" s="20" t="n">
        <f aca="false">D6+IF(입력!C5=입력!B6,E5,0)</f>
        <v>0.00178900462962963</v>
      </c>
      <c r="F6" s="21" t="n">
        <f aca="false">(입력!F6-입력!G6)/입력!D6*1000</f>
        <v>11.4</v>
      </c>
      <c r="G6" s="22" t="n">
        <f aca="false">PI()*(입력!E6/1000)^2/4</f>
        <v>0.0314159265358979</v>
      </c>
      <c r="H6" s="23" t="n">
        <f aca="false">IF(F6&lt;=0,0,G6*((입력!E6/1000)/4)^(2/3)*(F6/1000)^0.5/입력!J6)</f>
        <v>0.0413862696228355</v>
      </c>
      <c r="I6" s="24" t="n">
        <f aca="false">IF(G6&gt;0,H6/G6,0)</f>
        <v>1.31736587732164</v>
      </c>
      <c r="J6" s="23" t="n">
        <f aca="false">IF(F6&lt;=0,0,((입력!E6/1000)^2/8*(설정!$B$10-SIN(설정!$B$10)))*(((입력!E6/1000)^2/8*(설정!$B$10-SIN(설정!$B$10)))/((입력!E6/1000)*설정!$B$10/2))^(2/3)*(F6/1000)^0.5/입력!J6)</f>
        <v>0.0445194530538607</v>
      </c>
      <c r="K6" s="22" t="n">
        <f aca="false">수심반복!CH6</f>
        <v>1.54390140896851</v>
      </c>
      <c r="L6" s="22" t="n">
        <f aca="false">IF(E6&lt;=0,0,IF(E6&gt;J6,입력!E6/1000,(입력!E6/1000)/2*(1-COS(K6/2))))</f>
        <v>0.0283448649573102</v>
      </c>
      <c r="M6" s="24" t="n">
        <f aca="false">IF(E6&lt;=0,0,IF(E6&gt;J6,E6/G6,E6/((입력!E6/1000)^2/8*(K6-SIN(K6)))))</f>
        <v>0.657404397247588</v>
      </c>
      <c r="N6" s="21" t="n">
        <f aca="false">L6/(입력!E6/1000)*100</f>
        <v>14.1724324786551</v>
      </c>
      <c r="O6" s="21" t="n">
        <f aca="false">IF(H6&gt;0,E6/H6*100,0)</f>
        <v>4.32270085207805</v>
      </c>
      <c r="P6" s="25" t="n">
        <f aca="false">IF(입력!E6&lt;=설정!$A$15,설정!$B$15,IF(입력!E6&lt;=설정!$A$16,설정!$B$16,설정!$B$17))</f>
        <v>1</v>
      </c>
      <c r="Q6" s="23" t="n">
        <f aca="false">H6</f>
        <v>0.0413862696228355</v>
      </c>
      <c r="R6" s="24" t="n">
        <f aca="false">IF(Q6&gt;0,E6*(1+P6)/Q6,0)</f>
        <v>0.0864540170415611</v>
      </c>
      <c r="S6" s="26" t="str">
        <f aca="false">IF(AND(F6&gt;0,R6&lt;=1),"GOOD",IF(F6&lt;=0,"Adverse Slope","NG_"&amp;ROUND(R6*100,0)&amp;"%"))</f>
        <v>GOOD</v>
      </c>
      <c r="T6" s="24" t="n">
        <f aca="false">IF(E6&gt;0,M6,I6)</f>
        <v>0.657404397247588</v>
      </c>
      <c r="U6" s="26" t="str">
        <f aca="false">IF(T6&lt;설정!$B$6,"NG(V)"&amp;TEXT(설정!$B$6,"0.0")&amp;"↓",IF(T6&lt;설정!$B$4,"유지관리",IF(T6&gt;설정!$B$5,"NG(V)"&amp;TEXT(설정!$B$5,"0.0")&amp;"↑","GOOD")))</f>
        <v>GOOD</v>
      </c>
      <c r="V6" s="26" t="str">
        <f aca="false">IF(AND(LEFT(U6,2)="NG",F6&gt;=설정!$B$8),"구배10.0%이상",U6)</f>
        <v>GOOD</v>
      </c>
      <c r="W6" s="21" t="n">
        <f aca="false">입력!H6-입력!F6-입력!E6/1000</f>
        <v>1.2</v>
      </c>
      <c r="X6" s="26" t="str">
        <f aca="false">IF(W6&lt;설정!$B$7-0.0005,"NG","GOOD")</f>
        <v>GOOD</v>
      </c>
    </row>
    <row r="7" customFormat="false" ht="15" hidden="false" customHeight="false" outlineLevel="0" collapsed="false">
      <c r="A7" s="18" t="str">
        <f aca="false">입력!A7</f>
        <v>BC-03</v>
      </c>
      <c r="B7" s="19" t="n">
        <f aca="false">입력!K7*입력!L7</f>
        <v>0</v>
      </c>
      <c r="C7" s="19" t="n">
        <f aca="false">B7+IF(입력!C6=입력!B7,C6,0)</f>
        <v>0</v>
      </c>
      <c r="D7" s="20" t="n">
        <f aca="false">(입력!M7*입력!O7+입력!N7)*B7/설정!$B$11+입력!P7</f>
        <v>0</v>
      </c>
      <c r="E7" s="20" t="n">
        <f aca="false">D7+IF(입력!C6=입력!B7,E6,0)</f>
        <v>0.00178900462962963</v>
      </c>
      <c r="F7" s="21" t="n">
        <f aca="false">(입력!F7-입력!G7)/입력!D7*1000</f>
        <v>19.2</v>
      </c>
      <c r="G7" s="22" t="n">
        <f aca="false">PI()*(입력!E7/1000)^2/4</f>
        <v>0.0314159265358979</v>
      </c>
      <c r="H7" s="23" t="n">
        <f aca="false">IF(F7&lt;=0,0,G7*((입력!E7/1000)/4)^(2/3)*(F7/1000)^0.5/입력!J7)</f>
        <v>0.0537099157881382</v>
      </c>
      <c r="I7" s="24" t="n">
        <f aca="false">IF(G7&gt;0,H7/G7,0)</f>
        <v>1.70963971814633</v>
      </c>
      <c r="J7" s="23" t="n">
        <f aca="false">IF(F7&lt;=0,0,((입력!E7/1000)^2/8*(설정!$B$10-SIN(설정!$B$10)))*(((입력!E7/1000)^2/8*(설정!$B$10-SIN(설정!$B$10)))/((입력!E7/1000)*설정!$B$10/2))^(2/3)*(F7/1000)^0.5/입력!J7)</f>
        <v>0.0577760715388924</v>
      </c>
      <c r="K7" s="22" t="n">
        <f aca="false">수심반복!CH7</f>
        <v>1.44553615965314</v>
      </c>
      <c r="L7" s="22" t="n">
        <f aca="false">IF(E7&lt;=0,0,IF(E7&gt;J7,입력!E7/1000,(입력!E7/1000)/2*(1-COS(K7/2))))</f>
        <v>0.0250022378202514</v>
      </c>
      <c r="M7" s="24" t="n">
        <f aca="false">IF(E7&lt;=0,0,IF(E7&gt;J7,E7/G7,E7/((입력!E7/1000)^2/8*(K7-SIN(K7)))))</f>
        <v>0.789201240707926</v>
      </c>
      <c r="N7" s="21" t="n">
        <f aca="false">L7/(입력!E7/1000)*100</f>
        <v>12.5011189101257</v>
      </c>
      <c r="O7" s="21" t="n">
        <f aca="false">IF(H7&gt;0,E7/H7*100,0)</f>
        <v>3.33086470789949</v>
      </c>
      <c r="P7" s="25" t="n">
        <f aca="false">IF(입력!E7&lt;=설정!$A$15,설정!$B$15,IF(입력!E7&lt;=설정!$A$16,설정!$B$16,설정!$B$17))</f>
        <v>1</v>
      </c>
      <c r="Q7" s="23" t="n">
        <f aca="false">H7</f>
        <v>0.0537099157881382</v>
      </c>
      <c r="R7" s="24" t="n">
        <f aca="false">IF(Q7&gt;0,E7*(1+P7)/Q7,0)</f>
        <v>0.0666172941579897</v>
      </c>
      <c r="S7" s="26" t="str">
        <f aca="false">IF(AND(F7&gt;0,R7&lt;=1),"GOOD",IF(F7&lt;=0,"Adverse Slope","NG_"&amp;ROUND(R7*100,0)&amp;"%"))</f>
        <v>GOOD</v>
      </c>
      <c r="T7" s="24" t="n">
        <f aca="false">IF(E7&gt;0,M7,I7)</f>
        <v>0.789201240707926</v>
      </c>
      <c r="U7" s="26" t="str">
        <f aca="false">IF(T7&lt;설정!$B$6,"NG(V)"&amp;TEXT(설정!$B$6,"0.0")&amp;"↓",IF(T7&lt;설정!$B$4,"유지관리",IF(T7&gt;설정!$B$5,"NG(V)"&amp;TEXT(설정!$B$5,"0.0")&amp;"↑","GOOD")))</f>
        <v>GOOD</v>
      </c>
      <c r="V7" s="26" t="str">
        <f aca="false">IF(AND(LEFT(U7,2)="NG",F7&gt;=설정!$B$8),"구배10.0%이상",U7)</f>
        <v>GOOD</v>
      </c>
      <c r="W7" s="21" t="n">
        <f aca="false">입력!H7-입력!F7-입력!E7/1000</f>
        <v>1</v>
      </c>
      <c r="X7" s="26" t="str">
        <f aca="false">IF(W7&lt;설정!$B$7-0.0005,"NG","GOOD")</f>
        <v>GOOD</v>
      </c>
    </row>
    <row r="8" customFormat="false" ht="15" hidden="false" customHeight="false" outlineLevel="0" collapsed="false">
      <c r="A8" s="18" t="str">
        <f aca="false">입력!A8</f>
        <v>BC-04</v>
      </c>
      <c r="B8" s="19" t="n">
        <f aca="false">입력!K8*입력!L8</f>
        <v>0</v>
      </c>
      <c r="C8" s="19" t="n">
        <f aca="false">B8+IF(입력!C7=입력!B8,C7,0)</f>
        <v>0</v>
      </c>
      <c r="D8" s="20" t="n">
        <f aca="false">(입력!M8*입력!O8+입력!N8)*B8/설정!$B$11+입력!P8</f>
        <v>0</v>
      </c>
      <c r="E8" s="20" t="n">
        <f aca="false">D8+IF(입력!C7=입력!B8,E7,0)</f>
        <v>0.00178900462962963</v>
      </c>
      <c r="F8" s="21" t="n">
        <f aca="false">(입력!F8-입력!G8)/입력!D8*1000</f>
        <v>24.2</v>
      </c>
      <c r="G8" s="22" t="n">
        <f aca="false">PI()*(입력!E8/1000)^2/4</f>
        <v>0.0314159265358979</v>
      </c>
      <c r="H8" s="23" t="n">
        <f aca="false">IF(F8&lt;=0,0,G8*((입력!E8/1000)/4)^(2/3)*(F8/1000)^0.5/입력!J8)</f>
        <v>0.0602991985790301</v>
      </c>
      <c r="I8" s="24" t="n">
        <f aca="false">IF(G8&gt;0,H8/G8,0)</f>
        <v>1.91938310366649</v>
      </c>
      <c r="J8" s="23" t="n">
        <f aca="false">IF(F8&lt;=0,0,((입력!E8/1000)^2/8*(설정!$B$10-SIN(설정!$B$10)))*(((입력!E8/1000)^2/8*(설정!$B$10-SIN(설정!$B$10)))/((입력!E8/1000)*설정!$B$10/2))^(2/3)*(F8/1000)^0.5/입력!J8)</f>
        <v>0.0648642016975443</v>
      </c>
      <c r="K8" s="22" t="n">
        <f aca="false">수심반복!CH8</f>
        <v>1.40424889680841</v>
      </c>
      <c r="L8" s="22" t="n">
        <f aca="false">IF(E8&lt;=0,0,IF(E8&gt;J8,입력!E8/1000,(입력!E8/1000)/2*(1-COS(K8/2))))</f>
        <v>0.0236528144896856</v>
      </c>
      <c r="M8" s="24" t="n">
        <f aca="false">IF(E8&lt;=0,0,IF(E8&gt;J8,E8/G8,E8/((입력!E8/1000)^2/8*(K8-SIN(K8)))))</f>
        <v>0.855807223652563</v>
      </c>
      <c r="N8" s="21" t="n">
        <f aca="false">L8/(입력!E8/1000)*100</f>
        <v>11.8264072448428</v>
      </c>
      <c r="O8" s="21" t="n">
        <f aca="false">IF(H8&gt;0,E8/H8*100,0)</f>
        <v>2.96687961330846</v>
      </c>
      <c r="P8" s="25" t="n">
        <f aca="false">IF(입력!E8&lt;=설정!$A$15,설정!$B$15,IF(입력!E8&lt;=설정!$A$16,설정!$B$16,설정!$B$17))</f>
        <v>1</v>
      </c>
      <c r="Q8" s="23" t="n">
        <f aca="false">H8</f>
        <v>0.0602991985790301</v>
      </c>
      <c r="R8" s="24" t="n">
        <f aca="false">IF(Q8&gt;0,E8*(1+P8)/Q8,0)</f>
        <v>0.0593375922661693</v>
      </c>
      <c r="S8" s="26" t="str">
        <f aca="false">IF(AND(F8&gt;0,R8&lt;=1),"GOOD",IF(F8&lt;=0,"Adverse Slope","NG_"&amp;ROUND(R8*100,0)&amp;"%"))</f>
        <v>GOOD</v>
      </c>
      <c r="T8" s="24" t="n">
        <f aca="false">IF(E8&gt;0,M8,I8)</f>
        <v>0.855807223652563</v>
      </c>
      <c r="U8" s="26" t="str">
        <f aca="false">IF(T8&lt;설정!$B$6,"NG(V)"&amp;TEXT(설정!$B$6,"0.0")&amp;"↓",IF(T8&lt;설정!$B$4,"유지관리",IF(T8&gt;설정!$B$5,"NG(V)"&amp;TEXT(설정!$B$5,"0.0")&amp;"↑","GOOD")))</f>
        <v>GOOD</v>
      </c>
      <c r="V8" s="26" t="str">
        <f aca="false">IF(AND(LEFT(U8,2)="NG",F8&gt;=설정!$B$8),"구배10.0%이상",U8)</f>
        <v>GOOD</v>
      </c>
      <c r="W8" s="21" t="n">
        <f aca="false">입력!H8-입력!F8-입력!E8/1000</f>
        <v>1</v>
      </c>
      <c r="X8" s="26" t="str">
        <f aca="false">IF(W8&lt;설정!$B$7-0.0005,"NG","GOOD")</f>
        <v>GOOD</v>
      </c>
    </row>
    <row r="9" customFormat="false" ht="15" hidden="false" customHeight="false" outlineLevel="0" collapsed="false">
      <c r="A9" s="18" t="str">
        <f aca="false">입력!A9</f>
        <v>BC-05</v>
      </c>
      <c r="B9" s="19" t="n">
        <f aca="false">입력!K9*입력!L9</f>
        <v>0</v>
      </c>
      <c r="C9" s="19" t="n">
        <f aca="false">B9+IF(입력!C8=입력!B9,C8,0)</f>
        <v>0</v>
      </c>
      <c r="D9" s="20" t="n">
        <f aca="false">(입력!M9*입력!O9+입력!N9)*B9/설정!$B$11+입력!P9</f>
        <v>0</v>
      </c>
      <c r="E9" s="20" t="n">
        <f aca="false">D9+IF(입력!C8=입력!B9,E8,0)</f>
        <v>0.00178900462962963</v>
      </c>
      <c r="F9" s="21" t="n">
        <f aca="false">(입력!F9-입력!G9)/입력!D9*1000</f>
        <v>25.3999999999999</v>
      </c>
      <c r="G9" s="22" t="n">
        <f aca="false">PI()*(입력!E9/1000)^2/4</f>
        <v>0.0314159265358979</v>
      </c>
      <c r="H9" s="23" t="n">
        <f aca="false">IF(F9&lt;=0,0,G9*((입력!E9/1000)/4)^(2/3)*(F9/1000)^0.5/입력!J9)</f>
        <v>0.0617761324472999</v>
      </c>
      <c r="I9" s="24" t="n">
        <f aca="false">IF(G9&gt;0,H9/G9,0)</f>
        <v>1.96639536881748</v>
      </c>
      <c r="J9" s="23" t="n">
        <f aca="false">IF(F9&lt;=0,0,((입력!E9/1000)^2/8*(설정!$B$10-SIN(설정!$B$10)))*(((입력!E9/1000)^2/8*(설정!$B$10-SIN(설정!$B$10)))/((입력!E9/1000)*설정!$B$10/2))^(2/3)*(F9/1000)^0.5/입력!J9)</f>
        <v>0.0664529481250749</v>
      </c>
      <c r="K9" s="22" t="n">
        <f aca="false">수심반복!CH9</f>
        <v>1.39579048793387</v>
      </c>
      <c r="L9" s="22" t="n">
        <f aca="false">IF(E9&lt;=0,0,IF(E9&gt;J9,입력!E9/1000,(입력!E9/1000)/2*(1-COS(K9/2))))</f>
        <v>0.0233803586776852</v>
      </c>
      <c r="M9" s="24" t="n">
        <f aca="false">IF(E9&lt;=0,0,IF(E9&gt;J9,E9/G9,E9/((입력!E9/1000)^2/8*(K9-SIN(K9)))))</f>
        <v>0.870424277996479</v>
      </c>
      <c r="N9" s="21" t="n">
        <f aca="false">L9/(입력!E9/1000)*100</f>
        <v>11.6901793388426</v>
      </c>
      <c r="O9" s="21" t="n">
        <f aca="false">IF(H9&gt;0,E9/H9*100,0)</f>
        <v>2.89594793127556</v>
      </c>
      <c r="P9" s="25" t="n">
        <f aca="false">IF(입력!E9&lt;=설정!$A$15,설정!$B$15,IF(입력!E9&lt;=설정!$A$16,설정!$B$16,설정!$B$17))</f>
        <v>1</v>
      </c>
      <c r="Q9" s="23" t="n">
        <f aca="false">H9</f>
        <v>0.0617761324472999</v>
      </c>
      <c r="R9" s="24" t="n">
        <f aca="false">IF(Q9&gt;0,E9*(1+P9)/Q9,0)</f>
        <v>0.0579189586255111</v>
      </c>
      <c r="S9" s="26" t="str">
        <f aca="false">IF(AND(F9&gt;0,R9&lt;=1),"GOOD",IF(F9&lt;=0,"Adverse Slope","NG_"&amp;ROUND(R9*100,0)&amp;"%"))</f>
        <v>GOOD</v>
      </c>
      <c r="T9" s="24" t="n">
        <f aca="false">IF(E9&gt;0,M9,I9)</f>
        <v>0.870424277996479</v>
      </c>
      <c r="U9" s="26" t="str">
        <f aca="false">IF(T9&lt;설정!$B$6,"NG(V)"&amp;TEXT(설정!$B$6,"0.0")&amp;"↓",IF(T9&lt;설정!$B$4,"유지관리",IF(T9&gt;설정!$B$5,"NG(V)"&amp;TEXT(설정!$B$5,"0.0")&amp;"↑","GOOD")))</f>
        <v>GOOD</v>
      </c>
      <c r="V9" s="26" t="str">
        <f aca="false">IF(AND(LEFT(U9,2)="NG",F9&gt;=설정!$B$8),"구배10.0%이상",U9)</f>
        <v>GOOD</v>
      </c>
      <c r="W9" s="21" t="n">
        <f aca="false">입력!H9-입력!F9-입력!E9/1000</f>
        <v>1</v>
      </c>
      <c r="X9" s="26" t="str">
        <f aca="false">IF(W9&lt;설정!$B$7-0.0005,"NG","GOOD")</f>
        <v>GOOD</v>
      </c>
    </row>
    <row r="10" customFormat="false" ht="15" hidden="false" customHeight="false" outlineLevel="0" collapsed="false">
      <c r="A10" s="18" t="str">
        <f aca="false">입력!A10</f>
        <v>BC-06</v>
      </c>
      <c r="B10" s="19" t="n">
        <f aca="false">입력!K10*입력!L10</f>
        <v>0</v>
      </c>
      <c r="C10" s="19" t="n">
        <f aca="false">B10+IF(입력!C9=입력!B10,C9,0)</f>
        <v>0</v>
      </c>
      <c r="D10" s="20" t="n">
        <f aca="false">(입력!M10*입력!O10+입력!N10)*B10/설정!$B$11+입력!P10</f>
        <v>0</v>
      </c>
      <c r="E10" s="20" t="n">
        <f aca="false">D10+IF(입력!C9=입력!B10,E9,0)</f>
        <v>0.00178900462962963</v>
      </c>
      <c r="F10" s="21" t="n">
        <f aca="false">(입력!F10-입력!G10)/입력!D10*1000</f>
        <v>10.6</v>
      </c>
      <c r="G10" s="22" t="n">
        <f aca="false">PI()*(입력!E10/1000)^2/4</f>
        <v>0.0314159265358979</v>
      </c>
      <c r="H10" s="23" t="n">
        <f aca="false">IF(F10&lt;=0,0,G10*((입력!E10/1000)/4)^(2/3)*(F10/1000)^0.5/입력!J10)</f>
        <v>0.039907708353717</v>
      </c>
      <c r="I10" s="24" t="n">
        <f aca="false">IF(G10&gt;0,H10/G10,0)</f>
        <v>1.27030181039276</v>
      </c>
      <c r="J10" s="23" t="n">
        <f aca="false">IF(F10&lt;=0,0,((입력!E10/1000)^2/8*(설정!$B$10-SIN(설정!$B$10)))*(((입력!E10/1000)^2/8*(설정!$B$10-SIN(설정!$B$10)))/((입력!E10/1000)*설정!$B$10/2))^(2/3)*(F10/1000)^0.5/입력!J10)</f>
        <v>0.042928956021689</v>
      </c>
      <c r="K10" s="22" t="n">
        <f aca="false">수심반복!CH10</f>
        <v>1.55825856562654</v>
      </c>
      <c r="L10" s="22" t="n">
        <f aca="false">IF(E10&lt;=0,0,IF(E10&gt;J10,입력!E10/1000,(입력!E10/1000)/2*(1-COS(K10/2))))</f>
        <v>0.0288474374076699</v>
      </c>
      <c r="M10" s="24" t="n">
        <f aca="false">IF(E10&lt;=0,0,IF(E10&gt;J10,E10/G10,E10/((입력!E10/1000)^2/8*(K10-SIN(K10)))))</f>
        <v>0.640833084504542</v>
      </c>
      <c r="N10" s="21" t="n">
        <f aca="false">L10/(입력!E10/1000)*100</f>
        <v>14.423718703835</v>
      </c>
      <c r="O10" s="21" t="n">
        <f aca="false">IF(H10&gt;0,E10/H10*100,0)</f>
        <v>4.48285482537111</v>
      </c>
      <c r="P10" s="25" t="n">
        <f aca="false">IF(입력!E10&lt;=설정!$A$15,설정!$B$15,IF(입력!E10&lt;=설정!$A$16,설정!$B$16,설정!$B$17))</f>
        <v>1</v>
      </c>
      <c r="Q10" s="23" t="n">
        <f aca="false">H10</f>
        <v>0.039907708353717</v>
      </c>
      <c r="R10" s="24" t="n">
        <f aca="false">IF(Q10&gt;0,E10*(1+P10)/Q10,0)</f>
        <v>0.0896570965074221</v>
      </c>
      <c r="S10" s="26" t="str">
        <f aca="false">IF(AND(F10&gt;0,R10&lt;=1),"GOOD",IF(F10&lt;=0,"Adverse Slope","NG_"&amp;ROUND(R10*100,0)&amp;"%"))</f>
        <v>GOOD</v>
      </c>
      <c r="T10" s="24" t="n">
        <f aca="false">IF(E10&gt;0,M10,I10)</f>
        <v>0.640833084504542</v>
      </c>
      <c r="U10" s="26" t="str">
        <f aca="false">IF(T10&lt;설정!$B$6,"NG(V)"&amp;TEXT(설정!$B$6,"0.0")&amp;"↓",IF(T10&lt;설정!$B$4,"유지관리",IF(T10&gt;설정!$B$5,"NG(V)"&amp;TEXT(설정!$B$5,"0.0")&amp;"↑","GOOD")))</f>
        <v>GOOD</v>
      </c>
      <c r="V10" s="26" t="str">
        <f aca="false">IF(AND(LEFT(U10,2)="NG",F10&gt;=설정!$B$8),"구배10.0%이상",U10)</f>
        <v>GOOD</v>
      </c>
      <c r="W10" s="21" t="n">
        <f aca="false">입력!H10-입력!F10-입력!E10/1000</f>
        <v>0.999999999999996</v>
      </c>
      <c r="X10" s="26" t="str">
        <f aca="false">IF(W10&lt;설정!$B$7-0.0005,"NG","GOOD")</f>
        <v>GOOD</v>
      </c>
    </row>
    <row r="11" customFormat="false" ht="15" hidden="false" customHeight="false" outlineLevel="0" collapsed="false">
      <c r="A11" s="18" t="str">
        <f aca="false">입력!A11</f>
        <v>BC-07</v>
      </c>
      <c r="B11" s="19" t="n">
        <f aca="false">입력!K11*입력!L11</f>
        <v>0</v>
      </c>
      <c r="C11" s="19" t="n">
        <f aca="false">B11+IF(입력!C10=입력!B11,C10,0)</f>
        <v>0</v>
      </c>
      <c r="D11" s="20" t="n">
        <f aca="false">(입력!M11*입력!O11+입력!N11)*B11/설정!$B$11+입력!P11</f>
        <v>0</v>
      </c>
      <c r="E11" s="20" t="n">
        <f aca="false">D11+IF(입력!C10=입력!B11,E10,0)</f>
        <v>0.00178900462962963</v>
      </c>
      <c r="F11" s="21" t="n">
        <f aca="false">(입력!F11-입력!G11)/입력!D11*1000</f>
        <v>11.8000000000001</v>
      </c>
      <c r="G11" s="22" t="n">
        <f aca="false">PI()*(입력!E11/1000)^2/4</f>
        <v>0.0314159265358979</v>
      </c>
      <c r="H11" s="23" t="n">
        <f aca="false">IF(F11&lt;=0,0,G11*((입력!E11/1000)/4)^(2/3)*(F11/1000)^0.5/입력!J11)</f>
        <v>0.0421060847968366</v>
      </c>
      <c r="I11" s="24" t="n">
        <f aca="false">IF(G11&gt;0,H11/G11,0)</f>
        <v>1.34027830593261</v>
      </c>
      <c r="J11" s="23" t="n">
        <f aca="false">IF(F11&lt;=0,0,((입력!E11/1000)^2/8*(설정!$B$10-SIN(설정!$B$10)))*(((입력!E11/1000)^2/8*(설정!$B$10-SIN(설정!$B$10)))/((입력!E11/1000)*설정!$B$10/2))^(2/3)*(F11/1000)^0.5/입력!J11)</f>
        <v>0.0452937624598169</v>
      </c>
      <c r="K11" s="22" t="n">
        <f aca="false">수심반복!CH11</f>
        <v>1.5371521519717</v>
      </c>
      <c r="L11" s="22" t="n">
        <f aca="false">IF(E11&lt;=0,0,IF(E11&gt;J11,입력!E11/1000,(입력!E11/1000)/2*(1-COS(K11/2))))</f>
        <v>0.0281098814843859</v>
      </c>
      <c r="M11" s="24" t="n">
        <f aca="false">IF(E11&lt;=0,0,IF(E11&gt;J11,E11/G11,E11/((입력!E11/1000)^2/8*(K11-SIN(K11)))))</f>
        <v>0.665406185859768</v>
      </c>
      <c r="N11" s="21" t="n">
        <f aca="false">L11/(입력!E11/1000)*100</f>
        <v>14.054940742193</v>
      </c>
      <c r="O11" s="21" t="n">
        <f aca="false">IF(H11&gt;0,E11/H11*100,0)</f>
        <v>4.24880308454619</v>
      </c>
      <c r="P11" s="25" t="n">
        <f aca="false">IF(입력!E11&lt;=설정!$A$15,설정!$B$15,IF(입력!E11&lt;=설정!$A$16,설정!$B$16,설정!$B$17))</f>
        <v>1</v>
      </c>
      <c r="Q11" s="23" t="n">
        <f aca="false">H11</f>
        <v>0.0421060847968366</v>
      </c>
      <c r="R11" s="24" t="n">
        <f aca="false">IF(Q11&gt;0,E11*(1+P11)/Q11,0)</f>
        <v>0.0849760616909239</v>
      </c>
      <c r="S11" s="26" t="str">
        <f aca="false">IF(AND(F11&gt;0,R11&lt;=1),"GOOD",IF(F11&lt;=0,"Adverse Slope","NG_"&amp;ROUND(R11*100,0)&amp;"%"))</f>
        <v>GOOD</v>
      </c>
      <c r="T11" s="24" t="n">
        <f aca="false">IF(E11&gt;0,M11,I11)</f>
        <v>0.665406185859768</v>
      </c>
      <c r="U11" s="26" t="str">
        <f aca="false">IF(T11&lt;설정!$B$6,"NG(V)"&amp;TEXT(설정!$B$6,"0.0")&amp;"↓",IF(T11&lt;설정!$B$4,"유지관리",IF(T11&gt;설정!$B$5,"NG(V)"&amp;TEXT(설정!$B$5,"0.0")&amp;"↑","GOOD")))</f>
        <v>GOOD</v>
      </c>
      <c r="V11" s="26" t="str">
        <f aca="false">IF(AND(LEFT(U11,2)="NG",F11&gt;=설정!$B$8),"구배10.0%이상",U11)</f>
        <v>GOOD</v>
      </c>
      <c r="W11" s="21" t="n">
        <f aca="false">입력!H11-입력!F11-입력!E11/1000</f>
        <v>0.999999999999996</v>
      </c>
      <c r="X11" s="26" t="str">
        <f aca="false">IF(W11&lt;설정!$B$7-0.0005,"NG","GOOD")</f>
        <v>GOOD</v>
      </c>
    </row>
    <row r="12" customFormat="false" ht="15" hidden="false" customHeight="false" outlineLevel="0" collapsed="false">
      <c r="A12" s="18" t="str">
        <f aca="false">입력!A12</f>
        <v>BC-08</v>
      </c>
      <c r="B12" s="19" t="n">
        <f aca="false">입력!K12*입력!L12</f>
        <v>0</v>
      </c>
      <c r="C12" s="19" t="n">
        <f aca="false">B12+IF(입력!C11=입력!B12,C11,0)</f>
        <v>0</v>
      </c>
      <c r="D12" s="20" t="n">
        <f aca="false">(입력!M12*입력!O12+입력!N12)*B12/설정!$B$11+입력!P12</f>
        <v>0</v>
      </c>
      <c r="E12" s="20" t="n">
        <f aca="false">D12+IF(입력!C11=입력!B12,E11,0)</f>
        <v>0.00178900462962963</v>
      </c>
      <c r="F12" s="21" t="n">
        <f aca="false">(입력!F12-입력!G12)/입력!D12*1000</f>
        <v>18.2499999999999</v>
      </c>
      <c r="G12" s="22" t="n">
        <f aca="false">PI()*(입력!E12/1000)^2/4</f>
        <v>0.0314159265358979</v>
      </c>
      <c r="H12" s="23" t="n">
        <f aca="false">IF(F12&lt;=0,0,G12*((입력!E12/1000)/4)^(2/3)*(F12/1000)^0.5/입력!J12)</f>
        <v>0.0523642986953998</v>
      </c>
      <c r="I12" s="24" t="n">
        <f aca="false">IF(G12&gt;0,H12/G12,0)</f>
        <v>1.66680739578267</v>
      </c>
      <c r="J12" s="23" t="n">
        <f aca="false">IF(F12&lt;=0,0,((입력!E12/1000)^2/8*(설정!$B$10-SIN(설정!$B$10)))*(((입력!E12/1000)^2/8*(설정!$B$10-SIN(설정!$B$10)))/((입력!E12/1000)*설정!$B$10/2))^(2/3)*(F12/1000)^0.5/입력!J12)</f>
        <v>0.0563285833372597</v>
      </c>
      <c r="K12" s="22" t="n">
        <f aca="false">수심반복!CH12</f>
        <v>1.45477808866269</v>
      </c>
      <c r="L12" s="22" t="n">
        <f aca="false">IF(E12&lt;=0,0,IF(E12&gt;J12,입력!E12/1000,(입력!E12/1000)/2*(1-COS(K12/2))))</f>
        <v>0.0253086972538498</v>
      </c>
      <c r="M12" s="24" t="n">
        <f aca="false">IF(E12&lt;=0,0,IF(E12&gt;J12,E12/G12,E12/((입력!E12/1000)^2/8*(K12-SIN(K12)))))</f>
        <v>0.775298841144905</v>
      </c>
      <c r="N12" s="21" t="n">
        <f aca="false">L12/(입력!E12/1000)*100</f>
        <v>12.6543486269249</v>
      </c>
      <c r="O12" s="21" t="n">
        <f aca="false">IF(H12&gt;0,E12/H12*100,0)</f>
        <v>3.41645868311188</v>
      </c>
      <c r="P12" s="25" t="n">
        <f aca="false">IF(입력!E12&lt;=설정!$A$15,설정!$B$15,IF(입력!E12&lt;=설정!$A$16,설정!$B$16,설정!$B$17))</f>
        <v>1</v>
      </c>
      <c r="Q12" s="23" t="n">
        <f aca="false">H12</f>
        <v>0.0523642986953998</v>
      </c>
      <c r="R12" s="24" t="n">
        <f aca="false">IF(Q12&gt;0,E12*(1+P12)/Q12,0)</f>
        <v>0.0683291736622377</v>
      </c>
      <c r="S12" s="26" t="str">
        <f aca="false">IF(AND(F12&gt;0,R12&lt;=1),"GOOD",IF(F12&lt;=0,"Adverse Slope","NG_"&amp;ROUND(R12*100,0)&amp;"%"))</f>
        <v>GOOD</v>
      </c>
      <c r="T12" s="24" t="n">
        <f aca="false">IF(E12&gt;0,M12,I12)</f>
        <v>0.775298841144905</v>
      </c>
      <c r="U12" s="26" t="str">
        <f aca="false">IF(T12&lt;설정!$B$6,"NG(V)"&amp;TEXT(설정!$B$6,"0.0")&amp;"↓",IF(T12&lt;설정!$B$4,"유지관리",IF(T12&gt;설정!$B$5,"NG(V)"&amp;TEXT(설정!$B$5,"0.0")&amp;"↑","GOOD")))</f>
        <v>GOOD</v>
      </c>
      <c r="V12" s="26" t="str">
        <f aca="false">IF(AND(LEFT(U12,2)="NG",F12&gt;=설정!$B$8),"구배10.0%이상",U12)</f>
        <v>GOOD</v>
      </c>
      <c r="W12" s="21" t="n">
        <f aca="false">입력!H12-입력!F12-입력!E12/1000</f>
        <v>1</v>
      </c>
      <c r="X12" s="26" t="str">
        <f aca="false">IF(W12&lt;설정!$B$7-0.0005,"NG","GOOD")</f>
        <v>GOOD</v>
      </c>
    </row>
    <row r="13" customFormat="false" ht="15" hidden="false" customHeight="false" outlineLevel="0" collapsed="false">
      <c r="A13" s="18" t="str">
        <f aca="false">입력!A13</f>
        <v>BC-09</v>
      </c>
      <c r="B13" s="19" t="n">
        <f aca="false">입력!K13*입력!L13</f>
        <v>0</v>
      </c>
      <c r="C13" s="19" t="n">
        <f aca="false">B13+IF(입력!C12=입력!B13,C12,0)</f>
        <v>0</v>
      </c>
      <c r="D13" s="20" t="n">
        <f aca="false">(입력!M13*입력!O13+입력!N13)*B13/설정!$B$11+입력!P13</f>
        <v>0</v>
      </c>
      <c r="E13" s="20" t="n">
        <f aca="false">D13+IF(입력!C12=입력!B13,E12,0)</f>
        <v>0.00178900462962963</v>
      </c>
      <c r="F13" s="21" t="n">
        <f aca="false">(입력!F13-입력!G13)/입력!D13*1000</f>
        <v>25.8620689655172</v>
      </c>
      <c r="G13" s="22" t="n">
        <f aca="false">PI()*(입력!E13/1000)^2/4</f>
        <v>0.0314159265358979</v>
      </c>
      <c r="H13" s="23" t="n">
        <f aca="false">IF(F13&lt;=0,0,G13*((입력!E13/1000)/4)^(2/3)*(F13/1000)^0.5/입력!J13)</f>
        <v>0.0623355060983706</v>
      </c>
      <c r="I13" s="24" t="n">
        <f aca="false">IF(G13&gt;0,H13/G13,0)</f>
        <v>1.98420078513813</v>
      </c>
      <c r="J13" s="23" t="n">
        <f aca="false">IF(F13&lt;=0,0,((입력!E13/1000)^2/8*(설정!$B$10-SIN(설정!$B$10)))*(((입력!E13/1000)^2/8*(설정!$B$10-SIN(설정!$B$10)))/((입력!E13/1000)*설정!$B$10/2))^(2/3)*(F13/1000)^0.5/입력!J13)</f>
        <v>0.067054669643476</v>
      </c>
      <c r="K13" s="22" t="n">
        <f aca="false">수심반복!CH13</f>
        <v>1.39265481374217</v>
      </c>
      <c r="L13" s="22" t="n">
        <f aca="false">IF(E13&lt;=0,0,IF(E13&gt;J13,입력!E13/1000,(입력!E13/1000)/2*(1-COS(K13/2))))</f>
        <v>0.0232797026649543</v>
      </c>
      <c r="M13" s="24" t="n">
        <f aca="false">IF(E13&lt;=0,0,IF(E13&gt;J13,E13/G13,E13/((입력!E13/1000)^2/8*(K13-SIN(K13)))))</f>
        <v>0.875932338779343</v>
      </c>
      <c r="N13" s="21" t="n">
        <f aca="false">L13/(입력!E13/1000)*100</f>
        <v>11.6398513324771</v>
      </c>
      <c r="O13" s="21" t="n">
        <f aca="false">IF(H13&gt;0,E13/H13*100,0)</f>
        <v>2.86996086436907</v>
      </c>
      <c r="P13" s="25" t="n">
        <f aca="false">IF(입력!E13&lt;=설정!$A$15,설정!$B$15,IF(입력!E13&lt;=설정!$A$16,설정!$B$16,설정!$B$17))</f>
        <v>1</v>
      </c>
      <c r="Q13" s="23" t="n">
        <f aca="false">H13</f>
        <v>0.0623355060983706</v>
      </c>
      <c r="R13" s="24" t="n">
        <f aca="false">IF(Q13&gt;0,E13*(1+P13)/Q13,0)</f>
        <v>0.0573992172873813</v>
      </c>
      <c r="S13" s="26" t="str">
        <f aca="false">IF(AND(F13&gt;0,R13&lt;=1),"GOOD",IF(F13&lt;=0,"Adverse Slope","NG_"&amp;ROUND(R13*100,0)&amp;"%"))</f>
        <v>GOOD</v>
      </c>
      <c r="T13" s="24" t="n">
        <f aca="false">IF(E13&gt;0,M13,I13)</f>
        <v>0.875932338779343</v>
      </c>
      <c r="U13" s="26" t="str">
        <f aca="false">IF(T13&lt;설정!$B$6,"NG(V)"&amp;TEXT(설정!$B$6,"0.0")&amp;"↓",IF(T13&lt;설정!$B$4,"유지관리",IF(T13&gt;설정!$B$5,"NG(V)"&amp;TEXT(설정!$B$5,"0.0")&amp;"↑","GOOD")))</f>
        <v>GOOD</v>
      </c>
      <c r="V13" s="26" t="str">
        <f aca="false">IF(AND(LEFT(U13,2)="NG",F13&gt;=설정!$B$8),"구배10.0%이상",U13)</f>
        <v>GOOD</v>
      </c>
      <c r="W13" s="21" t="n">
        <f aca="false">입력!H13-입력!F13-입력!E13/1000</f>
        <v>0.999999999999996</v>
      </c>
      <c r="X13" s="26" t="str">
        <f aca="false">IF(W13&lt;설정!$B$7-0.0005,"NG","GOOD")</f>
        <v>GOOD</v>
      </c>
    </row>
    <row r="14" customFormat="false" ht="15" hidden="false" customHeight="false" outlineLevel="0" collapsed="false">
      <c r="A14" s="18" t="str">
        <f aca="false">입력!A14</f>
        <v>BC-10</v>
      </c>
      <c r="B14" s="19" t="n">
        <f aca="false">입력!K14*입력!L14</f>
        <v>0</v>
      </c>
      <c r="C14" s="19" t="n">
        <f aca="false">B14+IF(입력!C13=입력!B14,C13,0)</f>
        <v>0</v>
      </c>
      <c r="D14" s="20" t="n">
        <f aca="false">(입력!M14*입력!O14+입력!N14)*B14/설정!$B$11+입력!P14</f>
        <v>0</v>
      </c>
      <c r="E14" s="20" t="n">
        <f aca="false">D14+IF(입력!C13=입력!B14,E13,0)</f>
        <v>0.00178900462962963</v>
      </c>
      <c r="F14" s="21" t="n">
        <f aca="false">(입력!F14-입력!G14)/입력!D14*1000</f>
        <v>16.3333333333334</v>
      </c>
      <c r="G14" s="22" t="n">
        <f aca="false">PI()*(입력!E14/1000)^2/4</f>
        <v>0.0314159265358979</v>
      </c>
      <c r="H14" s="23" t="n">
        <f aca="false">IF(F14&lt;=0,0,G14*((입력!E14/1000)/4)^(2/3)*(F14/1000)^0.5/입력!J14)</f>
        <v>0.0495383194910201</v>
      </c>
      <c r="I14" s="24" t="n">
        <f aca="false">IF(G14&gt;0,H14/G14,0)</f>
        <v>1.57685368389229</v>
      </c>
      <c r="J14" s="23" t="n">
        <f aca="false">IF(F14&lt;=0,0,((입력!E14/1000)^2/8*(설정!$B$10-SIN(설정!$B$10)))*(((입력!E14/1000)^2/8*(설정!$B$10-SIN(설정!$B$10)))/((입력!E14/1000)*설정!$B$10/2))^(2/3)*(F14/1000)^0.5/입력!J14)</f>
        <v>0.0532886609265878</v>
      </c>
      <c r="K14" s="22" t="n">
        <f aca="false">수심반복!CH14</f>
        <v>1.47523005177273</v>
      </c>
      <c r="L14" s="22" t="n">
        <f aca="false">IF(E14&lt;=0,0,IF(E14&gt;J14,입력!E14/1000,(입력!E14/1000)/2*(1-COS(K14/2))))</f>
        <v>0.0259925383821674</v>
      </c>
      <c r="M14" s="24" t="n">
        <f aca="false">IF(E14&lt;=0,0,IF(E14&gt;J14,E14/G14,E14/((입력!E14/1000)^2/8*(K14-SIN(K14)))))</f>
        <v>0.745740143493647</v>
      </c>
      <c r="N14" s="21" t="n">
        <f aca="false">L14/(입력!E14/1000)*100</f>
        <v>12.9962691910837</v>
      </c>
      <c r="O14" s="21" t="n">
        <f aca="false">IF(H14&gt;0,E14/H14*100,0)</f>
        <v>3.61135510451445</v>
      </c>
      <c r="P14" s="25" t="n">
        <f aca="false">IF(입력!E14&lt;=설정!$A$15,설정!$B$15,IF(입력!E14&lt;=설정!$A$16,설정!$B$16,설정!$B$17))</f>
        <v>1</v>
      </c>
      <c r="Q14" s="23" t="n">
        <f aca="false">H14</f>
        <v>0.0495383194910201</v>
      </c>
      <c r="R14" s="24" t="n">
        <f aca="false">IF(Q14&gt;0,E14*(1+P14)/Q14,0)</f>
        <v>0.0722271020902889</v>
      </c>
      <c r="S14" s="26" t="str">
        <f aca="false">IF(AND(F14&gt;0,R14&lt;=1),"GOOD",IF(F14&lt;=0,"Adverse Slope","NG_"&amp;ROUND(R14*100,0)&amp;"%"))</f>
        <v>GOOD</v>
      </c>
      <c r="T14" s="24" t="n">
        <f aca="false">IF(E14&gt;0,M14,I14)</f>
        <v>0.745740143493647</v>
      </c>
      <c r="U14" s="26" t="str">
        <f aca="false">IF(T14&lt;설정!$B$6,"NG(V)"&amp;TEXT(설정!$B$6,"0.0")&amp;"↓",IF(T14&lt;설정!$B$4,"유지관리",IF(T14&gt;설정!$B$5,"NG(V)"&amp;TEXT(설정!$B$5,"0.0")&amp;"↑","GOOD")))</f>
        <v>GOOD</v>
      </c>
      <c r="V14" s="26" t="str">
        <f aca="false">IF(AND(LEFT(U14,2)="NG",F14&gt;=설정!$B$8),"구배10.0%이상",U14)</f>
        <v>GOOD</v>
      </c>
      <c r="W14" s="21" t="n">
        <f aca="false">입력!H14-입력!F14-입력!E14/1000</f>
        <v>0.900000000000002</v>
      </c>
      <c r="X14" s="26" t="str">
        <f aca="false">IF(W14&lt;설정!$B$7-0.0005,"NG","GOOD")</f>
        <v>NG</v>
      </c>
    </row>
    <row r="15" customFormat="false" ht="15" hidden="false" customHeight="false" outlineLevel="0" collapsed="false">
      <c r="A15" s="18" t="str">
        <f aca="false">입력!A15</f>
        <v>BC-11</v>
      </c>
      <c r="B15" s="19" t="n">
        <f aca="false">입력!K15*입력!L15</f>
        <v>0</v>
      </c>
      <c r="C15" s="19" t="n">
        <f aca="false">B15+IF(입력!C14=입력!B15,C14,0)</f>
        <v>0</v>
      </c>
      <c r="D15" s="20" t="n">
        <f aca="false">(입력!M15*입력!O15+입력!N15)*B15/설정!$B$11+입력!P15</f>
        <v>0</v>
      </c>
      <c r="E15" s="20" t="n">
        <f aca="false">D15+IF(입력!C14=입력!B15,E14,0)</f>
        <v>0.00178900462962963</v>
      </c>
      <c r="F15" s="21" t="n">
        <f aca="false">(입력!F15-입력!G15)/입력!D15*1000</f>
        <v>11.5</v>
      </c>
      <c r="G15" s="22" t="n">
        <f aca="false">PI()*(입력!E15/1000)^2/4</f>
        <v>0.0314159265358979</v>
      </c>
      <c r="H15" s="23" t="n">
        <f aca="false">IF(F15&lt;=0,0,G15*((입력!E15/1000)/4)^(2/3)*(F15/1000)^0.5/입력!J15)</f>
        <v>0.0415673920182651</v>
      </c>
      <c r="I15" s="24" t="n">
        <f aca="false">IF(G15&gt;0,H15/G15,0)</f>
        <v>1.3231311822291</v>
      </c>
      <c r="J15" s="23" t="n">
        <f aca="false">IF(F15&lt;=0,0,((입력!E15/1000)^2/8*(설정!$B$10-SIN(설정!$B$10)))*(((입력!E15/1000)^2/8*(설정!$B$10-SIN(설정!$B$10)))/((입력!E15/1000)*설정!$B$10/2))^(2/3)*(F15/1000)^0.5/입력!J15)</f>
        <v>0.0447142874773015</v>
      </c>
      <c r="K15" s="22" t="n">
        <f aca="false">수심반복!CH15</f>
        <v>1.54218878300621</v>
      </c>
      <c r="L15" s="22" t="n">
        <f aca="false">IF(E15&lt;=0,0,IF(E15&gt;J15,입력!E15/1000,(입력!E15/1000)/2*(1-COS(K15/2))))</f>
        <v>0.0282851604645309</v>
      </c>
      <c r="M15" s="24" t="n">
        <f aca="false">IF(E15&lt;=0,0,IF(E15&gt;J15,E15/G15,E15/((입력!E15/1000)^2/8*(K15-SIN(K15)))))</f>
        <v>0.659421815628003</v>
      </c>
      <c r="N15" s="21" t="n">
        <f aca="false">L15/(입력!E15/1000)*100</f>
        <v>14.1425802322654</v>
      </c>
      <c r="O15" s="21" t="n">
        <f aca="false">IF(H15&gt;0,E15/H15*100,0)</f>
        <v>4.30386546464962</v>
      </c>
      <c r="P15" s="25" t="n">
        <f aca="false">IF(입력!E15&lt;=설정!$A$15,설정!$B$15,IF(입력!E15&lt;=설정!$A$16,설정!$B$16,설정!$B$17))</f>
        <v>1</v>
      </c>
      <c r="Q15" s="23" t="n">
        <f aca="false">H15</f>
        <v>0.0415673920182651</v>
      </c>
      <c r="R15" s="24" t="n">
        <f aca="false">IF(Q15&gt;0,E15*(1+P15)/Q15,0)</f>
        <v>0.0860773092929923</v>
      </c>
      <c r="S15" s="26" t="str">
        <f aca="false">IF(AND(F15&gt;0,R15&lt;=1),"GOOD",IF(F15&lt;=0,"Adverse Slope","NG_"&amp;ROUND(R15*100,0)&amp;"%"))</f>
        <v>GOOD</v>
      </c>
      <c r="T15" s="24" t="n">
        <f aca="false">IF(E15&gt;0,M15,I15)</f>
        <v>0.659421815628003</v>
      </c>
      <c r="U15" s="26" t="str">
        <f aca="false">IF(T15&lt;설정!$B$6,"NG(V)"&amp;TEXT(설정!$B$6,"0.0")&amp;"↓",IF(T15&lt;설정!$B$4,"유지관리",IF(T15&gt;설정!$B$5,"NG(V)"&amp;TEXT(설정!$B$5,"0.0")&amp;"↑","GOOD")))</f>
        <v>GOOD</v>
      </c>
      <c r="V15" s="26" t="str">
        <f aca="false">IF(AND(LEFT(U15,2)="NG",F15&gt;=설정!$B$8),"구배10.0%이상",U15)</f>
        <v>GOOD</v>
      </c>
      <c r="W15" s="21" t="n">
        <f aca="false">입력!H15-입력!F15-입력!E15/1000</f>
        <v>1</v>
      </c>
      <c r="X15" s="26" t="str">
        <f aca="false">IF(W15&lt;설정!$B$7-0.0005,"NG","GOOD")</f>
        <v>GOOD</v>
      </c>
    </row>
    <row r="16" customFormat="false" ht="15" hidden="false" customHeight="false" outlineLevel="0" collapsed="false">
      <c r="A16" s="18" t="str">
        <f aca="false">입력!A16</f>
        <v>BC-12</v>
      </c>
      <c r="B16" s="19" t="n">
        <f aca="false">입력!K16*입력!L16</f>
        <v>0</v>
      </c>
      <c r="C16" s="19" t="n">
        <f aca="false">B16+IF(입력!C15=입력!B16,C15,0)</f>
        <v>0</v>
      </c>
      <c r="D16" s="20" t="n">
        <f aca="false">(입력!M16*입력!O16+입력!N16)*B16/설정!$B$11+입력!P16</f>
        <v>0</v>
      </c>
      <c r="E16" s="20" t="n">
        <f aca="false">D16+IF(입력!C15=입력!B16,E15,0)</f>
        <v>0.00178900462962963</v>
      </c>
      <c r="F16" s="21" t="n">
        <f aca="false">(입력!F16-입력!G16)/입력!D16*1000</f>
        <v>13.5</v>
      </c>
      <c r="G16" s="22" t="n">
        <f aca="false">PI()*(입력!E16/1000)^2/4</f>
        <v>0.0314159265358979</v>
      </c>
      <c r="H16" s="23" t="n">
        <f aca="false">IF(F16&lt;=0,0,G16*((입력!E16/1000)/4)^(2/3)*(F16/1000)^0.5/입력!J16)</f>
        <v>0.0450371335380248</v>
      </c>
      <c r="I16" s="24" t="n">
        <f aca="false">IF(G16&gt;0,H16/G16,0)</f>
        <v>1.43357648505329</v>
      </c>
      <c r="J16" s="23" t="n">
        <f aca="false">IF(F16&lt;=0,0,((입력!E16/1000)^2/8*(설정!$B$10-SIN(설정!$B$10)))*(((입력!E16/1000)^2/8*(설정!$B$10-SIN(설정!$B$10)))/((입력!E16/1000)*설정!$B$10/2))^(2/3)*(F16/1000)^0.5/입력!J16)</f>
        <v>0.0484467087876953</v>
      </c>
      <c r="K16" s="22" t="n">
        <f aca="false">수심반복!CH16</f>
        <v>1.51114810835219</v>
      </c>
      <c r="L16" s="22" t="n">
        <f aca="false">IF(E16&lt;=0,0,IF(E16&gt;J16,입력!E16/1000,(입력!E16/1000)/2*(1-COS(K16/2))))</f>
        <v>0.0272121969614422</v>
      </c>
      <c r="M16" s="24" t="n">
        <f aca="false">IF(E16&lt;=0,0,IF(E16&gt;J16,E16/G16,E16/((입력!E16/1000)^2/8*(K16-SIN(K16)))))</f>
        <v>0.69756758687381</v>
      </c>
      <c r="N16" s="21" t="n">
        <f aca="false">L16/(입력!E16/1000)*100</f>
        <v>13.6060984807211</v>
      </c>
      <c r="O16" s="21" t="n">
        <f aca="false">IF(H16&gt;0,E16/H16*100,0)</f>
        <v>3.97228795238306</v>
      </c>
      <c r="P16" s="25" t="n">
        <f aca="false">IF(입력!E16&lt;=설정!$A$15,설정!$B$15,IF(입력!E16&lt;=설정!$A$16,설정!$B$16,설정!$B$17))</f>
        <v>1</v>
      </c>
      <c r="Q16" s="23" t="n">
        <f aca="false">H16</f>
        <v>0.0450371335380248</v>
      </c>
      <c r="R16" s="24" t="n">
        <f aca="false">IF(Q16&gt;0,E16*(1+P16)/Q16,0)</f>
        <v>0.0794457590476612</v>
      </c>
      <c r="S16" s="26" t="str">
        <f aca="false">IF(AND(F16&gt;0,R16&lt;=1),"GOOD",IF(F16&lt;=0,"Adverse Slope","NG_"&amp;ROUND(R16*100,0)&amp;"%"))</f>
        <v>GOOD</v>
      </c>
      <c r="T16" s="24" t="n">
        <f aca="false">IF(E16&gt;0,M16,I16)</f>
        <v>0.69756758687381</v>
      </c>
      <c r="U16" s="26" t="str">
        <f aca="false">IF(T16&lt;설정!$B$6,"NG(V)"&amp;TEXT(설정!$B$6,"0.0")&amp;"↓",IF(T16&lt;설정!$B$4,"유지관리",IF(T16&gt;설정!$B$5,"NG(V)"&amp;TEXT(설정!$B$5,"0.0")&amp;"↑","GOOD")))</f>
        <v>GOOD</v>
      </c>
      <c r="V16" s="26" t="str">
        <f aca="false">IF(AND(LEFT(U16,2)="NG",F16&gt;=설정!$B$8),"구배10.0%이상",U16)</f>
        <v>GOOD</v>
      </c>
      <c r="W16" s="21" t="n">
        <f aca="false">입력!H16-입력!F16-입력!E16/1000</f>
        <v>1</v>
      </c>
      <c r="X16" s="26" t="str">
        <f aca="false">IF(W16&lt;설정!$B$7-0.0005,"NG","GOOD")</f>
        <v>GOOD</v>
      </c>
    </row>
    <row r="17" customFormat="false" ht="15" hidden="false" customHeight="false" outlineLevel="0" collapsed="false">
      <c r="A17" s="18" t="str">
        <f aca="false">입력!A17</f>
        <v>BC-13</v>
      </c>
      <c r="B17" s="19" t="n">
        <f aca="false">입력!K17*입력!L17</f>
        <v>0</v>
      </c>
      <c r="C17" s="19" t="n">
        <f aca="false">B17+IF(입력!C16=입력!B17,C16,0)</f>
        <v>0</v>
      </c>
      <c r="D17" s="20" t="n">
        <f aca="false">(입력!M17*입력!O17+입력!N17)*B17/설정!$B$11+입력!P17</f>
        <v>0</v>
      </c>
      <c r="E17" s="20" t="n">
        <f aca="false">D17+IF(입력!C16=입력!B17,E16,0)</f>
        <v>0.00178900462962963</v>
      </c>
      <c r="F17" s="21" t="n">
        <f aca="false">(입력!F17-입력!G17)/입력!D17*1000</f>
        <v>18.3333333333332</v>
      </c>
      <c r="G17" s="22" t="n">
        <f aca="false">PI()*(입력!E17/1000)^2/4</f>
        <v>0.0314159265358979</v>
      </c>
      <c r="H17" s="23" t="n">
        <f aca="false">IF(F17&lt;=0,0,G17*((입력!E17/1000)/4)^(2/3)*(F17/1000)^0.5/입력!J17)</f>
        <v>0.0524837157232234</v>
      </c>
      <c r="I17" s="24" t="n">
        <f aca="false">IF(G17&gt;0,H17/G17,0)</f>
        <v>1.67060855783617</v>
      </c>
      <c r="J17" s="23" t="n">
        <f aca="false">IF(F17&lt;=0,0,((입력!E17/1000)^2/8*(설정!$B$10-SIN(설정!$B$10)))*(((입력!E17/1000)^2/8*(설정!$B$10-SIN(설정!$B$10)))/((입력!E17/1000)*설정!$B$10/2))^(2/3)*(F17/1000)^0.5/입력!J17)</f>
        <v>0.0564570409347304</v>
      </c>
      <c r="K17" s="22" t="n">
        <f aca="false">수심반복!CH17</f>
        <v>1.45394552595892</v>
      </c>
      <c r="L17" s="22" t="n">
        <f aca="false">IF(E17&lt;=0,0,IF(E17&gt;J17,입력!E17/1000,(입력!E17/1000)/2*(1-COS(K17/2))))</f>
        <v>0.0252810242739165</v>
      </c>
      <c r="M17" s="24" t="n">
        <f aca="false">IF(E17&lt;=0,0,IF(E17&gt;J17,E17/G17,E17/((입력!E17/1000)^2/8*(K17-SIN(K17)))))</f>
        <v>0.776536995315801</v>
      </c>
      <c r="N17" s="21" t="n">
        <f aca="false">L17/(입력!E17/1000)*100</f>
        <v>12.6405121369582</v>
      </c>
      <c r="O17" s="21" t="n">
        <f aca="false">IF(H17&gt;0,E17/H17*100,0)</f>
        <v>3.40868516067741</v>
      </c>
      <c r="P17" s="25" t="n">
        <f aca="false">IF(입력!E17&lt;=설정!$A$15,설정!$B$15,IF(입력!E17&lt;=설정!$A$16,설정!$B$16,설정!$B$17))</f>
        <v>1</v>
      </c>
      <c r="Q17" s="23" t="n">
        <f aca="false">H17</f>
        <v>0.0524837157232234</v>
      </c>
      <c r="R17" s="24" t="n">
        <f aca="false">IF(Q17&gt;0,E17*(1+P17)/Q17,0)</f>
        <v>0.0681737032135482</v>
      </c>
      <c r="S17" s="26" t="str">
        <f aca="false">IF(AND(F17&gt;0,R17&lt;=1),"GOOD",IF(F17&lt;=0,"Adverse Slope","NG_"&amp;ROUND(R17*100,0)&amp;"%"))</f>
        <v>GOOD</v>
      </c>
      <c r="T17" s="24" t="n">
        <f aca="false">IF(E17&gt;0,M17,I17)</f>
        <v>0.776536995315801</v>
      </c>
      <c r="U17" s="26" t="str">
        <f aca="false">IF(T17&lt;설정!$B$6,"NG(V)"&amp;TEXT(설정!$B$6,"0.0")&amp;"↓",IF(T17&lt;설정!$B$4,"유지관리",IF(T17&gt;설정!$B$5,"NG(V)"&amp;TEXT(설정!$B$5,"0.0")&amp;"↑","GOOD")))</f>
        <v>GOOD</v>
      </c>
      <c r="V17" s="26" t="str">
        <f aca="false">IF(AND(LEFT(U17,2)="NG",F17&gt;=설정!$B$8),"구배10.0%이상",U17)</f>
        <v>GOOD</v>
      </c>
      <c r="W17" s="21" t="n">
        <f aca="false">입력!H17-입력!F17-입력!E17/1000</f>
        <v>1</v>
      </c>
      <c r="X17" s="26" t="str">
        <f aca="false">IF(W17&lt;설정!$B$7-0.0005,"NG","GOOD")</f>
        <v>GOOD</v>
      </c>
    </row>
    <row r="18" customFormat="false" ht="15" hidden="false" customHeight="false" outlineLevel="0" collapsed="false">
      <c r="A18" s="18" t="str">
        <f aca="false">입력!A18</f>
        <v>BC-14</v>
      </c>
      <c r="B18" s="19" t="n">
        <f aca="false">입력!K18*입력!L18</f>
        <v>0</v>
      </c>
      <c r="C18" s="19" t="n">
        <f aca="false">B18+IF(입력!C17=입력!B18,C17,0)</f>
        <v>0</v>
      </c>
      <c r="D18" s="20" t="n">
        <f aca="false">(입력!M18*입력!O18+입력!N18)*B18/설정!$B$11+입력!P18</f>
        <v>0</v>
      </c>
      <c r="E18" s="20" t="n">
        <f aca="false">D18+IF(입력!C17=입력!B18,E17,0)</f>
        <v>0.00178900462962963</v>
      </c>
      <c r="F18" s="21" t="n">
        <f aca="false">(입력!F18-입력!G18)/입력!D18*1000</f>
        <v>19.2</v>
      </c>
      <c r="G18" s="22" t="n">
        <f aca="false">PI()*(입력!E18/1000)^2/4</f>
        <v>0.0314159265358979</v>
      </c>
      <c r="H18" s="23" t="n">
        <f aca="false">IF(F18&lt;=0,0,G18*((입력!E18/1000)/4)^(2/3)*(F18/1000)^0.5/입력!J18)</f>
        <v>0.0537099157881382</v>
      </c>
      <c r="I18" s="24" t="n">
        <f aca="false">IF(G18&gt;0,H18/G18,0)</f>
        <v>1.70963971814633</v>
      </c>
      <c r="J18" s="23" t="n">
        <f aca="false">IF(F18&lt;=0,0,((입력!E18/1000)^2/8*(설정!$B$10-SIN(설정!$B$10)))*(((입력!E18/1000)^2/8*(설정!$B$10-SIN(설정!$B$10)))/((입력!E18/1000)*설정!$B$10/2))^(2/3)*(F18/1000)^0.5/입력!J18)</f>
        <v>0.0577760715388924</v>
      </c>
      <c r="K18" s="22" t="n">
        <f aca="false">수심반복!CH18</f>
        <v>1.44553615965314</v>
      </c>
      <c r="L18" s="22" t="n">
        <f aca="false">IF(E18&lt;=0,0,IF(E18&gt;J18,입력!E18/1000,(입력!E18/1000)/2*(1-COS(K18/2))))</f>
        <v>0.0250022378202514</v>
      </c>
      <c r="M18" s="24" t="n">
        <f aca="false">IF(E18&lt;=0,0,IF(E18&gt;J18,E18/G18,E18/((입력!E18/1000)^2/8*(K18-SIN(K18)))))</f>
        <v>0.789201240707926</v>
      </c>
      <c r="N18" s="21" t="n">
        <f aca="false">L18/(입력!E18/1000)*100</f>
        <v>12.5011189101257</v>
      </c>
      <c r="O18" s="21" t="n">
        <f aca="false">IF(H18&gt;0,E18/H18*100,0)</f>
        <v>3.33086470789949</v>
      </c>
      <c r="P18" s="25" t="n">
        <f aca="false">IF(입력!E18&lt;=설정!$A$15,설정!$B$15,IF(입력!E18&lt;=설정!$A$16,설정!$B$16,설정!$B$17))</f>
        <v>1</v>
      </c>
      <c r="Q18" s="23" t="n">
        <f aca="false">H18</f>
        <v>0.0537099157881382</v>
      </c>
      <c r="R18" s="24" t="n">
        <f aca="false">IF(Q18&gt;0,E18*(1+P18)/Q18,0)</f>
        <v>0.0666172941579897</v>
      </c>
      <c r="S18" s="26" t="str">
        <f aca="false">IF(AND(F18&gt;0,R18&lt;=1),"GOOD",IF(F18&lt;=0,"Adverse Slope","NG_"&amp;ROUND(R18*100,0)&amp;"%"))</f>
        <v>GOOD</v>
      </c>
      <c r="T18" s="24" t="n">
        <f aca="false">IF(E18&gt;0,M18,I18)</f>
        <v>0.789201240707926</v>
      </c>
      <c r="U18" s="26" t="str">
        <f aca="false">IF(T18&lt;설정!$B$6,"NG(V)"&amp;TEXT(설정!$B$6,"0.0")&amp;"↓",IF(T18&lt;설정!$B$4,"유지관리",IF(T18&gt;설정!$B$5,"NG(V)"&amp;TEXT(설정!$B$5,"0.0")&amp;"↑","GOOD")))</f>
        <v>GOOD</v>
      </c>
      <c r="V18" s="26" t="str">
        <f aca="false">IF(AND(LEFT(U18,2)="NG",F18&gt;=설정!$B$8),"구배10.0%이상",U18)</f>
        <v>GOOD</v>
      </c>
      <c r="W18" s="21" t="n">
        <f aca="false">입력!H18-입력!F18-입력!E18/1000</f>
        <v>0.999999999999996</v>
      </c>
      <c r="X18" s="26" t="str">
        <f aca="false">IF(W18&lt;설정!$B$7-0.0005,"NG","GOOD")</f>
        <v>GOOD</v>
      </c>
    </row>
    <row r="19" customFormat="false" ht="15" hidden="false" customHeight="false" outlineLevel="0" collapsed="false">
      <c r="A19" s="18" t="str">
        <f aca="false">입력!A19</f>
        <v>BC-15</v>
      </c>
      <c r="B19" s="19" t="n">
        <f aca="false">입력!K19*입력!L19</f>
        <v>0</v>
      </c>
      <c r="C19" s="19" t="n">
        <f aca="false">B19+IF(입력!C18=입력!B19,C18,0)</f>
        <v>0</v>
      </c>
      <c r="D19" s="20" t="n">
        <f aca="false">(입력!M19*입력!O19+입력!N19)*B19/설정!$B$11+입력!P19</f>
        <v>0</v>
      </c>
      <c r="E19" s="20" t="n">
        <f aca="false">D19+IF(입력!C18=입력!B19,E18,0)</f>
        <v>0.00178900462962963</v>
      </c>
      <c r="F19" s="21" t="n">
        <f aca="false">(입력!F19-입력!G19)/입력!D19*1000</f>
        <v>13.4666666666666</v>
      </c>
      <c r="G19" s="22" t="n">
        <f aca="false">PI()*(입력!E19/1000)^2/4</f>
        <v>0.0314159265358979</v>
      </c>
      <c r="H19" s="23" t="n">
        <f aca="false">IF(F19&lt;=0,0,G19*((입력!E19/1000)/4)^(2/3)*(F19/1000)^0.5/입력!J19)</f>
        <v>0.0449814977743055</v>
      </c>
      <c r="I19" s="24" t="n">
        <f aca="false">IF(G19&gt;0,H19/G19,0)</f>
        <v>1.43180554369156</v>
      </c>
      <c r="J19" s="23" t="n">
        <f aca="false">IF(F19&lt;=0,0,((입력!E19/1000)^2/8*(설정!$B$10-SIN(설정!$B$10)))*(((입력!E19/1000)^2/8*(설정!$B$10-SIN(설정!$B$10)))/((입력!E19/1000)*설정!$B$10/2))^(2/3)*(F19/1000)^0.5/입력!J19)</f>
        <v>0.0483868610702375</v>
      </c>
      <c r="K19" s="22" t="n">
        <f aca="false">수심반복!CH19</f>
        <v>1.51162098810636</v>
      </c>
      <c r="L19" s="22" t="n">
        <f aca="false">IF(E19&lt;=0,0,IF(E19&gt;J19,입력!E19/1000,(입력!E19/1000)/2*(1-COS(K19/2))))</f>
        <v>0.0272284118348161</v>
      </c>
      <c r="M19" s="24" t="n">
        <f aca="false">IF(E19&lt;=0,0,IF(E19&gt;J19,E19/G19,E19/((입력!E19/1000)^2/8*(K19-SIN(K19)))))</f>
        <v>0.696963191590308</v>
      </c>
      <c r="N19" s="21" t="n">
        <f aca="false">L19/(입력!E19/1000)*100</f>
        <v>13.614205917408</v>
      </c>
      <c r="O19" s="21" t="n">
        <f aca="false">IF(H19&gt;0,E19/H19*100,0)</f>
        <v>3.97720111190151</v>
      </c>
      <c r="P19" s="25" t="n">
        <f aca="false">IF(입력!E19&lt;=설정!$A$15,설정!$B$15,IF(입력!E19&lt;=설정!$A$16,설정!$B$16,설정!$B$17))</f>
        <v>1</v>
      </c>
      <c r="Q19" s="23" t="n">
        <f aca="false">H19</f>
        <v>0.0449814977743055</v>
      </c>
      <c r="R19" s="24" t="n">
        <f aca="false">IF(Q19&gt;0,E19*(1+P19)/Q19,0)</f>
        <v>0.0795440222380302</v>
      </c>
      <c r="S19" s="26" t="str">
        <f aca="false">IF(AND(F19&gt;0,R19&lt;=1),"GOOD",IF(F19&lt;=0,"Adverse Slope","NG_"&amp;ROUND(R19*100,0)&amp;"%"))</f>
        <v>GOOD</v>
      </c>
      <c r="T19" s="24" t="n">
        <f aca="false">IF(E19&gt;0,M19,I19)</f>
        <v>0.696963191590308</v>
      </c>
      <c r="U19" s="26" t="str">
        <f aca="false">IF(T19&lt;설정!$B$6,"NG(V)"&amp;TEXT(설정!$B$6,"0.0")&amp;"↓",IF(T19&lt;설정!$B$4,"유지관리",IF(T19&gt;설정!$B$5,"NG(V)"&amp;TEXT(설정!$B$5,"0.0")&amp;"↑","GOOD")))</f>
        <v>GOOD</v>
      </c>
      <c r="V19" s="26" t="str">
        <f aca="false">IF(AND(LEFT(U19,2)="NG",F19&gt;=설정!$B$8),"구배10.0%이상",U19)</f>
        <v>GOOD</v>
      </c>
      <c r="W19" s="21" t="n">
        <f aca="false">입력!H19-입력!F19-입력!E19/1000</f>
        <v>0.999999999999996</v>
      </c>
      <c r="X19" s="26" t="str">
        <f aca="false">IF(W19&lt;설정!$B$7-0.0005,"NG","GOOD")</f>
        <v>GOOD</v>
      </c>
    </row>
    <row r="20" customFormat="false" ht="15" hidden="false" customHeight="false" outlineLevel="0" collapsed="false">
      <c r="A20" s="18" t="str">
        <f aca="false">입력!A20</f>
        <v>BC-16</v>
      </c>
      <c r="B20" s="19" t="n">
        <f aca="false">입력!K20*입력!L20</f>
        <v>0</v>
      </c>
      <c r="C20" s="19" t="n">
        <f aca="false">B20+IF(입력!C19=입력!B20,C19,0)</f>
        <v>0</v>
      </c>
      <c r="D20" s="20" t="n">
        <f aca="false">(입력!M20*입력!O20+입력!N20)*B20/설정!$B$11+입력!P20</f>
        <v>0</v>
      </c>
      <c r="E20" s="20" t="n">
        <f aca="false">D20+IF(입력!C19=입력!B20,E19,0)</f>
        <v>0.00178900462962963</v>
      </c>
      <c r="F20" s="21" t="n">
        <f aca="false">(입력!F20-입력!G20)/입력!D20*1000</f>
        <v>9.73333333333339</v>
      </c>
      <c r="G20" s="22" t="n">
        <f aca="false">PI()*(입력!E20/1000)^2/4</f>
        <v>0.0314159265358979</v>
      </c>
      <c r="H20" s="23" t="n">
        <f aca="false">IF(F20&lt;=0,0,G20*((입력!E20/1000)/4)^(2/3)*(F20/1000)^0.5/입력!J20)</f>
        <v>0.0382414768045453</v>
      </c>
      <c r="I20" s="24" t="n">
        <f aca="false">IF(G20&gt;0,H20/G20,0)</f>
        <v>1.21726401291549</v>
      </c>
      <c r="J20" s="23" t="n">
        <f aca="false">IF(F20&lt;=0,0,((입력!E20/1000)^2/8*(설정!$B$10-SIN(설정!$B$10)))*(((입력!E20/1000)^2/8*(설정!$B$10-SIN(설정!$B$10)))/((입력!E20/1000)*설정!$B$10/2))^(2/3)*(F20/1000)^0.5/입력!J20)</f>
        <v>0.0411365809681693</v>
      </c>
      <c r="K20" s="22" t="n">
        <f aca="false">수심반복!CH20</f>
        <v>1.57529581151686</v>
      </c>
      <c r="L20" s="22" t="n">
        <f aca="false">IF(E20&lt;=0,0,IF(E20&gt;J20,입력!E20/1000,(입력!E20/1000)/2*(1-COS(K20/2))))</f>
        <v>0.0294485815004297</v>
      </c>
      <c r="M20" s="24" t="n">
        <f aca="false">IF(E20&lt;=0,0,IF(E20&gt;J20,E20/G20,E20/((입력!E20/1000)^2/8*(K20-SIN(K20)))))</f>
        <v>0.621931575302078</v>
      </c>
      <c r="N20" s="21" t="n">
        <f aca="false">L20/(입력!E20/1000)*100</f>
        <v>14.7242907502148</v>
      </c>
      <c r="O20" s="21" t="n">
        <f aca="false">IF(H20&gt;0,E20/H20*100,0)</f>
        <v>4.67817871881191</v>
      </c>
      <c r="P20" s="25" t="n">
        <f aca="false">IF(입력!E20&lt;=설정!$A$15,설정!$B$15,IF(입력!E20&lt;=설정!$A$16,설정!$B$16,설정!$B$17))</f>
        <v>1</v>
      </c>
      <c r="Q20" s="23" t="n">
        <f aca="false">H20</f>
        <v>0.0382414768045453</v>
      </c>
      <c r="R20" s="24" t="n">
        <f aca="false">IF(Q20&gt;0,E20*(1+P20)/Q20,0)</f>
        <v>0.0935635743762382</v>
      </c>
      <c r="S20" s="26" t="str">
        <f aca="false">IF(AND(F20&gt;0,R20&lt;=1),"GOOD",IF(F20&lt;=0,"Adverse Slope","NG_"&amp;ROUND(R20*100,0)&amp;"%"))</f>
        <v>GOOD</v>
      </c>
      <c r="T20" s="24" t="n">
        <f aca="false">IF(E20&gt;0,M20,I20)</f>
        <v>0.621931575302078</v>
      </c>
      <c r="U20" s="26" t="str">
        <f aca="false">IF(T20&lt;설정!$B$6,"NG(V)"&amp;TEXT(설정!$B$6,"0.0")&amp;"↓",IF(T20&lt;설정!$B$4,"유지관리",IF(T20&gt;설정!$B$5,"NG(V)"&amp;TEXT(설정!$B$5,"0.0")&amp;"↑","GOOD")))</f>
        <v>GOOD</v>
      </c>
      <c r="V20" s="26" t="str">
        <f aca="false">IF(AND(LEFT(U20,2)="NG",F20&gt;=설정!$B$8),"구배10.0%이상",U20)</f>
        <v>GOOD</v>
      </c>
      <c r="W20" s="21" t="n">
        <f aca="false">입력!H20-입력!F20-입력!E20/1000</f>
        <v>0.899999999999994</v>
      </c>
      <c r="X20" s="26" t="str">
        <f aca="false">IF(W20&lt;설정!$B$7-0.0005,"NG","GOOD")</f>
        <v>NG</v>
      </c>
    </row>
    <row r="21" customFormat="false" ht="15" hidden="false" customHeight="false" outlineLevel="0" collapsed="false">
      <c r="A21" s="18" t="str">
        <f aca="false">입력!A21</f>
        <v>BC-17</v>
      </c>
      <c r="B21" s="19" t="n">
        <f aca="false">입력!K21*입력!L21</f>
        <v>0</v>
      </c>
      <c r="C21" s="19" t="n">
        <f aca="false">B21+IF(입력!C20=입력!B21,C20,0)</f>
        <v>0</v>
      </c>
      <c r="D21" s="20" t="n">
        <f aca="false">(입력!M21*입력!O21+입력!N21)*B21/설정!$B$11+입력!P21</f>
        <v>0</v>
      </c>
      <c r="E21" s="20" t="n">
        <f aca="false">D21+IF(입력!C20=입력!B21,E20,0)</f>
        <v>0.00178900462962963</v>
      </c>
      <c r="F21" s="21" t="n">
        <f aca="false">(입력!F21-입력!G21)/입력!D21*1000</f>
        <v>4.39999999999998</v>
      </c>
      <c r="G21" s="22" t="n">
        <f aca="false">PI()*(입력!E21/1000)^2/4</f>
        <v>0.0314159265358979</v>
      </c>
      <c r="H21" s="23" t="n">
        <f aca="false">IF(F21&lt;=0,0,G21*((입력!E21/1000)/4)^(2/3)*(F21/1000)^0.5/입력!J21)</f>
        <v>0.0257116646654368</v>
      </c>
      <c r="I21" s="24" t="n">
        <f aca="false">IF(G21&gt;0,H21/G21,0)</f>
        <v>0.818427705325097</v>
      </c>
      <c r="J21" s="23" t="n">
        <f aca="false">IF(F21&lt;=0,0,((입력!E21/1000)^2/8*(설정!$B$10-SIN(설정!$B$10)))*(((입력!E21/1000)^2/8*(설정!$B$10-SIN(설정!$B$10)))/((입력!E21/1000)*설정!$B$10/2))^(2/3)*(F21/1000)^0.5/입력!J21)</f>
        <v>0.0276581885355024</v>
      </c>
      <c r="K21" s="22" t="n">
        <f aca="false">수심반복!CH21</f>
        <v>1.74539257124979</v>
      </c>
      <c r="L21" s="22" t="n">
        <f aca="false">IF(E21&lt;=0,0,IF(E21&gt;J21,입력!E21/1000,(입력!E21/1000)/2*(1-COS(K21/2))))</f>
        <v>0.0357236643317494</v>
      </c>
      <c r="M21" s="24" t="n">
        <f aca="false">IF(E21&lt;=0,0,IF(E21&gt;J21,E21/G21,E21/((입력!E21/1000)^2/8*(K21-SIN(K21)))))</f>
        <v>0.470421896415144</v>
      </c>
      <c r="N21" s="21" t="n">
        <f aca="false">L21/(입력!E21/1000)*100</f>
        <v>17.8618321658747</v>
      </c>
      <c r="O21" s="21" t="n">
        <f aca="false">IF(H21&gt;0,E21/H21*100,0)</f>
        <v>6.95794944788045</v>
      </c>
      <c r="P21" s="25" t="n">
        <f aca="false">IF(입력!E21&lt;=설정!$A$15,설정!$B$15,IF(입력!E21&lt;=설정!$A$16,설정!$B$16,설정!$B$17))</f>
        <v>1</v>
      </c>
      <c r="Q21" s="23" t="n">
        <f aca="false">H21</f>
        <v>0.0257116646654368</v>
      </c>
      <c r="R21" s="24" t="n">
        <f aca="false">IF(Q21&gt;0,E21*(1+P21)/Q21,0)</f>
        <v>0.139158988957609</v>
      </c>
      <c r="S21" s="26" t="str">
        <f aca="false">IF(AND(F21&gt;0,R21&lt;=1),"GOOD",IF(F21&lt;=0,"Adverse Slope","NG_"&amp;ROUND(R21*100,0)&amp;"%"))</f>
        <v>GOOD</v>
      </c>
      <c r="T21" s="24" t="n">
        <f aca="false">IF(E21&gt;0,M21,I21)</f>
        <v>0.470421896415144</v>
      </c>
      <c r="U21" s="26" t="str">
        <f aca="false">IF(T21&lt;설정!$B$6,"NG(V)"&amp;TEXT(설정!$B$6,"0.0")&amp;"↓",IF(T21&lt;설정!$B$4,"유지관리",IF(T21&gt;설정!$B$5,"NG(V)"&amp;TEXT(설정!$B$5,"0.0")&amp;"↑","GOOD")))</f>
        <v>유지관리</v>
      </c>
      <c r="V21" s="26" t="str">
        <f aca="false">IF(AND(LEFT(U21,2)="NG",F21&gt;=설정!$B$8),"구배10.0%이상",U21)</f>
        <v>유지관리</v>
      </c>
      <c r="W21" s="21" t="n">
        <f aca="false">입력!H21-입력!F21-입력!E21/1000</f>
        <v>0.900000000000002</v>
      </c>
      <c r="X21" s="26" t="str">
        <f aca="false">IF(W21&lt;설정!$B$7-0.0005,"NG","GOOD")</f>
        <v>NG</v>
      </c>
    </row>
    <row r="22" customFormat="false" ht="15" hidden="false" customHeight="false" outlineLevel="0" collapsed="false">
      <c r="A22" s="18" t="str">
        <f aca="false">입력!A22</f>
        <v>BC-18</v>
      </c>
      <c r="B22" s="19" t="n">
        <f aca="false">입력!K22*입력!L22</f>
        <v>0</v>
      </c>
      <c r="C22" s="19" t="n">
        <f aca="false">B22+IF(입력!C21=입력!B22,C21,0)</f>
        <v>0</v>
      </c>
      <c r="D22" s="20" t="n">
        <f aca="false">(입력!M22*입력!O22+입력!N22)*B22/설정!$B$11+입력!P22</f>
        <v>0</v>
      </c>
      <c r="E22" s="20" t="n">
        <f aca="false">D22+IF(입력!C21=입력!B22,E21,0)</f>
        <v>0.00178900462962963</v>
      </c>
      <c r="F22" s="21" t="n">
        <f aca="false">(입력!F22-입력!G22)/입력!D22*1000</f>
        <v>2.19999999999999</v>
      </c>
      <c r="G22" s="22" t="n">
        <f aca="false">PI()*(입력!E22/1000)^2/4</f>
        <v>0.0314159265358979</v>
      </c>
      <c r="H22" s="23" t="n">
        <f aca="false">IF(F22&lt;=0,0,G22*((입력!E22/1000)/4)^(2/3)*(F22/1000)^0.5/입력!J22)</f>
        <v>0.0181808924405249</v>
      </c>
      <c r="I22" s="24" t="n">
        <f aca="false">IF(G22&gt;0,H22/G22,0)</f>
        <v>0.578715780346321</v>
      </c>
      <c r="J22" s="23" t="n">
        <f aca="false">IF(F22&lt;=0,0,((입력!E22/1000)^2/8*(설정!$B$10-SIN(설정!$B$10)))*(((입력!E22/1000)^2/8*(설정!$B$10-SIN(설정!$B$10)))/((입력!E22/1000)*설정!$B$10/2))^(2/3)*(F22/1000)^0.5/입력!J22)</f>
        <v>0.0195572926687898</v>
      </c>
      <c r="K22" s="22" t="n">
        <f aca="false">수심반복!CH22</f>
        <v>1.91335589594454</v>
      </c>
      <c r="L22" s="22" t="n">
        <f aca="false">IF(E22&lt;=0,0,IF(E22&gt;J22,입력!E22/1000,(입력!E22/1000)/2*(1-COS(K22/2))))</f>
        <v>0.0423761786611419</v>
      </c>
      <c r="M22" s="24" t="n">
        <f aca="false">IF(E22&lt;=0,0,IF(E22&gt;J22,E22/G22,E22/((입력!E22/1000)^2/8*(K22-SIN(K22)))))</f>
        <v>0.368313362402937</v>
      </c>
      <c r="N22" s="21" t="n">
        <f aca="false">L22/(입력!E22/1000)*100</f>
        <v>21.188089330571</v>
      </c>
      <c r="O22" s="21" t="n">
        <f aca="false">IF(H22&gt;0,E22/H22*100,0)</f>
        <v>9.84002647549892</v>
      </c>
      <c r="P22" s="25" t="n">
        <f aca="false">IF(입력!E22&lt;=설정!$A$15,설정!$B$15,IF(입력!E22&lt;=설정!$A$16,설정!$B$16,설정!$B$17))</f>
        <v>1</v>
      </c>
      <c r="Q22" s="23" t="n">
        <f aca="false">H22</f>
        <v>0.0181808924405249</v>
      </c>
      <c r="R22" s="24" t="n">
        <f aca="false">IF(Q22&gt;0,E22*(1+P22)/Q22,0)</f>
        <v>0.196800529509978</v>
      </c>
      <c r="S22" s="26" t="str">
        <f aca="false">IF(AND(F22&gt;0,R22&lt;=1),"GOOD",IF(F22&lt;=0,"Adverse Slope","NG_"&amp;ROUND(R22*100,0)&amp;"%"))</f>
        <v>GOOD</v>
      </c>
      <c r="T22" s="24" t="n">
        <f aca="false">IF(E22&gt;0,M22,I22)</f>
        <v>0.368313362402937</v>
      </c>
      <c r="U22" s="26" t="str">
        <f aca="false">IF(T22&lt;설정!$B$6,"NG(V)"&amp;TEXT(설정!$B$6,"0.0")&amp;"↓",IF(T22&lt;설정!$B$4,"유지관리",IF(T22&gt;설정!$B$5,"NG(V)"&amp;TEXT(설정!$B$5,"0.0")&amp;"↑","GOOD")))</f>
        <v>유지관리</v>
      </c>
      <c r="V22" s="26" t="str">
        <f aca="false">IF(AND(LEFT(U22,2)="NG",F22&gt;=설정!$B$8),"구배10.0%이상",U22)</f>
        <v>유지관리</v>
      </c>
      <c r="W22" s="21" t="n">
        <f aca="false">입력!H22-입력!F22-입력!E22/1000</f>
        <v>0.900000000000002</v>
      </c>
      <c r="X22" s="26" t="str">
        <f aca="false">IF(W22&lt;설정!$B$7-0.0005,"NG","GOOD")</f>
        <v>NG</v>
      </c>
    </row>
    <row r="23" customFormat="false" ht="15" hidden="false" customHeight="false" outlineLevel="0" collapsed="false">
      <c r="A23" s="18" t="str">
        <f aca="false">입력!A23</f>
        <v>BC-19</v>
      </c>
      <c r="B23" s="19" t="n">
        <f aca="false">입력!K23*입력!L23</f>
        <v>0</v>
      </c>
      <c r="C23" s="19" t="n">
        <f aca="false">B23+IF(입력!C22=입력!B23,C22,0)</f>
        <v>0</v>
      </c>
      <c r="D23" s="20" t="n">
        <f aca="false">(입력!M23*입력!O23+입력!N23)*B23/설정!$B$11+입력!P23</f>
        <v>0</v>
      </c>
      <c r="E23" s="20" t="n">
        <f aca="false">D23+IF(입력!C22=입력!B23,E22,0)</f>
        <v>0.00178900462962963</v>
      </c>
      <c r="F23" s="21" t="n">
        <f aca="false">(입력!F23-입력!G23)/입력!D23*1000</f>
        <v>8.33333333333404</v>
      </c>
      <c r="G23" s="22" t="n">
        <f aca="false">PI()*(입력!E23/1000)^2/4</f>
        <v>0.0314159265358979</v>
      </c>
      <c r="H23" s="23" t="n">
        <f aca="false">IF(F23&lt;=0,0,G23*((입력!E23/1000)/4)^(2/3)*(F23/1000)^0.5/입력!J23)</f>
        <v>0.0353845139221587</v>
      </c>
      <c r="I23" s="24" t="n">
        <f aca="false">IF(G23&gt;0,H23/G23,0)</f>
        <v>1.12632405992311</v>
      </c>
      <c r="J23" s="23" t="n">
        <f aca="false">IF(F23&lt;=0,0,((입력!E23/1000)^2/8*(설정!$B$10-SIN(설정!$B$10)))*(((입력!E23/1000)^2/8*(설정!$B$10-SIN(설정!$B$10)))/((입력!E23/1000)*설정!$B$10/2))^(2/3)*(F23/1000)^0.5/입력!J23)</f>
        <v>0.0380633292332786</v>
      </c>
      <c r="K23" s="22" t="n">
        <f aca="false">수심반복!CH23</f>
        <v>1.60689870811386</v>
      </c>
      <c r="L23" s="22" t="n">
        <f aca="false">IF(E23&lt;=0,0,IF(E23&gt;J23,입력!E23/1000,(입력!E23/1000)/2*(1-COS(K23/2))))</f>
        <v>0.0305771845607689</v>
      </c>
      <c r="M23" s="24" t="n">
        <f aca="false">IF(E23&lt;=0,0,IF(E23&gt;J23,E23/G23,E23/((입력!E23/1000)^2/8*(K23-SIN(K23)))))</f>
        <v>0.588923928205251</v>
      </c>
      <c r="N23" s="21" t="n">
        <f aca="false">L23/(입력!E23/1000)*100</f>
        <v>15.2885922803845</v>
      </c>
      <c r="O23" s="21" t="n">
        <f aca="false">IF(H23&gt;0,E23/H23*100,0)</f>
        <v>5.05589714632002</v>
      </c>
      <c r="P23" s="25" t="n">
        <f aca="false">IF(입력!E23&lt;=설정!$A$15,설정!$B$15,IF(입력!E23&lt;=설정!$A$16,설정!$B$16,설정!$B$17))</f>
        <v>1</v>
      </c>
      <c r="Q23" s="23" t="n">
        <f aca="false">H23</f>
        <v>0.0353845139221587</v>
      </c>
      <c r="R23" s="24" t="n">
        <f aca="false">IF(Q23&gt;0,E23*(1+P23)/Q23,0)</f>
        <v>0.1011179429264</v>
      </c>
      <c r="S23" s="26" t="str">
        <f aca="false">IF(AND(F23&gt;0,R23&lt;=1),"GOOD",IF(F23&lt;=0,"Adverse Slope","NG_"&amp;ROUND(R23*100,0)&amp;"%"))</f>
        <v>GOOD</v>
      </c>
      <c r="T23" s="24" t="n">
        <f aca="false">IF(E23&gt;0,M23,I23)</f>
        <v>0.588923928205251</v>
      </c>
      <c r="U23" s="26" t="str">
        <f aca="false">IF(T23&lt;설정!$B$6,"NG(V)"&amp;TEXT(설정!$B$6,"0.0")&amp;"↓",IF(T23&lt;설정!$B$4,"유지관리",IF(T23&gt;설정!$B$5,"NG(V)"&amp;TEXT(설정!$B$5,"0.0")&amp;"↑","GOOD")))</f>
        <v>유지관리</v>
      </c>
      <c r="V23" s="26" t="str">
        <f aca="false">IF(AND(LEFT(U23,2)="NG",F23&gt;=설정!$B$8),"구배10.0%이상",U23)</f>
        <v>유지관리</v>
      </c>
      <c r="W23" s="21" t="n">
        <f aca="false">입력!H23-입력!F23-입력!E23/1000</f>
        <v>0.650000000000002</v>
      </c>
      <c r="X23" s="26" t="str">
        <f aca="false">IF(W23&lt;설정!$B$7-0.0005,"NG","GOOD")</f>
        <v>NG</v>
      </c>
    </row>
    <row r="24" customFormat="false" ht="15" hidden="false" customHeight="false" outlineLevel="0" collapsed="false">
      <c r="A24" s="18" t="str">
        <f aca="false">입력!A24</f>
        <v>BC-20</v>
      </c>
      <c r="B24" s="19" t="n">
        <f aca="false">입력!K24*입력!L24</f>
        <v>0</v>
      </c>
      <c r="C24" s="19" t="n">
        <f aca="false">B24+IF(입력!C23=입력!B24,C23,0)</f>
        <v>0</v>
      </c>
      <c r="D24" s="20" t="n">
        <f aca="false">(입력!M24*입력!O24+입력!N24)*B24/설정!$B$11+입력!P24</f>
        <v>0</v>
      </c>
      <c r="E24" s="20" t="n">
        <f aca="false">D24+IF(입력!C23=입력!B24,E23,0)</f>
        <v>0.00178900462962963</v>
      </c>
      <c r="F24" s="21" t="n">
        <f aca="false">(입력!F24-입력!G24)/입력!D24*1000</f>
        <v>5.23809523809521</v>
      </c>
      <c r="G24" s="22" t="n">
        <f aca="false">PI()*(입력!E24/1000)^2/4</f>
        <v>0.0314159265358979</v>
      </c>
      <c r="H24" s="23" t="n">
        <f aca="false">IF(F24&lt;=0,0,G24*((입력!E24/1000)/4)^(2/3)*(F24/1000)^0.5/입력!J24)</f>
        <v>0.0280537260887346</v>
      </c>
      <c r="I24" s="24" t="n">
        <f aca="false">IF(G24&gt;0,H24/G24,0)</f>
        <v>0.892977835833635</v>
      </c>
      <c r="J24" s="23" t="n">
        <f aca="false">IF(F24&lt;=0,0,((입력!E24/1000)^2/8*(설정!$B$10-SIN(설정!$B$10)))*(((입력!E24/1000)^2/8*(설정!$B$10-SIN(설정!$B$10)))/((입력!E24/1000)*설정!$B$10/2))^(2/3)*(F24/1000)^0.5/입력!J24)</f>
        <v>0.0301775577498332</v>
      </c>
      <c r="K24" s="22" t="n">
        <f aca="false">수심반복!CH24</f>
        <v>1.70615230668124</v>
      </c>
      <c r="L24" s="22" t="n">
        <f aca="false">IF(E24&lt;=0,0,IF(E24&gt;J24,입력!E24/1000,(입력!E24/1000)/2*(1-COS(K24/2))))</f>
        <v>0.0342331026813414</v>
      </c>
      <c r="M24" s="24" t="n">
        <f aca="false">IF(E24&lt;=0,0,IF(E24&gt;J24,E24/G24,E24/((입력!E24/1000)^2/8*(K24-SIN(K24)))))</f>
        <v>0.500211731156842</v>
      </c>
      <c r="N24" s="21" t="n">
        <f aca="false">L24/(입력!E24/1000)*100</f>
        <v>17.1165513406707</v>
      </c>
      <c r="O24" s="21" t="n">
        <f aca="false">IF(H24&gt;0,E24/H24*100,0)</f>
        <v>6.37706600531767</v>
      </c>
      <c r="P24" s="25" t="n">
        <f aca="false">IF(입력!E24&lt;=설정!$A$15,설정!$B$15,IF(입력!E24&lt;=설정!$A$16,설정!$B$16,설정!$B$17))</f>
        <v>1</v>
      </c>
      <c r="Q24" s="23" t="n">
        <f aca="false">H24</f>
        <v>0.0280537260887346</v>
      </c>
      <c r="R24" s="24" t="n">
        <f aca="false">IF(Q24&gt;0,E24*(1+P24)/Q24,0)</f>
        <v>0.127541320106353</v>
      </c>
      <c r="S24" s="26" t="str">
        <f aca="false">IF(AND(F24&gt;0,R24&lt;=1),"GOOD",IF(F24&lt;=0,"Adverse Slope","NG_"&amp;ROUND(R24*100,0)&amp;"%"))</f>
        <v>GOOD</v>
      </c>
      <c r="T24" s="24" t="n">
        <f aca="false">IF(E24&gt;0,M24,I24)</f>
        <v>0.500211731156842</v>
      </c>
      <c r="U24" s="26" t="str">
        <f aca="false">IF(T24&lt;설정!$B$6,"NG(V)"&amp;TEXT(설정!$B$6,"0.0")&amp;"↓",IF(T24&lt;설정!$B$4,"유지관리",IF(T24&gt;설정!$B$5,"NG(V)"&amp;TEXT(설정!$B$5,"0.0")&amp;"↑","GOOD")))</f>
        <v>유지관리</v>
      </c>
      <c r="V24" s="26" t="str">
        <f aca="false">IF(AND(LEFT(U24,2)="NG",F24&gt;=설정!$B$8),"구배10.0%이상",U24)</f>
        <v>유지관리</v>
      </c>
      <c r="W24" s="21" t="n">
        <f aca="false">입력!H24-입력!F24-입력!E24/1000</f>
        <v>0.390000000000003</v>
      </c>
      <c r="X24" s="26" t="str">
        <f aca="false">IF(W24&lt;설정!$B$7-0.0005,"NG","GOOD")</f>
        <v>NG</v>
      </c>
    </row>
    <row r="25" customFormat="false" ht="15" hidden="false" customHeight="false" outlineLevel="0" collapsed="false">
      <c r="A25" s="18" t="str">
        <f aca="false">입력!A25</f>
        <v>BC-21</v>
      </c>
      <c r="B25" s="19" t="n">
        <f aca="false">입력!K25*입력!L25</f>
        <v>0</v>
      </c>
      <c r="C25" s="19" t="n">
        <f aca="false">B25+IF(입력!C24=입력!B25,C24,0)</f>
        <v>0</v>
      </c>
      <c r="D25" s="20" t="n">
        <f aca="false">(입력!M25*입력!O25+입력!N25)*B25/설정!$B$11+입력!P25</f>
        <v>0</v>
      </c>
      <c r="E25" s="20" t="n">
        <f aca="false">D25+IF(입력!C24=입력!B25,E24,0)</f>
        <v>0.00178900462962963</v>
      </c>
      <c r="F25" s="21" t="n">
        <f aca="false">(입력!F25-입력!G25)/입력!D25*1000</f>
        <v>15.9999999999997</v>
      </c>
      <c r="G25" s="22" t="n">
        <f aca="false">PI()*(입력!E25/1000)^2/4</f>
        <v>0.0314159265358979</v>
      </c>
      <c r="H25" s="23" t="n">
        <f aca="false">IF(F25&lt;=0,0,G25*((입력!E25/1000)/4)^(2/3)*(F25/1000)^0.5/입력!J25)</f>
        <v>0.0490302207314431</v>
      </c>
      <c r="I25" s="24" t="n">
        <f aca="false">IF(G25&gt;0,H25/G25,0)</f>
        <v>1.56068039805918</v>
      </c>
      <c r="J25" s="23" t="n">
        <f aca="false">IF(F25&lt;=0,0,((입력!E25/1000)^2/8*(설정!$B$10-SIN(설정!$B$10)))*(((입력!E25/1000)^2/8*(설정!$B$10-SIN(설정!$B$10)))/((입력!E25/1000)*설정!$B$10/2))^(2/3)*(F25/1000)^0.5/입력!J25)</f>
        <v>0.0527420961098054</v>
      </c>
      <c r="K25" s="22" t="n">
        <f aca="false">수심반복!CH25</f>
        <v>1.47906804166167</v>
      </c>
      <c r="L25" s="22" t="n">
        <f aca="false">IF(E25&lt;=0,0,IF(E25&gt;J25,입력!E25/1000,(입력!E25/1000)/2*(1-COS(K25/2))))</f>
        <v>0.0261217317335215</v>
      </c>
      <c r="M25" s="24" t="n">
        <f aca="false">IF(E25&lt;=0,0,IF(E25&gt;J25,E25/G25,E25/((입력!E25/1000)^2/8*(K25-SIN(K25)))))</f>
        <v>0.740371526521848</v>
      </c>
      <c r="N25" s="21" t="n">
        <f aca="false">L25/(입력!E25/1000)*100</f>
        <v>13.0608658667607</v>
      </c>
      <c r="O25" s="21" t="n">
        <f aca="false">IF(H25&gt;0,E25/H25*100,0)</f>
        <v>3.64877947302885</v>
      </c>
      <c r="P25" s="25" t="n">
        <f aca="false">IF(입력!E25&lt;=설정!$A$15,설정!$B$15,IF(입력!E25&lt;=설정!$A$16,설정!$B$16,설정!$B$17))</f>
        <v>1</v>
      </c>
      <c r="Q25" s="23" t="n">
        <f aca="false">H25</f>
        <v>0.0490302207314431</v>
      </c>
      <c r="R25" s="24" t="n">
        <f aca="false">IF(Q25&gt;0,E25*(1+P25)/Q25,0)</f>
        <v>0.072975589460577</v>
      </c>
      <c r="S25" s="26" t="str">
        <f aca="false">IF(AND(F25&gt;0,R25&lt;=1),"GOOD",IF(F25&lt;=0,"Adverse Slope","NG_"&amp;ROUND(R25*100,0)&amp;"%"))</f>
        <v>GOOD</v>
      </c>
      <c r="T25" s="24" t="n">
        <f aca="false">IF(E25&gt;0,M25,I25)</f>
        <v>0.740371526521848</v>
      </c>
      <c r="U25" s="26" t="str">
        <f aca="false">IF(T25&lt;설정!$B$6,"NG(V)"&amp;TEXT(설정!$B$6,"0.0")&amp;"↓",IF(T25&lt;설정!$B$4,"유지관리",IF(T25&gt;설정!$B$5,"NG(V)"&amp;TEXT(설정!$B$5,"0.0")&amp;"↑","GOOD")))</f>
        <v>GOOD</v>
      </c>
      <c r="V25" s="26" t="str">
        <f aca="false">IF(AND(LEFT(U25,2)="NG",F25&gt;=설정!$B$8),"구배10.0%이상",U25)</f>
        <v>GOOD</v>
      </c>
      <c r="W25" s="21" t="n">
        <f aca="false">입력!H25-입력!F25-입력!E25/1000</f>
        <v>0.449999999999999</v>
      </c>
      <c r="X25" s="26" t="str">
        <f aca="false">IF(W25&lt;설정!$B$7-0.0005,"NG","GOOD")</f>
        <v>NG</v>
      </c>
    </row>
    <row r="26" customFormat="false" ht="15" hidden="false" customHeight="false" outlineLevel="0" collapsed="false">
      <c r="A26" s="18" t="str">
        <f aca="false">입력!A26</f>
        <v>BC-22</v>
      </c>
      <c r="B26" s="19" t="n">
        <f aca="false">입력!K26*입력!L26</f>
        <v>0</v>
      </c>
      <c r="C26" s="19" t="n">
        <f aca="false">B26+IF(입력!C25=입력!B26,C25,0)</f>
        <v>0</v>
      </c>
      <c r="D26" s="20" t="n">
        <f aca="false">(입력!M26*입력!O26+입력!N26)*B26/설정!$B$11+입력!P26</f>
        <v>0</v>
      </c>
      <c r="E26" s="20" t="n">
        <f aca="false">D26+IF(입력!C25=입력!B26,E25,0)</f>
        <v>0.00178900462962963</v>
      </c>
      <c r="F26" s="21" t="n">
        <f aca="false">(입력!F26-입력!G26)/입력!D26*1000</f>
        <v>6.66666666666667</v>
      </c>
      <c r="G26" s="22" t="n">
        <f aca="false">PI()*(입력!E26/1000)^2/4</f>
        <v>0.0314159265358979</v>
      </c>
      <c r="H26" s="23" t="n">
        <f aca="false">IF(F26&lt;=0,0,G26*((입력!E26/1000)/4)^(2/3)*(F26/1000)^0.5/입력!J26)</f>
        <v>0.0316488713922925</v>
      </c>
      <c r="I26" s="24" t="n">
        <f aca="false">IF(G26&gt;0,H26/G26,0)</f>
        <v>1.0074148650726</v>
      </c>
      <c r="J26" s="23" t="n">
        <f aca="false">IF(F26&lt;=0,0,((입력!E26/1000)^2/8*(설정!$B$10-SIN(설정!$B$10)))*(((입력!E26/1000)^2/8*(설정!$B$10-SIN(설정!$B$10)))/((입력!E26/1000)*설정!$B$10/2))^(2/3)*(F26/1000)^0.5/입력!J26)</f>
        <v>0.0340448766462249</v>
      </c>
      <c r="K26" s="22" t="n">
        <f aca="false">수심반복!CH26</f>
        <v>1.65368076830957</v>
      </c>
      <c r="L26" s="22" t="n">
        <f aca="false">IF(E26&lt;=0,0,IF(E26&gt;J26,입력!E26/1000,(입력!E26/1000)/2*(1-COS(K26/2))))</f>
        <v>0.032279603285301</v>
      </c>
      <c r="M26" s="24" t="n">
        <f aca="false">IF(E26&lt;=0,0,IF(E26&gt;J26,E26/G26,E26/((입력!E26/1000)^2/8*(K26-SIN(K26)))))</f>
        <v>0.544503814666864</v>
      </c>
      <c r="N26" s="21" t="n">
        <f aca="false">L26/(입력!E26/1000)*100</f>
        <v>16.1398016426505</v>
      </c>
      <c r="O26" s="21" t="n">
        <f aca="false">IF(H26&gt;0,E26/H26*100,0)</f>
        <v>5.65266485320962</v>
      </c>
      <c r="P26" s="25" t="n">
        <f aca="false">IF(입력!E26&lt;=설정!$A$15,설정!$B$15,IF(입력!E26&lt;=설정!$A$16,설정!$B$16,설정!$B$17))</f>
        <v>1</v>
      </c>
      <c r="Q26" s="23" t="n">
        <f aca="false">H26</f>
        <v>0.0316488713922925</v>
      </c>
      <c r="R26" s="24" t="n">
        <f aca="false">IF(Q26&gt;0,E26*(1+P26)/Q26,0)</f>
        <v>0.113053297064192</v>
      </c>
      <c r="S26" s="26" t="str">
        <f aca="false">IF(AND(F26&gt;0,R26&lt;=1),"GOOD",IF(F26&lt;=0,"Adverse Slope","NG_"&amp;ROUND(R26*100,0)&amp;"%"))</f>
        <v>GOOD</v>
      </c>
      <c r="T26" s="24" t="n">
        <f aca="false">IF(E26&gt;0,M26,I26)</f>
        <v>0.544503814666864</v>
      </c>
      <c r="U26" s="26" t="str">
        <f aca="false">IF(T26&lt;설정!$B$6,"NG(V)"&amp;TEXT(설정!$B$6,"0.0")&amp;"↓",IF(T26&lt;설정!$B$4,"유지관리",IF(T26&gt;설정!$B$5,"NG(V)"&amp;TEXT(설정!$B$5,"0.0")&amp;"↑","GOOD")))</f>
        <v>유지관리</v>
      </c>
      <c r="V26" s="26" t="str">
        <f aca="false">IF(AND(LEFT(U26,2)="NG",F26&gt;=설정!$B$8),"구배10.0%이상",U26)</f>
        <v>유지관리</v>
      </c>
      <c r="W26" s="21" t="n">
        <f aca="false">입력!H26-입력!F26-입력!E26/1000</f>
        <v>0.699999999999999</v>
      </c>
      <c r="X26" s="26" t="str">
        <f aca="false">IF(W26&lt;설정!$B$7-0.0005,"NG","GOOD")</f>
        <v>NG</v>
      </c>
    </row>
    <row r="27" customFormat="false" ht="15" hidden="false" customHeight="false" outlineLevel="0" collapsed="false">
      <c r="A27" s="18" t="str">
        <f aca="false">입력!A27</f>
        <v>BC-23</v>
      </c>
      <c r="B27" s="19" t="n">
        <f aca="false">입력!K27*입력!L27</f>
        <v>0</v>
      </c>
      <c r="C27" s="19" t="n">
        <f aca="false">B27+IF(입력!C26=입력!B27,C26,0)</f>
        <v>0</v>
      </c>
      <c r="D27" s="20" t="n">
        <f aca="false">(입력!M27*입력!O27+입력!N27)*B27/설정!$B$11+입력!P27</f>
        <v>0</v>
      </c>
      <c r="E27" s="20" t="n">
        <f aca="false">D27+IF(입력!C26=입력!B27,E26,0)</f>
        <v>0.00178900462962963</v>
      </c>
      <c r="F27" s="21" t="n">
        <f aca="false">(입력!F27-입력!G27)/입력!D27*1000</f>
        <v>2.4</v>
      </c>
      <c r="G27" s="22" t="n">
        <f aca="false">PI()*(입력!E27/1000)^2/4</f>
        <v>0.0314159265358979</v>
      </c>
      <c r="H27" s="23" t="n">
        <f aca="false">IF(F27&lt;=0,0,G27*((입력!E27/1000)/4)^(2/3)*(F27/1000)^0.5/입력!J27)</f>
        <v>0.0189893228353755</v>
      </c>
      <c r="I27" s="24" t="n">
        <f aca="false">IF(G27&gt;0,H27/G27,0)</f>
        <v>0.604448919043562</v>
      </c>
      <c r="J27" s="23" t="n">
        <f aca="false">IF(F27&lt;=0,0,((입력!E27/1000)^2/8*(설정!$B$10-SIN(설정!$B$10)))*(((입력!E27/1000)^2/8*(설정!$B$10-SIN(설정!$B$10)))/((입력!E27/1000)*설정!$B$10/2))^(2/3)*(F27/1000)^0.5/입력!J27)</f>
        <v>0.0204269259877349</v>
      </c>
      <c r="K27" s="22" t="n">
        <f aca="false">수심반복!CH27</f>
        <v>1.89114351132027</v>
      </c>
      <c r="L27" s="22" t="n">
        <f aca="false">IF(E27&lt;=0,0,IF(E27&gt;J27,입력!E27/1000,(입력!E27/1000)/2*(1-COS(K27/2))))</f>
        <v>0.0414720622906942</v>
      </c>
      <c r="M27" s="24" t="n">
        <f aca="false">IF(E27&lt;=0,0,IF(E27&gt;J27,E27/G27,E27/((입력!E27/1000)^2/8*(K27-SIN(K27)))))</f>
        <v>0.379824130580263</v>
      </c>
      <c r="N27" s="21" t="n">
        <f aca="false">L27/(입력!E27/1000)*100</f>
        <v>20.7360311453471</v>
      </c>
      <c r="O27" s="21" t="n">
        <f aca="false">IF(H27&gt;0,E27/H27*100,0)</f>
        <v>9.42110808868271</v>
      </c>
      <c r="P27" s="25" t="n">
        <f aca="false">IF(입력!E27&lt;=설정!$A$15,설정!$B$15,IF(입력!E27&lt;=설정!$A$16,설정!$B$16,설정!$B$17))</f>
        <v>1</v>
      </c>
      <c r="Q27" s="23" t="n">
        <f aca="false">H27</f>
        <v>0.0189893228353755</v>
      </c>
      <c r="R27" s="24" t="n">
        <f aca="false">IF(Q27&gt;0,E27*(1+P27)/Q27,0)</f>
        <v>0.188422161773654</v>
      </c>
      <c r="S27" s="26" t="str">
        <f aca="false">IF(AND(F27&gt;0,R27&lt;=1),"GOOD",IF(F27&lt;=0,"Adverse Slope","NG_"&amp;ROUND(R27*100,0)&amp;"%"))</f>
        <v>GOOD</v>
      </c>
      <c r="T27" s="24" t="n">
        <f aca="false">IF(E27&gt;0,M27,I27)</f>
        <v>0.379824130580263</v>
      </c>
      <c r="U27" s="26" t="str">
        <f aca="false">IF(T27&lt;설정!$B$6,"NG(V)"&amp;TEXT(설정!$B$6,"0.0")&amp;"↓",IF(T27&lt;설정!$B$4,"유지관리",IF(T27&gt;설정!$B$5,"NG(V)"&amp;TEXT(설정!$B$5,"0.0")&amp;"↑","GOOD")))</f>
        <v>유지관리</v>
      </c>
      <c r="V27" s="26" t="str">
        <f aca="false">IF(AND(LEFT(U27,2)="NG",F27&gt;=설정!$B$8),"구배10.0%이상",U27)</f>
        <v>유지관리</v>
      </c>
      <c r="W27" s="21" t="n">
        <f aca="false">입력!H27-입력!F27-입력!E27/1000</f>
        <v>0.8</v>
      </c>
      <c r="X27" s="26" t="str">
        <f aca="false">IF(W27&lt;설정!$B$7-0.0005,"NG","GOOD")</f>
        <v>NG</v>
      </c>
    </row>
    <row r="28" customFormat="false" ht="15" hidden="false" customHeight="false" outlineLevel="0" collapsed="false">
      <c r="A28" s="18" t="str">
        <f aca="false">입력!A28</f>
        <v>BC-24</v>
      </c>
      <c r="B28" s="19" t="n">
        <f aca="false">입력!K28*입력!L28</f>
        <v>0</v>
      </c>
      <c r="C28" s="19" t="n">
        <f aca="false">B28+IF(입력!C27=입력!B28,C27,0)</f>
        <v>0</v>
      </c>
      <c r="D28" s="20" t="n">
        <f aca="false">(입력!M28*입력!O28+입력!N28)*B28/설정!$B$11+입력!P28</f>
        <v>0</v>
      </c>
      <c r="E28" s="20" t="n">
        <f aca="false">D28+IF(입력!C27=입력!B28,E27,0)</f>
        <v>0.00178900462962963</v>
      </c>
      <c r="F28" s="21" t="n">
        <f aca="false">(입력!F28-입력!G28)/입력!D28*1000</f>
        <v>10.8</v>
      </c>
      <c r="G28" s="22" t="n">
        <f aca="false">PI()*(입력!E28/1000)^2/4</f>
        <v>0.0314159265358979</v>
      </c>
      <c r="H28" s="23" t="n">
        <f aca="false">IF(F28&lt;=0,0,G28*((입력!E28/1000)/4)^(2/3)*(F28/1000)^0.5/입력!J28)</f>
        <v>0.0402824368411036</v>
      </c>
      <c r="I28" s="24" t="n">
        <f aca="false">IF(G28&gt;0,H28/G28,0)</f>
        <v>1.28222978860974</v>
      </c>
      <c r="J28" s="23" t="n">
        <f aca="false">IF(F28&lt;=0,0,((입력!E28/1000)^2/8*(설정!$B$10-SIN(설정!$B$10)))*(((입력!E28/1000)^2/8*(설정!$B$10-SIN(설정!$B$10)))/((입력!E28/1000)*설정!$B$10/2))^(2/3)*(F28/1000)^0.5/입력!J28)</f>
        <v>0.0433320536541692</v>
      </c>
      <c r="K28" s="22" t="n">
        <f aca="false">수심반복!CH28</f>
        <v>1.55455484219671</v>
      </c>
      <c r="L28" s="22" t="n">
        <f aca="false">IF(E28&lt;=0,0,IF(E28&gt;J28,입력!E28/1000,(입력!E28/1000)/2*(1-COS(K28/2))))</f>
        <v>0.0287174365443398</v>
      </c>
      <c r="M28" s="24" t="n">
        <f aca="false">IF(E28&lt;=0,0,IF(E28&gt;J28,E28/G28,E28/((입력!E28/1000)^2/8*(K28-SIN(K28)))))</f>
        <v>0.64505044946971</v>
      </c>
      <c r="N28" s="21" t="n">
        <f aca="false">L28/(입력!E28/1000)*100</f>
        <v>14.3587182721699</v>
      </c>
      <c r="O28" s="21" t="n">
        <f aca="false">IF(H28&gt;0,E28/H28*100,0)</f>
        <v>4.44115294386599</v>
      </c>
      <c r="P28" s="25" t="n">
        <f aca="false">IF(입력!E28&lt;=설정!$A$15,설정!$B$15,IF(입력!E28&lt;=설정!$A$16,설정!$B$16,설정!$B$17))</f>
        <v>1</v>
      </c>
      <c r="Q28" s="23" t="n">
        <f aca="false">H28</f>
        <v>0.0402824368411036</v>
      </c>
      <c r="R28" s="24" t="n">
        <f aca="false">IF(Q28&gt;0,E28*(1+P28)/Q28,0)</f>
        <v>0.0888230588773197</v>
      </c>
      <c r="S28" s="26" t="str">
        <f aca="false">IF(AND(F28&gt;0,R28&lt;=1),"GOOD",IF(F28&lt;=0,"Adverse Slope","NG_"&amp;ROUND(R28*100,0)&amp;"%"))</f>
        <v>GOOD</v>
      </c>
      <c r="T28" s="24" t="n">
        <f aca="false">IF(E28&gt;0,M28,I28)</f>
        <v>0.64505044946971</v>
      </c>
      <c r="U28" s="26" t="str">
        <f aca="false">IF(T28&lt;설정!$B$6,"NG(V)"&amp;TEXT(설정!$B$6,"0.0")&amp;"↓",IF(T28&lt;설정!$B$4,"유지관리",IF(T28&gt;설정!$B$5,"NG(V)"&amp;TEXT(설정!$B$5,"0.0")&amp;"↑","GOOD")))</f>
        <v>GOOD</v>
      </c>
      <c r="V28" s="26" t="str">
        <f aca="false">IF(AND(LEFT(U28,2)="NG",F28&gt;=설정!$B$8),"구배10.0%이상",U28)</f>
        <v>GOOD</v>
      </c>
      <c r="W28" s="21" t="n">
        <f aca="false">입력!H28-입력!F28-입력!E28/1000</f>
        <v>0.55</v>
      </c>
      <c r="X28" s="26" t="str">
        <f aca="false">IF(W28&lt;설정!$B$7-0.0005,"NG","GOOD")</f>
        <v>NG</v>
      </c>
    </row>
    <row r="29" customFormat="false" ht="15" hidden="false" customHeight="false" outlineLevel="0" collapsed="false">
      <c r="A29" s="18" t="str">
        <f aca="false">입력!A29</f>
        <v>BC-25</v>
      </c>
      <c r="B29" s="19" t="n">
        <f aca="false">입력!K29*입력!L29</f>
        <v>0</v>
      </c>
      <c r="C29" s="19" t="n">
        <f aca="false">B29+IF(입력!C28=입력!B29,C28,0)</f>
        <v>0</v>
      </c>
      <c r="D29" s="20" t="n">
        <f aca="false">(입력!M29*입력!O29+입력!N29)*B29/설정!$B$11+입력!P29</f>
        <v>0</v>
      </c>
      <c r="E29" s="20" t="n">
        <f aca="false">D29+IF(입력!C28=입력!B29,E28,0)</f>
        <v>0.00178900462962963</v>
      </c>
      <c r="F29" s="21" t="n">
        <f aca="false">(입력!F29-입력!G29)/입력!D29*1000</f>
        <v>4.00000000000001</v>
      </c>
      <c r="G29" s="22" t="n">
        <f aca="false">PI()*(입력!E29/1000)^2/4</f>
        <v>0.0314159265358979</v>
      </c>
      <c r="H29" s="23" t="n">
        <f aca="false">IF(F29&lt;=0,0,G29*((입력!E29/1000)/4)^(2/3)*(F29/1000)^0.5/입력!J29)</f>
        <v>0.0245151103657218</v>
      </c>
      <c r="I29" s="24" t="n">
        <f aca="false">IF(G29&gt;0,H29/G29,0)</f>
        <v>0.780340199029598</v>
      </c>
      <c r="J29" s="23" t="n">
        <f aca="false">IF(F29&lt;=0,0,((입력!E29/1000)^2/8*(설정!$B$10-SIN(설정!$B$10)))*(((입력!E29/1000)^2/8*(설정!$B$10-SIN(설정!$B$10)))/((입력!E29/1000)*설정!$B$10/2))^(2/3)*(F29/1000)^0.5/입력!J29)</f>
        <v>0.026371048054903</v>
      </c>
      <c r="K29" s="22" t="n">
        <f aca="false">수심반복!CH29</f>
        <v>1.767326945744</v>
      </c>
      <c r="L29" s="22" t="n">
        <f aca="false">IF(E29&lt;=0,0,IF(E29&gt;J29,입력!E29/1000,(입력!E29/1000)/2*(1-COS(K29/2))))</f>
        <v>0.0365676706068408</v>
      </c>
      <c r="M29" s="24" t="n">
        <f aca="false">IF(E29&lt;=0,0,IF(E29&gt;J29,E29/G29,E29/((입력!E29/1000)^2/8*(K29-SIN(K29)))))</f>
        <v>0.454883529882759</v>
      </c>
      <c r="N29" s="21" t="n">
        <f aca="false">L29/(입력!E29/1000)*100</f>
        <v>18.2838353034204</v>
      </c>
      <c r="O29" s="21" t="n">
        <f aca="false">IF(H29&gt;0,E29/H29*100,0)</f>
        <v>7.29755894605761</v>
      </c>
      <c r="P29" s="25" t="n">
        <f aca="false">IF(입력!E29&lt;=설정!$A$15,설정!$B$15,IF(입력!E29&lt;=설정!$A$16,설정!$B$16,설정!$B$17))</f>
        <v>1</v>
      </c>
      <c r="Q29" s="23" t="n">
        <f aca="false">H29</f>
        <v>0.0245151103657218</v>
      </c>
      <c r="R29" s="24" t="n">
        <f aca="false">IF(Q29&gt;0,E29*(1+P29)/Q29,0)</f>
        <v>0.145951178921152</v>
      </c>
      <c r="S29" s="26" t="str">
        <f aca="false">IF(AND(F29&gt;0,R29&lt;=1),"GOOD",IF(F29&lt;=0,"Adverse Slope","NG_"&amp;ROUND(R29*100,0)&amp;"%"))</f>
        <v>GOOD</v>
      </c>
      <c r="T29" s="24" t="n">
        <f aca="false">IF(E29&gt;0,M29,I29)</f>
        <v>0.454883529882759</v>
      </c>
      <c r="U29" s="26" t="str">
        <f aca="false">IF(T29&lt;설정!$B$6,"NG(V)"&amp;TEXT(설정!$B$6,"0.0")&amp;"↓",IF(T29&lt;설정!$B$4,"유지관리",IF(T29&gt;설정!$B$5,"NG(V)"&amp;TEXT(설정!$B$5,"0.0")&amp;"↑","GOOD")))</f>
        <v>유지관리</v>
      </c>
      <c r="V29" s="26" t="str">
        <f aca="false">IF(AND(LEFT(U29,2)="NG",F29&gt;=설정!$B$8),"구배10.0%이상",U29)</f>
        <v>유지관리</v>
      </c>
      <c r="W29" s="21" t="n">
        <f aca="false">입력!H29-입력!F29-입력!E29/1000</f>
        <v>0.899999999999998</v>
      </c>
      <c r="X29" s="26" t="str">
        <f aca="false">IF(W29&lt;설정!$B$7-0.0005,"NG","GOOD")</f>
        <v>NG</v>
      </c>
    </row>
    <row r="30" customFormat="false" ht="15" hidden="false" customHeight="false" outlineLevel="0" collapsed="false">
      <c r="A30" s="18" t="str">
        <f aca="false">입력!A30</f>
        <v>BC-26</v>
      </c>
      <c r="B30" s="19" t="n">
        <f aca="false">입력!K30*입력!L30</f>
        <v>0</v>
      </c>
      <c r="C30" s="19" t="n">
        <f aca="false">B30+IF(입력!C29=입력!B30,C29,0)</f>
        <v>0</v>
      </c>
      <c r="D30" s="20" t="n">
        <f aca="false">(입력!M30*입력!O30+입력!N30)*B30/설정!$B$11+입력!P30</f>
        <v>0</v>
      </c>
      <c r="E30" s="20" t="n">
        <f aca="false">D30+IF(입력!C29=입력!B30,E29,0)</f>
        <v>0.00178900462962963</v>
      </c>
      <c r="F30" s="21" t="n">
        <f aca="false">(입력!F30-입력!G30)/입력!D30*1000</f>
        <v>1.38888888888891</v>
      </c>
      <c r="G30" s="22" t="n">
        <f aca="false">PI()*(입력!E30/1000)^2/4</f>
        <v>0.0314159265358979</v>
      </c>
      <c r="H30" s="23" t="n">
        <f aca="false">IF(F30&lt;=0,0,G30*((입력!E30/1000)/4)^(2/3)*(F30/1000)^0.5/입력!J30)</f>
        <v>0.0144456673176155</v>
      </c>
      <c r="I30" s="24" t="n">
        <f aca="false">IF(G30&gt;0,H30/G30,0)</f>
        <v>0.45981987197191</v>
      </c>
      <c r="J30" s="23" t="n">
        <f aca="false">IF(F30&lt;=0,0,((입력!E30/1000)^2/8*(설정!$B$10-SIN(설정!$B$10)))*(((입력!E30/1000)^2/8*(설정!$B$10-SIN(설정!$B$10)))/((입력!E30/1000)*설정!$B$10/2))^(2/3)*(F30/1000)^0.5/입력!J30)</f>
        <v>0.0155392890888486</v>
      </c>
      <c r="K30" s="22" t="n">
        <f aca="false">수심반복!CH30</f>
        <v>2.03680516662249</v>
      </c>
      <c r="L30" s="22" t="n">
        <f aca="false">IF(E30&lt;=0,0,IF(E30&gt;J30,입력!E30/1000,(입력!E30/1000)/2*(1-COS(K30/2))))</f>
        <v>0.0475273545499154</v>
      </c>
      <c r="M30" s="24" t="n">
        <f aca="false">IF(E30&lt;=0,0,IF(E30&gt;J30,E30/G30,E30/((입력!E30/1000)^2/8*(K30-SIN(K30)))))</f>
        <v>0.31291719644904</v>
      </c>
      <c r="N30" s="21" t="n">
        <f aca="false">L30/(입력!E30/1000)*100</f>
        <v>23.7636772749577</v>
      </c>
      <c r="O30" s="21" t="n">
        <f aca="false">IF(H30&gt;0,E30/H30*100,0)</f>
        <v>12.3843682004781</v>
      </c>
      <c r="P30" s="25" t="n">
        <f aca="false">IF(입력!E30&lt;=설정!$A$15,설정!$B$15,IF(입력!E30&lt;=설정!$A$16,설정!$B$16,설정!$B$17))</f>
        <v>1</v>
      </c>
      <c r="Q30" s="23" t="n">
        <f aca="false">H30</f>
        <v>0.0144456673176155</v>
      </c>
      <c r="R30" s="24" t="n">
        <f aca="false">IF(Q30&gt;0,E30*(1+P30)/Q30,0)</f>
        <v>0.247687364009561</v>
      </c>
      <c r="S30" s="26" t="str">
        <f aca="false">IF(AND(F30&gt;0,R30&lt;=1),"GOOD",IF(F30&lt;=0,"Adverse Slope","NG_"&amp;ROUND(R30*100,0)&amp;"%"))</f>
        <v>GOOD</v>
      </c>
      <c r="T30" s="24" t="n">
        <f aca="false">IF(E30&gt;0,M30,I30)</f>
        <v>0.31291719644904</v>
      </c>
      <c r="U30" s="26" t="str">
        <f aca="false">IF(T30&lt;설정!$B$6,"NG(V)"&amp;TEXT(설정!$B$6,"0.0")&amp;"↓",IF(T30&lt;설정!$B$4,"유지관리",IF(T30&gt;설정!$B$5,"NG(V)"&amp;TEXT(설정!$B$5,"0.0")&amp;"↑","GOOD")))</f>
        <v>유지관리</v>
      </c>
      <c r="V30" s="26" t="str">
        <f aca="false">IF(AND(LEFT(U30,2)="NG",F30&gt;=설정!$B$8),"구배10.0%이상",U30)</f>
        <v>유지관리</v>
      </c>
      <c r="W30" s="21" t="n">
        <f aca="false">입력!H30-입력!F30-입력!E30/1000</f>
        <v>0.8</v>
      </c>
      <c r="X30" s="26" t="str">
        <f aca="false">IF(W30&lt;설정!$B$7-0.0005,"NG","GOOD")</f>
        <v>NG</v>
      </c>
    </row>
    <row r="31" customFormat="false" ht="15" hidden="false" customHeight="false" outlineLevel="0" collapsed="false">
      <c r="A31" s="18" t="str">
        <f aca="false">입력!A31</f>
        <v>BC-27</v>
      </c>
      <c r="B31" s="19" t="n">
        <f aca="false">입력!K31*입력!L31</f>
        <v>0</v>
      </c>
      <c r="C31" s="19" t="n">
        <f aca="false">B31+IF(입력!C30=입력!B31,C30,0)</f>
        <v>0</v>
      </c>
      <c r="D31" s="20" t="n">
        <f aca="false">(입력!M31*입력!O31+입력!N31)*B31/설정!$B$11+입력!P31</f>
        <v>0</v>
      </c>
      <c r="E31" s="20" t="n">
        <f aca="false">D31+IF(입력!C30=입력!B31,E30,0)</f>
        <v>0.00178900462962963</v>
      </c>
      <c r="F31" s="21" t="n">
        <f aca="false">(입력!F31-입력!G31)/입력!D31*1000</f>
        <v>0.769230769230753</v>
      </c>
      <c r="G31" s="22" t="n">
        <f aca="false">PI()*(입력!E31/1000)^2/4</f>
        <v>0.0314159265358979</v>
      </c>
      <c r="H31" s="23" t="n">
        <f aca="false">IF(F31&lt;=0,0,G31*((입력!E31/1000)/4)^(2/3)*(F31/1000)^0.5/입력!J31)</f>
        <v>0.0107505870702265</v>
      </c>
      <c r="I31" s="24" t="n">
        <f aca="false">IF(G31&gt;0,H31/G31,0)</f>
        <v>0.342201814673272</v>
      </c>
      <c r="J31" s="23" t="n">
        <f aca="false">IF(F31&lt;=0,0,((입력!E31/1000)^2/8*(설정!$B$10-SIN(설정!$B$10)))*(((입력!E31/1000)^2/8*(설정!$B$10-SIN(설정!$B$10)))/((입력!E31/1000)*설정!$B$10/2))^(2/3)*(F31/1000)^0.5/입력!J31)</f>
        <v>0.0115644695870417</v>
      </c>
      <c r="K31" s="22" t="n">
        <f aca="false">수심반복!CH31</f>
        <v>2.21228631413781</v>
      </c>
      <c r="L31" s="22" t="n">
        <f aca="false">IF(E31&lt;=0,0,IF(E31&gt;J31,입력!E31/1000,(입력!E31/1000)/2*(1-COS(K31/2))))</f>
        <v>0.0551887229897329</v>
      </c>
      <c r="M31" s="24" t="n">
        <f aca="false">IF(E31&lt;=0,0,IF(E31&gt;J31,E31/G31,E31/((입력!E31/1000)^2/8*(K31-SIN(K31)))))</f>
        <v>0.25356507529916</v>
      </c>
      <c r="N31" s="21" t="n">
        <f aca="false">L31/(입력!E31/1000)*100</f>
        <v>27.5943614948664</v>
      </c>
      <c r="O31" s="21" t="n">
        <f aca="false">IF(H31&gt;0,E31/H31*100,0)</f>
        <v>16.6409947470147</v>
      </c>
      <c r="P31" s="25" t="n">
        <f aca="false">IF(입력!E31&lt;=설정!$A$15,설정!$B$15,IF(입력!E31&lt;=설정!$A$16,설정!$B$16,설정!$B$17))</f>
        <v>1</v>
      </c>
      <c r="Q31" s="23" t="n">
        <f aca="false">H31</f>
        <v>0.0107505870702265</v>
      </c>
      <c r="R31" s="24" t="n">
        <f aca="false">IF(Q31&gt;0,E31*(1+P31)/Q31,0)</f>
        <v>0.332819894940294</v>
      </c>
      <c r="S31" s="26" t="str">
        <f aca="false">IF(AND(F31&gt;0,R31&lt;=1),"GOOD",IF(F31&lt;=0,"Adverse Slope","NG_"&amp;ROUND(R31*100,0)&amp;"%"))</f>
        <v>GOOD</v>
      </c>
      <c r="T31" s="24" t="n">
        <f aca="false">IF(E31&gt;0,M31,I31)</f>
        <v>0.25356507529916</v>
      </c>
      <c r="U31" s="26" t="str">
        <f aca="false">IF(T31&lt;설정!$B$6,"NG(V)"&amp;TEXT(설정!$B$6,"0.0")&amp;"↓",IF(T31&lt;설정!$B$4,"유지관리",IF(T31&gt;설정!$B$5,"NG(V)"&amp;TEXT(설정!$B$5,"0.0")&amp;"↑","GOOD")))</f>
        <v>NG(V)0.3↓</v>
      </c>
      <c r="V31" s="26" t="str">
        <f aca="false">IF(AND(LEFT(U31,2)="NG",F31&gt;=설정!$B$8),"구배10.0%이상",U31)</f>
        <v>NG(V)0.3↓</v>
      </c>
      <c r="W31" s="21" t="n">
        <f aca="false">입력!H31-입력!F31-입력!E31/1000</f>
        <v>0.699999999999999</v>
      </c>
      <c r="X31" s="26" t="str">
        <f aca="false">IF(W31&lt;설정!$B$7-0.0005,"NG","GOOD")</f>
        <v>NG</v>
      </c>
    </row>
    <row r="32" customFormat="false" ht="15" hidden="false" customHeight="false" outlineLevel="0" collapsed="false">
      <c r="A32" s="18" t="str">
        <f aca="false">입력!A32</f>
        <v>BC-28</v>
      </c>
      <c r="B32" s="19" t="n">
        <f aca="false">입력!K32*입력!L32</f>
        <v>0</v>
      </c>
      <c r="C32" s="19" t="n">
        <f aca="false">B32+IF(입력!C31=입력!B32,C31,0)</f>
        <v>0</v>
      </c>
      <c r="D32" s="20" t="n">
        <f aca="false">(입력!M32*입력!O32+입력!N32)*B32/설정!$B$11+입력!P32</f>
        <v>0</v>
      </c>
      <c r="E32" s="20" t="n">
        <f aca="false">D32+IF(입력!C31=입력!B32,E31,0)</f>
        <v>0.00178900462962963</v>
      </c>
      <c r="F32" s="21" t="n">
        <f aca="false">(입력!F32-입력!G32)/입력!D32*1000</f>
        <v>2.50000000000004</v>
      </c>
      <c r="G32" s="22" t="n">
        <f aca="false">PI()*(입력!E32/1000)^2/4</f>
        <v>0.0314159265358979</v>
      </c>
      <c r="H32" s="23" t="n">
        <f aca="false">IF(F32&lt;=0,0,G32*((입력!E32/1000)/4)^(2/3)*(F32/1000)^0.5/입력!J32)</f>
        <v>0.0193808964615212</v>
      </c>
      <c r="I32" s="24" t="n">
        <f aca="false">IF(G32&gt;0,H32/G32,0)</f>
        <v>0.616913094680665</v>
      </c>
      <c r="J32" s="23" t="n">
        <f aca="false">IF(F32&lt;=0,0,((입력!E32/1000)^2/8*(설정!$B$10-SIN(설정!$B$10)))*(((입력!E32/1000)^2/8*(설정!$B$10-SIN(설정!$B$10)))/((입력!E32/1000)*설정!$B$10/2))^(2/3)*(F32/1000)^0.5/입력!J32)</f>
        <v>0.0208481440348118</v>
      </c>
      <c r="K32" s="22" t="n">
        <f aca="false">수심반복!CH32</f>
        <v>1.88084014699952</v>
      </c>
      <c r="L32" s="22" t="n">
        <f aca="false">IF(E32&lt;=0,0,IF(E32&gt;J32,입력!E32/1000,(입력!E32/1000)/2*(1-COS(K32/2))))</f>
        <v>0.0410551260753933</v>
      </c>
      <c r="M32" s="24" t="n">
        <f aca="false">IF(E32&lt;=0,0,IF(E32&gt;J32,E32/G32,E32/((입력!E32/1000)^2/8*(K32-SIN(K32)))))</f>
        <v>0.385345438791902</v>
      </c>
      <c r="N32" s="21" t="n">
        <f aca="false">L32/(입력!E32/1000)*100</f>
        <v>20.5275630376967</v>
      </c>
      <c r="O32" s="21" t="n">
        <f aca="false">IF(H32&gt;0,E32/H32*100,0)</f>
        <v>9.2307630515519</v>
      </c>
      <c r="P32" s="25" t="n">
        <f aca="false">IF(입력!E32&lt;=설정!$A$15,설정!$B$15,IF(입력!E32&lt;=설정!$A$16,설정!$B$16,설정!$B$17))</f>
        <v>1</v>
      </c>
      <c r="Q32" s="23" t="n">
        <f aca="false">H32</f>
        <v>0.0193808964615212</v>
      </c>
      <c r="R32" s="24" t="n">
        <f aca="false">IF(Q32&gt;0,E32*(1+P32)/Q32,0)</f>
        <v>0.184615261031038</v>
      </c>
      <c r="S32" s="26" t="str">
        <f aca="false">IF(AND(F32&gt;0,R32&lt;=1),"GOOD",IF(F32&lt;=0,"Adverse Slope","NG_"&amp;ROUND(R32*100,0)&amp;"%"))</f>
        <v>GOOD</v>
      </c>
      <c r="T32" s="24" t="n">
        <f aca="false">IF(E32&gt;0,M32,I32)</f>
        <v>0.385345438791902</v>
      </c>
      <c r="U32" s="26" t="str">
        <f aca="false">IF(T32&lt;설정!$B$6,"NG(V)"&amp;TEXT(설정!$B$6,"0.0")&amp;"↓",IF(T32&lt;설정!$B$4,"유지관리",IF(T32&gt;설정!$B$5,"NG(V)"&amp;TEXT(설정!$B$5,"0.0")&amp;"↑","GOOD")))</f>
        <v>유지관리</v>
      </c>
      <c r="V32" s="26" t="str">
        <f aca="false">IF(AND(LEFT(U32,2)="NG",F32&gt;=설정!$B$8),"구배10.0%이상",U32)</f>
        <v>유지관리</v>
      </c>
      <c r="W32" s="21" t="n">
        <f aca="false">입력!H32-입력!F32-입력!E32/1000</f>
        <v>0.449999999999999</v>
      </c>
      <c r="X32" s="26" t="str">
        <f aca="false">IF(W32&lt;설정!$B$7-0.0005,"NG","GOOD")</f>
        <v>NG</v>
      </c>
    </row>
    <row r="33" customFormat="false" ht="15" hidden="false" customHeight="false" outlineLevel="0" collapsed="false">
      <c r="A33" s="18" t="str">
        <f aca="false">입력!A33</f>
        <v>BC-29</v>
      </c>
      <c r="B33" s="19" t="n">
        <f aca="false">입력!K33*입력!L33</f>
        <v>0</v>
      </c>
      <c r="C33" s="19" t="n">
        <f aca="false">B33+IF(입력!C32=입력!B33,C32,0)</f>
        <v>0</v>
      </c>
      <c r="D33" s="20" t="n">
        <f aca="false">(입력!M33*입력!O33+입력!N33)*B33/설정!$B$11+입력!P33</f>
        <v>0</v>
      </c>
      <c r="E33" s="20" t="n">
        <f aca="false">D33+IF(입력!C32=입력!B33,E32,0)</f>
        <v>0.00178900462962963</v>
      </c>
      <c r="F33" s="21" t="n">
        <f aca="false">(입력!F33-입력!G33)/입력!D33*1000</f>
        <v>2.49999999999995</v>
      </c>
      <c r="G33" s="22" t="n">
        <f aca="false">PI()*(입력!E33/1000)^2/4</f>
        <v>0.0314159265358979</v>
      </c>
      <c r="H33" s="23" t="n">
        <f aca="false">IF(F33&lt;=0,0,G33*((입력!E33/1000)/4)^(2/3)*(F33/1000)^0.5/입력!J33)</f>
        <v>0.0193808964615209</v>
      </c>
      <c r="I33" s="24" t="n">
        <f aca="false">IF(G33&gt;0,H33/G33,0)</f>
        <v>0.616913094680654</v>
      </c>
      <c r="J33" s="23" t="n">
        <f aca="false">IF(F33&lt;=0,0,((입력!E33/1000)^2/8*(설정!$B$10-SIN(설정!$B$10)))*(((입력!E33/1000)^2/8*(설정!$B$10-SIN(설정!$B$10)))/((입력!E33/1000)*설정!$B$10/2))^(2/3)*(F33/1000)^0.5/입력!J33)</f>
        <v>0.0208481440348114</v>
      </c>
      <c r="K33" s="22" t="n">
        <f aca="false">수심반복!CH33</f>
        <v>1.88084014699952</v>
      </c>
      <c r="L33" s="22" t="n">
        <f aca="false">IF(E33&lt;=0,0,IF(E33&gt;J33,입력!E33/1000,(입력!E33/1000)/2*(1-COS(K33/2))))</f>
        <v>0.0410551260753933</v>
      </c>
      <c r="M33" s="24" t="n">
        <f aca="false">IF(E33&lt;=0,0,IF(E33&gt;J33,E33/G33,E33/((입력!E33/1000)^2/8*(K33-SIN(K33)))))</f>
        <v>0.385345438791902</v>
      </c>
      <c r="N33" s="21" t="n">
        <f aca="false">L33/(입력!E33/1000)*100</f>
        <v>20.5275630376967</v>
      </c>
      <c r="O33" s="21" t="n">
        <f aca="false">IF(H33&gt;0,E33/H33*100,0)</f>
        <v>9.23076305155206</v>
      </c>
      <c r="P33" s="25" t="n">
        <f aca="false">IF(입력!E33&lt;=설정!$A$15,설정!$B$15,IF(입력!E33&lt;=설정!$A$16,설정!$B$16,설정!$B$17))</f>
        <v>1</v>
      </c>
      <c r="Q33" s="23" t="n">
        <f aca="false">H33</f>
        <v>0.0193808964615209</v>
      </c>
      <c r="R33" s="24" t="n">
        <f aca="false">IF(Q33&gt;0,E33*(1+P33)/Q33,0)</f>
        <v>0.184615261031041</v>
      </c>
      <c r="S33" s="26" t="str">
        <f aca="false">IF(AND(F33&gt;0,R33&lt;=1),"GOOD",IF(F33&lt;=0,"Adverse Slope","NG_"&amp;ROUND(R33*100,0)&amp;"%"))</f>
        <v>GOOD</v>
      </c>
      <c r="T33" s="24" t="n">
        <f aca="false">IF(E33&gt;0,M33,I33)</f>
        <v>0.385345438791902</v>
      </c>
      <c r="U33" s="26" t="str">
        <f aca="false">IF(T33&lt;설정!$B$6,"NG(V)"&amp;TEXT(설정!$B$6,"0.0")&amp;"↓",IF(T33&lt;설정!$B$4,"유지관리",IF(T33&gt;설정!$B$5,"NG(V)"&amp;TEXT(설정!$B$5,"0.0")&amp;"↑","GOOD")))</f>
        <v>유지관리</v>
      </c>
      <c r="V33" s="26" t="str">
        <f aca="false">IF(AND(LEFT(U33,2)="NG",F33&gt;=설정!$B$8),"구배10.0%이상",U33)</f>
        <v>유지관리</v>
      </c>
      <c r="W33" s="21" t="n">
        <f aca="false">입력!H33-입력!F33-입력!E33/1000</f>
        <v>0.449999999999999</v>
      </c>
      <c r="X33" s="26" t="str">
        <f aca="false">IF(W33&lt;설정!$B$7-0.0005,"NG","GOOD")</f>
        <v>NG</v>
      </c>
    </row>
    <row r="34" customFormat="false" ht="15" hidden="false" customHeight="false" outlineLevel="0" collapsed="false">
      <c r="A34" s="18" t="str">
        <f aca="false">입력!A34</f>
        <v>BC-30</v>
      </c>
      <c r="B34" s="19" t="n">
        <f aca="false">입력!K34*입력!L34</f>
        <v>0</v>
      </c>
      <c r="C34" s="19" t="n">
        <f aca="false">B34+IF(입력!C33=입력!B34,C33,0)</f>
        <v>0</v>
      </c>
      <c r="D34" s="20" t="n">
        <f aca="false">(입력!M34*입력!O34+입력!N34)*B34/설정!$B$11+입력!P34</f>
        <v>0</v>
      </c>
      <c r="E34" s="20" t="n">
        <f aca="false">D34+IF(입력!C33=입력!B34,E33,0)</f>
        <v>0.00178900462962963</v>
      </c>
      <c r="F34" s="21" t="n">
        <f aca="false">(입력!F34-입력!G34)/입력!D34*1000</f>
        <v>3.57142857142862</v>
      </c>
      <c r="G34" s="22" t="n">
        <f aca="false">PI()*(입력!E34/1000)^2/4</f>
        <v>0.0314159265358979</v>
      </c>
      <c r="H34" s="23" t="n">
        <f aca="false">IF(F34&lt;=0,0,G34*((입력!E34/1000)/4)^(2/3)*(F34/1000)^0.5/입력!J34)</f>
        <v>0.0231646019253579</v>
      </c>
      <c r="I34" s="24" t="n">
        <f aca="false">IF(G34&gt;0,H34/G34,0)</f>
        <v>0.737352180235348</v>
      </c>
      <c r="J34" s="23" t="n">
        <f aca="false">IF(F34&lt;=0,0,((입력!E34/1000)^2/8*(설정!$B$10-SIN(설정!$B$10)))*(((입력!E34/1000)^2/8*(설정!$B$10-SIN(설정!$B$10)))/((입력!E34/1000)*설정!$B$10/2))^(2/3)*(F34/1000)^0.5/입력!J34)</f>
        <v>0.0249182982019312</v>
      </c>
      <c r="K34" s="22" t="n">
        <f aca="false">수심반복!CH34</f>
        <v>1.79386839515933</v>
      </c>
      <c r="L34" s="22" t="n">
        <f aca="false">IF(E34&lt;=0,0,IF(E34&gt;J34,입력!E34/1000,(입력!E34/1000)/2*(1-COS(K34/2))))</f>
        <v>0.0375991431254597</v>
      </c>
      <c r="M34" s="24" t="n">
        <f aca="false">IF(E34&lt;=0,0,IF(E34&gt;J34,E34/G34,E34/((입력!E34/1000)^2/8*(K34-SIN(K34)))))</f>
        <v>0.437064299729986</v>
      </c>
      <c r="N34" s="21" t="n">
        <f aca="false">L34/(입력!E34/1000)*100</f>
        <v>18.7995715627298</v>
      </c>
      <c r="O34" s="21" t="n">
        <f aca="false">IF(H34&gt;0,E34/H34*100,0)</f>
        <v>7.72301045964118</v>
      </c>
      <c r="P34" s="25" t="n">
        <f aca="false">IF(입력!E34&lt;=설정!$A$15,설정!$B$15,IF(입력!E34&lt;=설정!$A$16,설정!$B$16,설정!$B$17))</f>
        <v>1</v>
      </c>
      <c r="Q34" s="23" t="n">
        <f aca="false">H34</f>
        <v>0.0231646019253579</v>
      </c>
      <c r="R34" s="24" t="n">
        <f aca="false">IF(Q34&gt;0,E34*(1+P34)/Q34,0)</f>
        <v>0.154460209192824</v>
      </c>
      <c r="S34" s="26" t="str">
        <f aca="false">IF(AND(F34&gt;0,R34&lt;=1),"GOOD",IF(F34&lt;=0,"Adverse Slope","NG_"&amp;ROUND(R34*100,0)&amp;"%"))</f>
        <v>GOOD</v>
      </c>
      <c r="T34" s="24" t="n">
        <f aca="false">IF(E34&gt;0,M34,I34)</f>
        <v>0.437064299729986</v>
      </c>
      <c r="U34" s="26" t="str">
        <f aca="false">IF(T34&lt;설정!$B$6,"NG(V)"&amp;TEXT(설정!$B$6,"0.0")&amp;"↓",IF(T34&lt;설정!$B$4,"유지관리",IF(T34&gt;설정!$B$5,"NG(V)"&amp;TEXT(설정!$B$5,"0.0")&amp;"↑","GOOD")))</f>
        <v>유지관리</v>
      </c>
      <c r="V34" s="26" t="str">
        <f aca="false">IF(AND(LEFT(U34,2)="NG",F34&gt;=설정!$B$8),"구배10.0%이상",U34)</f>
        <v>유지관리</v>
      </c>
      <c r="W34" s="21" t="n">
        <f aca="false">입력!H34-입력!F34-입력!E34/1000</f>
        <v>0.8</v>
      </c>
      <c r="X34" s="26" t="str">
        <f aca="false">IF(W34&lt;설정!$B$7-0.0005,"NG","GOOD")</f>
        <v>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7" min="2" style="0" width="13"/>
  </cols>
  <sheetData>
    <row r="1" customFormat="false" ht="19.4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3" customFormat="false" ht="15" hidden="false" customHeight="false" outlineLevel="0" collapsed="false">
      <c r="A3" s="3" t="s">
        <v>215</v>
      </c>
    </row>
    <row r="4" customFormat="false" ht="43.5" hidden="false" customHeight="true" outlineLevel="0" collapsed="false">
      <c r="A4" s="5" t="s">
        <v>103</v>
      </c>
      <c r="B4" s="5" t="s">
        <v>216</v>
      </c>
      <c r="C4" s="5" t="s">
        <v>217</v>
      </c>
      <c r="D4" s="5" t="s">
        <v>218</v>
      </c>
      <c r="E4" s="5" t="s">
        <v>219</v>
      </c>
      <c r="F4" s="5" t="s">
        <v>220</v>
      </c>
      <c r="G4" s="5" t="s">
        <v>218</v>
      </c>
      <c r="H4" s="5" t="s">
        <v>221</v>
      </c>
      <c r="I4" s="5" t="s">
        <v>222</v>
      </c>
      <c r="J4" s="5" t="s">
        <v>218</v>
      </c>
      <c r="K4" s="5" t="s">
        <v>223</v>
      </c>
      <c r="L4" s="5" t="s">
        <v>224</v>
      </c>
      <c r="M4" s="5" t="s">
        <v>218</v>
      </c>
      <c r="N4" s="5" t="s">
        <v>225</v>
      </c>
      <c r="O4" s="5" t="s">
        <v>226</v>
      </c>
      <c r="P4" s="5" t="s">
        <v>218</v>
      </c>
      <c r="Q4" s="5" t="s">
        <v>227</v>
      </c>
      <c r="R4" s="5" t="s">
        <v>228</v>
      </c>
      <c r="S4" s="5" t="s">
        <v>218</v>
      </c>
      <c r="T4" s="5" t="s">
        <v>229</v>
      </c>
      <c r="U4" s="5" t="s">
        <v>230</v>
      </c>
      <c r="V4" s="5" t="s">
        <v>218</v>
      </c>
      <c r="W4" s="5" t="s">
        <v>231</v>
      </c>
      <c r="X4" s="5" t="s">
        <v>232</v>
      </c>
      <c r="Y4" s="5" t="s">
        <v>233</v>
      </c>
      <c r="Z4" s="5" t="s">
        <v>234</v>
      </c>
      <c r="AA4" s="5" t="s">
        <v>235</v>
      </c>
      <c r="AB4" s="5" t="s">
        <v>233</v>
      </c>
      <c r="AC4" s="5" t="s">
        <v>236</v>
      </c>
      <c r="AD4" s="5" t="s">
        <v>237</v>
      </c>
      <c r="AE4" s="5" t="s">
        <v>233</v>
      </c>
      <c r="AF4" s="5" t="s">
        <v>238</v>
      </c>
      <c r="AG4" s="5" t="s">
        <v>239</v>
      </c>
      <c r="AH4" s="5" t="s">
        <v>240</v>
      </c>
      <c r="AI4" s="5" t="s">
        <v>241</v>
      </c>
    </row>
    <row r="5" customFormat="false" ht="15" hidden="false" customHeight="false" outlineLevel="0" collapsed="false">
      <c r="A5" s="27" t="str">
        <f aca="false">계산!A5</f>
        <v>BC-01</v>
      </c>
      <c r="B5" s="28" t="n">
        <f aca="false">계산!F5</f>
        <v>13.0000000000003</v>
      </c>
      <c r="C5" s="29" t="n">
        <v>13</v>
      </c>
      <c r="D5" s="30" t="n">
        <f aca="false">B5-C5</f>
        <v>2.55795384873636E-013</v>
      </c>
      <c r="E5" s="31" t="n">
        <f aca="false">계산!H5</f>
        <v>0.0441952437236348</v>
      </c>
      <c r="F5" s="32" t="n">
        <v>0.0441999760416667</v>
      </c>
      <c r="G5" s="23" t="n">
        <f aca="false">E5-F5</f>
        <v>-4.73231803187896E-006</v>
      </c>
      <c r="H5" s="33" t="n">
        <f aca="false">계산!E5</f>
        <v>0.00178900462962963</v>
      </c>
      <c r="I5" s="13" t="n">
        <v>0.00178900462962963</v>
      </c>
      <c r="J5" s="20" t="n">
        <f aca="false">H5-I5</f>
        <v>0</v>
      </c>
      <c r="K5" s="34" t="n">
        <f aca="false">계산!M5</f>
        <v>0.688397147502646</v>
      </c>
      <c r="L5" s="35" t="n">
        <v>0.689</v>
      </c>
      <c r="M5" s="24" t="n">
        <f aca="false">K5-L5</f>
        <v>-0.00060285249735359</v>
      </c>
      <c r="N5" s="36" t="n">
        <f aca="false">계산!L5</f>
        <v>0.0274608392043142</v>
      </c>
      <c r="O5" s="37" t="n">
        <v>0.0274</v>
      </c>
      <c r="P5" s="22" t="n">
        <f aca="false">N5-O5</f>
        <v>6.08392043142357E-005</v>
      </c>
      <c r="Q5" s="34" t="n">
        <f aca="false">계산!O5</f>
        <v>4.0479573793433</v>
      </c>
      <c r="R5" s="35" t="n">
        <v>4.048</v>
      </c>
      <c r="S5" s="24" t="n">
        <f aca="false">Q5-R5</f>
        <v>-4.26206567034626E-005</v>
      </c>
      <c r="T5" s="38" t="n">
        <f aca="false">계산!N5</f>
        <v>13.7304196021571</v>
      </c>
      <c r="U5" s="12" t="n">
        <v>13.71</v>
      </c>
      <c r="V5" s="21" t="n">
        <f aca="false">T5-U5</f>
        <v>0.0204196021571175</v>
      </c>
      <c r="W5" s="18" t="str">
        <f aca="false">계산!S5</f>
        <v>GOOD</v>
      </c>
      <c r="X5" s="11" t="s">
        <v>242</v>
      </c>
      <c r="Y5" s="26" t="str">
        <f aca="false">IF((W5="GOOD")=(X5="GOOD"),"○","×")</f>
        <v>○</v>
      </c>
      <c r="Z5" s="18" t="str">
        <f aca="false">계산!V5</f>
        <v>GOOD</v>
      </c>
      <c r="AA5" s="11" t="s">
        <v>242</v>
      </c>
      <c r="AB5" s="26" t="str">
        <f aca="false">IF(Z5=AA5,"○","×")</f>
        <v>○</v>
      </c>
      <c r="AC5" s="18" t="str">
        <f aca="false">계산!X5</f>
        <v>GOOD</v>
      </c>
      <c r="AD5" s="11" t="s">
        <v>242</v>
      </c>
      <c r="AE5" s="26" t="str">
        <f aca="false">IF(AC5=AD5,"○","×")</f>
        <v>○</v>
      </c>
      <c r="AF5" s="39" t="n">
        <v>0.688397147501384</v>
      </c>
      <c r="AG5" s="17" t="n">
        <f aca="false">계산!M5-AF5</f>
        <v>1.26276766820865E-012</v>
      </c>
      <c r="AH5" s="40" t="n">
        <v>0.00178900462962963</v>
      </c>
      <c r="AI5" s="41" t="n">
        <f aca="false">계산!E5-AH5</f>
        <v>0</v>
      </c>
    </row>
    <row r="6" customFormat="false" ht="15" hidden="false" customHeight="false" outlineLevel="0" collapsed="false">
      <c r="A6" s="27" t="str">
        <f aca="false">계산!A6</f>
        <v>BC-02</v>
      </c>
      <c r="B6" s="28" t="n">
        <f aca="false">계산!F6</f>
        <v>11.4</v>
      </c>
      <c r="C6" s="29" t="n">
        <v>11.4</v>
      </c>
      <c r="D6" s="30" t="n">
        <f aca="false">B6-C6</f>
        <v>0</v>
      </c>
      <c r="E6" s="31" t="n">
        <f aca="false">계산!H6</f>
        <v>0.0413862696228355</v>
      </c>
      <c r="F6" s="32" t="n">
        <v>0.0413902960648148</v>
      </c>
      <c r="G6" s="23" t="n">
        <f aca="false">E6-F6</f>
        <v>-4.02644197933927E-006</v>
      </c>
      <c r="H6" s="33" t="n">
        <f aca="false">계산!E6</f>
        <v>0.00178900462962963</v>
      </c>
      <c r="I6" s="13" t="n">
        <v>0.00178900462962963</v>
      </c>
      <c r="J6" s="20" t="n">
        <f aca="false">H6-I6</f>
        <v>0</v>
      </c>
      <c r="K6" s="34" t="n">
        <f aca="false">계산!M6</f>
        <v>0.657404397247588</v>
      </c>
      <c r="L6" s="35" t="n">
        <v>0.66</v>
      </c>
      <c r="M6" s="24" t="n">
        <f aca="false">K6-L6</f>
        <v>-0.00259560275241166</v>
      </c>
      <c r="N6" s="36" t="n">
        <f aca="false">계산!L6</f>
        <v>0.0283448649573102</v>
      </c>
      <c r="O6" s="37" t="n">
        <v>0.0283</v>
      </c>
      <c r="P6" s="22" t="n">
        <f aca="false">N6-O6</f>
        <v>4.48649573101707E-005</v>
      </c>
      <c r="Q6" s="34" t="n">
        <f aca="false">계산!O6</f>
        <v>4.32270085207805</v>
      </c>
      <c r="R6" s="35" t="n">
        <v>4.322</v>
      </c>
      <c r="S6" s="24" t="n">
        <f aca="false">Q6-R6</f>
        <v>0.000700852078053593</v>
      </c>
      <c r="T6" s="38" t="n">
        <f aca="false">계산!N6</f>
        <v>14.1724324786551</v>
      </c>
      <c r="U6" s="12" t="n">
        <v>14.13</v>
      </c>
      <c r="V6" s="21" t="n">
        <f aca="false">T6-U6</f>
        <v>0.0424324786550834</v>
      </c>
      <c r="W6" s="18" t="str">
        <f aca="false">계산!S6</f>
        <v>GOOD</v>
      </c>
      <c r="X6" s="11" t="s">
        <v>242</v>
      </c>
      <c r="Y6" s="26" t="str">
        <f aca="false">IF((W6="GOOD")=(X6="GOOD"),"○","×")</f>
        <v>○</v>
      </c>
      <c r="Z6" s="18" t="str">
        <f aca="false">계산!V6</f>
        <v>GOOD</v>
      </c>
      <c r="AA6" s="11" t="s">
        <v>242</v>
      </c>
      <c r="AB6" s="26" t="str">
        <f aca="false">IF(Z6=AA6,"○","×")</f>
        <v>○</v>
      </c>
      <c r="AC6" s="18" t="str">
        <f aca="false">계산!X6</f>
        <v>GOOD</v>
      </c>
      <c r="AD6" s="11" t="s">
        <v>242</v>
      </c>
      <c r="AE6" s="26" t="str">
        <f aca="false">IF(AC6=AD6,"○","×")</f>
        <v>○</v>
      </c>
      <c r="AF6" s="39" t="n">
        <v>0.657404397249679</v>
      </c>
      <c r="AG6" s="17" t="n">
        <f aca="false">계산!M6-AF6</f>
        <v>-2.09066097767163E-012</v>
      </c>
      <c r="AH6" s="40" t="n">
        <v>0.00178900462962963</v>
      </c>
      <c r="AI6" s="41" t="n">
        <f aca="false">계산!E6-AH6</f>
        <v>0</v>
      </c>
    </row>
    <row r="7" customFormat="false" ht="15" hidden="false" customHeight="false" outlineLevel="0" collapsed="false">
      <c r="A7" s="27" t="str">
        <f aca="false">계산!A7</f>
        <v>BC-03</v>
      </c>
      <c r="B7" s="28" t="n">
        <f aca="false">계산!F7</f>
        <v>19.2</v>
      </c>
      <c r="C7" s="29" t="n">
        <v>19.2</v>
      </c>
      <c r="D7" s="30" t="n">
        <f aca="false">B7-C7</f>
        <v>0</v>
      </c>
      <c r="E7" s="31" t="n">
        <f aca="false">계산!H7</f>
        <v>0.0537099157881382</v>
      </c>
      <c r="F7" s="32" t="n">
        <v>0.0537183465277778</v>
      </c>
      <c r="G7" s="23" t="n">
        <f aca="false">E7-F7</f>
        <v>-8.43073963954777E-006</v>
      </c>
      <c r="H7" s="33" t="n">
        <f aca="false">계산!E7</f>
        <v>0.00178900462962963</v>
      </c>
      <c r="I7" s="13" t="n">
        <v>0.00178900462962963</v>
      </c>
      <c r="J7" s="20" t="n">
        <f aca="false">H7-I7</f>
        <v>0</v>
      </c>
      <c r="K7" s="34" t="n">
        <f aca="false">계산!M7</f>
        <v>0.789201240707926</v>
      </c>
      <c r="L7" s="35" t="n">
        <v>0.793</v>
      </c>
      <c r="M7" s="24" t="n">
        <f aca="false">K7-L7</f>
        <v>-0.00379875929207429</v>
      </c>
      <c r="N7" s="36" t="n">
        <f aca="false">계산!L7</f>
        <v>0.0250022378202514</v>
      </c>
      <c r="O7" s="37" t="n">
        <v>0.0249</v>
      </c>
      <c r="P7" s="22" t="n">
        <f aca="false">N7-O7</f>
        <v>0.000102237820251375</v>
      </c>
      <c r="Q7" s="34" t="n">
        <f aca="false">계산!O7</f>
        <v>3.33086470789949</v>
      </c>
      <c r="R7" s="35" t="n">
        <v>3.33</v>
      </c>
      <c r="S7" s="24" t="n">
        <f aca="false">Q7-R7</f>
        <v>0.000864707899484785</v>
      </c>
      <c r="T7" s="38" t="n">
        <f aca="false">계산!N7</f>
        <v>12.5011189101257</v>
      </c>
      <c r="U7" s="12" t="n">
        <v>12.45</v>
      </c>
      <c r="V7" s="21" t="n">
        <f aca="false">T7-U7</f>
        <v>0.0511189101256875</v>
      </c>
      <c r="W7" s="18" t="str">
        <f aca="false">계산!S7</f>
        <v>GOOD</v>
      </c>
      <c r="X7" s="11" t="s">
        <v>242</v>
      </c>
      <c r="Y7" s="26" t="str">
        <f aca="false">IF((W7="GOOD")=(X7="GOOD"),"○","×")</f>
        <v>○</v>
      </c>
      <c r="Z7" s="18" t="str">
        <f aca="false">계산!V7</f>
        <v>GOOD</v>
      </c>
      <c r="AA7" s="11" t="s">
        <v>242</v>
      </c>
      <c r="AB7" s="26" t="str">
        <f aca="false">IF(Z7=AA7,"○","×")</f>
        <v>○</v>
      </c>
      <c r="AC7" s="18" t="str">
        <f aca="false">계산!X7</f>
        <v>GOOD</v>
      </c>
      <c r="AD7" s="11" t="s">
        <v>242</v>
      </c>
      <c r="AE7" s="26" t="str">
        <f aca="false">IF(AC7=AD7,"○","×")</f>
        <v>○</v>
      </c>
      <c r="AF7" s="39" t="n">
        <v>0.789201240711557</v>
      </c>
      <c r="AG7" s="17" t="n">
        <f aca="false">계산!M7-AF7</f>
        <v>-3.63153951354889E-012</v>
      </c>
      <c r="AH7" s="40" t="n">
        <v>0.00178900462962963</v>
      </c>
      <c r="AI7" s="41" t="n">
        <f aca="false">계산!E7-AH7</f>
        <v>0</v>
      </c>
    </row>
    <row r="8" customFormat="false" ht="15" hidden="false" customHeight="false" outlineLevel="0" collapsed="false">
      <c r="A8" s="27" t="str">
        <f aca="false">계산!A8</f>
        <v>BC-04</v>
      </c>
      <c r="B8" s="28" t="n">
        <f aca="false">계산!F8</f>
        <v>24.2</v>
      </c>
      <c r="C8" s="29" t="n">
        <v>24.2</v>
      </c>
      <c r="D8" s="30" t="n">
        <f aca="false">B8-C8</f>
        <v>0</v>
      </c>
      <c r="E8" s="31" t="n">
        <f aca="false">계산!H8</f>
        <v>0.0602991985790301</v>
      </c>
      <c r="F8" s="32" t="n">
        <v>0.0603119405092593</v>
      </c>
      <c r="G8" s="23" t="n">
        <f aca="false">E8-F8</f>
        <v>-1.27419302291751E-005</v>
      </c>
      <c r="H8" s="33" t="n">
        <f aca="false">계산!E8</f>
        <v>0.00178900462962963</v>
      </c>
      <c r="I8" s="13" t="n">
        <v>0.00178900462962963</v>
      </c>
      <c r="J8" s="20" t="n">
        <f aca="false">H8-I8</f>
        <v>0</v>
      </c>
      <c r="K8" s="34" t="n">
        <f aca="false">계산!M8</f>
        <v>0.855807223652563</v>
      </c>
      <c r="L8" s="35" t="n">
        <v>0.86</v>
      </c>
      <c r="M8" s="24" t="n">
        <f aca="false">K8-L8</f>
        <v>-0.00419277634743709</v>
      </c>
      <c r="N8" s="36" t="n">
        <f aca="false">계산!L8</f>
        <v>0.0236528144896856</v>
      </c>
      <c r="O8" s="37" t="n">
        <v>0.0236</v>
      </c>
      <c r="P8" s="22" t="n">
        <f aca="false">N8-O8</f>
        <v>5.28144896856063E-005</v>
      </c>
      <c r="Q8" s="34" t="n">
        <f aca="false">계산!O8</f>
        <v>2.96687961330846</v>
      </c>
      <c r="R8" s="35" t="n">
        <v>2.966</v>
      </c>
      <c r="S8" s="24" t="n">
        <f aca="false">Q8-R8</f>
        <v>0.000879613308463423</v>
      </c>
      <c r="T8" s="38" t="n">
        <f aca="false">계산!N8</f>
        <v>11.8264072448428</v>
      </c>
      <c r="U8" s="12" t="n">
        <v>11.78</v>
      </c>
      <c r="V8" s="21" t="n">
        <f aca="false">T8-U8</f>
        <v>0.0464072448428041</v>
      </c>
      <c r="W8" s="18" t="str">
        <f aca="false">계산!S8</f>
        <v>GOOD</v>
      </c>
      <c r="X8" s="11" t="s">
        <v>242</v>
      </c>
      <c r="Y8" s="26" t="str">
        <f aca="false">IF((W8="GOOD")=(X8="GOOD"),"○","×")</f>
        <v>○</v>
      </c>
      <c r="Z8" s="18" t="str">
        <f aca="false">계산!V8</f>
        <v>GOOD</v>
      </c>
      <c r="AA8" s="11" t="s">
        <v>242</v>
      </c>
      <c r="AB8" s="26" t="str">
        <f aca="false">IF(Z8=AA8,"○","×")</f>
        <v>○</v>
      </c>
      <c r="AC8" s="18" t="str">
        <f aca="false">계산!X8</f>
        <v>GOOD</v>
      </c>
      <c r="AD8" s="11" t="s">
        <v>242</v>
      </c>
      <c r="AE8" s="26" t="str">
        <f aca="false">IF(AC8=AD8,"○","×")</f>
        <v>○</v>
      </c>
      <c r="AF8" s="39" t="n">
        <v>0.855807223651468</v>
      </c>
      <c r="AG8" s="17" t="n">
        <f aca="false">계산!M8-AF8</f>
        <v>1.09479092458287E-012</v>
      </c>
      <c r="AH8" s="40" t="n">
        <v>0.00178900462962963</v>
      </c>
      <c r="AI8" s="41" t="n">
        <f aca="false">계산!E8-AH8</f>
        <v>0</v>
      </c>
    </row>
    <row r="9" customFormat="false" ht="15" hidden="false" customHeight="false" outlineLevel="0" collapsed="false">
      <c r="A9" s="27" t="str">
        <f aca="false">계산!A9</f>
        <v>BC-05</v>
      </c>
      <c r="B9" s="28" t="n">
        <f aca="false">계산!F9</f>
        <v>25.3999999999999</v>
      </c>
      <c r="C9" s="29" t="n">
        <v>25.4</v>
      </c>
      <c r="D9" s="30" t="n">
        <f aca="false">B9-C9</f>
        <v>0</v>
      </c>
      <c r="E9" s="31" t="n">
        <f aca="false">계산!H9</f>
        <v>0.0617761324472999</v>
      </c>
      <c r="F9" s="32" t="n">
        <v>0.0617901046296296</v>
      </c>
      <c r="G9" s="23" t="n">
        <f aca="false">E9-F9</f>
        <v>-1.39721823296801E-005</v>
      </c>
      <c r="H9" s="33" t="n">
        <f aca="false">계산!E9</f>
        <v>0.00178900462962963</v>
      </c>
      <c r="I9" s="13" t="n">
        <v>0.00178900462962963</v>
      </c>
      <c r="J9" s="20" t="n">
        <f aca="false">H9-I9</f>
        <v>0</v>
      </c>
      <c r="K9" s="34" t="n">
        <f aca="false">계산!M9</f>
        <v>0.870424277996479</v>
      </c>
      <c r="L9" s="35" t="n">
        <v>0.874</v>
      </c>
      <c r="M9" s="24" t="n">
        <f aca="false">K9-L9</f>
        <v>-0.0035757220035213</v>
      </c>
      <c r="N9" s="36" t="n">
        <f aca="false">계산!L9</f>
        <v>0.0233803586776852</v>
      </c>
      <c r="O9" s="37" t="n">
        <v>0.0233</v>
      </c>
      <c r="P9" s="22" t="n">
        <f aca="false">N9-O9</f>
        <v>8.03586776852092E-005</v>
      </c>
      <c r="Q9" s="34" t="n">
        <f aca="false">계산!O9</f>
        <v>2.89594793127556</v>
      </c>
      <c r="R9" s="35" t="n">
        <v>2.895</v>
      </c>
      <c r="S9" s="24" t="n">
        <f aca="false">Q9-R9</f>
        <v>0.000947931275555813</v>
      </c>
      <c r="T9" s="38" t="n">
        <f aca="false">계산!N9</f>
        <v>11.6901793388426</v>
      </c>
      <c r="U9" s="12" t="n">
        <v>11.65</v>
      </c>
      <c r="V9" s="21" t="n">
        <f aca="false">T9-U9</f>
        <v>0.0401793388426039</v>
      </c>
      <c r="W9" s="18" t="str">
        <f aca="false">계산!S9</f>
        <v>GOOD</v>
      </c>
      <c r="X9" s="11" t="s">
        <v>242</v>
      </c>
      <c r="Y9" s="26" t="str">
        <f aca="false">IF((W9="GOOD")=(X9="GOOD"),"○","×")</f>
        <v>○</v>
      </c>
      <c r="Z9" s="18" t="str">
        <f aca="false">계산!V9</f>
        <v>GOOD</v>
      </c>
      <c r="AA9" s="11" t="s">
        <v>242</v>
      </c>
      <c r="AB9" s="26" t="str">
        <f aca="false">IF(Z9=AA9,"○","×")</f>
        <v>○</v>
      </c>
      <c r="AC9" s="18" t="str">
        <f aca="false">계산!X9</f>
        <v>GOOD</v>
      </c>
      <c r="AD9" s="11" t="s">
        <v>242</v>
      </c>
      <c r="AE9" s="26" t="str">
        <f aca="false">IF(AC9=AD9,"○","×")</f>
        <v>○</v>
      </c>
      <c r="AF9" s="39" t="n">
        <v>0.87042427799644</v>
      </c>
      <c r="AG9" s="17" t="n">
        <f aca="false">계산!M9-AF9</f>
        <v>3.86357612569555E-014</v>
      </c>
      <c r="AH9" s="40" t="n">
        <v>0.00178900462962963</v>
      </c>
      <c r="AI9" s="41" t="n">
        <f aca="false">계산!E9-AH9</f>
        <v>0</v>
      </c>
    </row>
    <row r="10" customFormat="false" ht="15" hidden="false" customHeight="false" outlineLevel="0" collapsed="false">
      <c r="A10" s="27" t="str">
        <f aca="false">계산!A10</f>
        <v>BC-06</v>
      </c>
      <c r="B10" s="28" t="n">
        <f aca="false">계산!F10</f>
        <v>10.6</v>
      </c>
      <c r="C10" s="29" t="n">
        <v>10.6</v>
      </c>
      <c r="D10" s="30" t="n">
        <f aca="false">B10-C10</f>
        <v>0</v>
      </c>
      <c r="E10" s="31" t="n">
        <f aca="false">계산!H10</f>
        <v>0.039907708353717</v>
      </c>
      <c r="F10" s="32" t="n">
        <v>0.0399114142361111</v>
      </c>
      <c r="G10" s="23" t="n">
        <f aca="false">E10-F10</f>
        <v>-3.70588239412273E-006</v>
      </c>
      <c r="H10" s="33" t="n">
        <f aca="false">계산!E10</f>
        <v>0.00178900462962963</v>
      </c>
      <c r="I10" s="13" t="n">
        <v>0.00178900462962963</v>
      </c>
      <c r="J10" s="20" t="n">
        <f aca="false">H10-I10</f>
        <v>0</v>
      </c>
      <c r="K10" s="34" t="n">
        <f aca="false">계산!M10</f>
        <v>0.640833084504542</v>
      </c>
      <c r="L10" s="35" t="n">
        <v>0.643</v>
      </c>
      <c r="M10" s="24" t="n">
        <f aca="false">K10-L10</f>
        <v>-0.002166915495458</v>
      </c>
      <c r="N10" s="36" t="n">
        <f aca="false">계산!L10</f>
        <v>0.0288474374076699</v>
      </c>
      <c r="O10" s="37" t="n">
        <v>0.0288</v>
      </c>
      <c r="P10" s="22" t="n">
        <f aca="false">N10-O10</f>
        <v>4.74374076699299E-005</v>
      </c>
      <c r="Q10" s="34" t="n">
        <f aca="false">계산!O10</f>
        <v>4.48285482537111</v>
      </c>
      <c r="R10" s="35" t="n">
        <v>4.482</v>
      </c>
      <c r="S10" s="24" t="n">
        <f aca="false">Q10-R10</f>
        <v>0.000854825371106038</v>
      </c>
      <c r="T10" s="38" t="n">
        <f aca="false">계산!N10</f>
        <v>14.423718703835</v>
      </c>
      <c r="U10" s="12" t="n">
        <v>14.38</v>
      </c>
      <c r="V10" s="21" t="n">
        <f aca="false">T10-U10</f>
        <v>0.0437187038349638</v>
      </c>
      <c r="W10" s="18" t="str">
        <f aca="false">계산!S10</f>
        <v>GOOD</v>
      </c>
      <c r="X10" s="11" t="s">
        <v>242</v>
      </c>
      <c r="Y10" s="26" t="str">
        <f aca="false">IF((W10="GOOD")=(X10="GOOD"),"○","×")</f>
        <v>○</v>
      </c>
      <c r="Z10" s="18" t="str">
        <f aca="false">계산!V10</f>
        <v>GOOD</v>
      </c>
      <c r="AA10" s="11" t="s">
        <v>242</v>
      </c>
      <c r="AB10" s="26" t="str">
        <f aca="false">IF(Z10=AA10,"○","×")</f>
        <v>○</v>
      </c>
      <c r="AC10" s="18" t="str">
        <f aca="false">계산!X10</f>
        <v>GOOD</v>
      </c>
      <c r="AD10" s="11" t="s">
        <v>242</v>
      </c>
      <c r="AE10" s="26" t="str">
        <f aca="false">IF(AC10=AD10,"○","×")</f>
        <v>○</v>
      </c>
      <c r="AF10" s="39" t="n">
        <v>0.640833084504269</v>
      </c>
      <c r="AG10" s="17" t="n">
        <f aca="false">계산!M10-AF10</f>
        <v>2.73225886360251E-013</v>
      </c>
      <c r="AH10" s="40" t="n">
        <v>0.00178900462962963</v>
      </c>
      <c r="AI10" s="41" t="n">
        <f aca="false">계산!E10-AH10</f>
        <v>0</v>
      </c>
    </row>
    <row r="11" customFormat="false" ht="15" hidden="false" customHeight="false" outlineLevel="0" collapsed="false">
      <c r="A11" s="27" t="str">
        <f aca="false">계산!A11</f>
        <v>BC-07</v>
      </c>
      <c r="B11" s="28" t="n">
        <f aca="false">계산!F11</f>
        <v>11.8000000000001</v>
      </c>
      <c r="C11" s="29" t="n">
        <v>11.8</v>
      </c>
      <c r="D11" s="30" t="n">
        <f aca="false">B11-C11</f>
        <v>6.75015598972095E-014</v>
      </c>
      <c r="E11" s="31" t="n">
        <f aca="false">계산!H11</f>
        <v>0.0421060847968366</v>
      </c>
      <c r="F11" s="32" t="n">
        <v>0.0421102792824074</v>
      </c>
      <c r="G11" s="23" t="n">
        <f aca="false">E11-F11</f>
        <v>-4.19448557077706E-006</v>
      </c>
      <c r="H11" s="33" t="n">
        <f aca="false">계산!E11</f>
        <v>0.00178900462962963</v>
      </c>
      <c r="I11" s="13" t="n">
        <v>0.00178900462962963</v>
      </c>
      <c r="J11" s="20" t="n">
        <f aca="false">H11-I11</f>
        <v>0</v>
      </c>
      <c r="K11" s="34" t="n">
        <f aca="false">계산!M11</f>
        <v>0.665406185859768</v>
      </c>
      <c r="L11" s="35" t="n">
        <v>0.668</v>
      </c>
      <c r="M11" s="24" t="n">
        <f aca="false">K11-L11</f>
        <v>-0.00259381414023241</v>
      </c>
      <c r="N11" s="36" t="n">
        <f aca="false">계산!L11</f>
        <v>0.0281098814843859</v>
      </c>
      <c r="O11" s="37" t="n">
        <v>0.028</v>
      </c>
      <c r="P11" s="22" t="n">
        <f aca="false">N11-O11</f>
        <v>0.000109881484385923</v>
      </c>
      <c r="Q11" s="34" t="n">
        <f aca="false">계산!O11</f>
        <v>4.24880308454619</v>
      </c>
      <c r="R11" s="35" t="n">
        <v>4.248</v>
      </c>
      <c r="S11" s="24" t="n">
        <f aca="false">Q11-R11</f>
        <v>0.000803084546192601</v>
      </c>
      <c r="T11" s="38" t="n">
        <f aca="false">계산!N11</f>
        <v>14.054940742193</v>
      </c>
      <c r="U11" s="12" t="n">
        <v>14.02</v>
      </c>
      <c r="V11" s="21" t="n">
        <f aca="false">T11-U11</f>
        <v>0.034940742192962</v>
      </c>
      <c r="W11" s="18" t="str">
        <f aca="false">계산!S11</f>
        <v>GOOD</v>
      </c>
      <c r="X11" s="11" t="s">
        <v>242</v>
      </c>
      <c r="Y11" s="26" t="str">
        <f aca="false">IF((W11="GOOD")=(X11="GOOD"),"○","×")</f>
        <v>○</v>
      </c>
      <c r="Z11" s="18" t="str">
        <f aca="false">계산!V11</f>
        <v>GOOD</v>
      </c>
      <c r="AA11" s="11" t="s">
        <v>242</v>
      </c>
      <c r="AB11" s="26" t="str">
        <f aca="false">IF(Z11=AA11,"○","×")</f>
        <v>○</v>
      </c>
      <c r="AC11" s="18" t="str">
        <f aca="false">계산!X11</f>
        <v>GOOD</v>
      </c>
      <c r="AD11" s="11" t="s">
        <v>242</v>
      </c>
      <c r="AE11" s="26" t="str">
        <f aca="false">IF(AC11=AD11,"○","×")</f>
        <v>○</v>
      </c>
      <c r="AF11" s="39" t="n">
        <v>0.665406185858912</v>
      </c>
      <c r="AG11" s="17" t="n">
        <f aca="false">계산!M11-AF11</f>
        <v>8.55426840473683E-013</v>
      </c>
      <c r="AH11" s="40" t="n">
        <v>0.00178900462962963</v>
      </c>
      <c r="AI11" s="41" t="n">
        <f aca="false">계산!E11-AH11</f>
        <v>0</v>
      </c>
    </row>
    <row r="12" customFormat="false" ht="15" hidden="false" customHeight="false" outlineLevel="0" collapsed="false">
      <c r="A12" s="27" t="str">
        <f aca="false">계산!A12</f>
        <v>BC-08</v>
      </c>
      <c r="B12" s="28" t="n">
        <f aca="false">계산!F12</f>
        <v>18.2499999999999</v>
      </c>
      <c r="C12" s="29" t="n">
        <v>18.25</v>
      </c>
      <c r="D12" s="30" t="n">
        <f aca="false">B12-C12</f>
        <v>-7.8159700933611E-014</v>
      </c>
      <c r="E12" s="31" t="n">
        <f aca="false">계산!H12</f>
        <v>0.0523642986953998</v>
      </c>
      <c r="F12" s="32" t="n">
        <v>0.0523720521990741</v>
      </c>
      <c r="G12" s="23" t="n">
        <f aca="false">E12-F12</f>
        <v>-7.75350367425431E-006</v>
      </c>
      <c r="H12" s="33" t="n">
        <f aca="false">계산!E12</f>
        <v>0.00178900462962963</v>
      </c>
      <c r="I12" s="13" t="n">
        <v>0.00178900462962963</v>
      </c>
      <c r="J12" s="20" t="n">
        <f aca="false">H12-I12</f>
        <v>0</v>
      </c>
      <c r="K12" s="34" t="n">
        <f aca="false">계산!M12</f>
        <v>0.775298841144905</v>
      </c>
      <c r="L12" s="35" t="n">
        <v>0.778</v>
      </c>
      <c r="M12" s="24" t="n">
        <f aca="false">K12-L12</f>
        <v>-0.00270115885509536</v>
      </c>
      <c r="N12" s="36" t="n">
        <f aca="false">계산!L12</f>
        <v>0.0253086972538498</v>
      </c>
      <c r="O12" s="37" t="n">
        <v>0.0252</v>
      </c>
      <c r="P12" s="22" t="n">
        <f aca="false">N12-O12</f>
        <v>0.000108697253849835</v>
      </c>
      <c r="Q12" s="34" t="n">
        <f aca="false">계산!O12</f>
        <v>3.41645868311188</v>
      </c>
      <c r="R12" s="35" t="n">
        <v>3.416</v>
      </c>
      <c r="S12" s="24" t="n">
        <f aca="false">Q12-R12</f>
        <v>0.000458683111884017</v>
      </c>
      <c r="T12" s="38" t="n">
        <f aca="false">계산!N12</f>
        <v>12.6543486269249</v>
      </c>
      <c r="U12" s="12" t="n">
        <v>12.61</v>
      </c>
      <c r="V12" s="21" t="n">
        <f aca="false">T12-U12</f>
        <v>0.0443486269249167</v>
      </c>
      <c r="W12" s="18" t="str">
        <f aca="false">계산!S12</f>
        <v>GOOD</v>
      </c>
      <c r="X12" s="11" t="s">
        <v>242</v>
      </c>
      <c r="Y12" s="26" t="str">
        <f aca="false">IF((W12="GOOD")=(X12="GOOD"),"○","×")</f>
        <v>○</v>
      </c>
      <c r="Z12" s="18" t="str">
        <f aca="false">계산!V12</f>
        <v>GOOD</v>
      </c>
      <c r="AA12" s="11" t="s">
        <v>242</v>
      </c>
      <c r="AB12" s="26" t="str">
        <f aca="false">IF(Z12=AA12,"○","×")</f>
        <v>○</v>
      </c>
      <c r="AC12" s="18" t="str">
        <f aca="false">계산!X12</f>
        <v>GOOD</v>
      </c>
      <c r="AD12" s="11" t="s">
        <v>242</v>
      </c>
      <c r="AE12" s="26" t="str">
        <f aca="false">IF(AC12=AD12,"○","×")</f>
        <v>○</v>
      </c>
      <c r="AF12" s="39" t="n">
        <v>0.775298841148356</v>
      </c>
      <c r="AG12" s="17" t="n">
        <f aca="false">계산!M12-AF12</f>
        <v>-3.45079520513991E-012</v>
      </c>
      <c r="AH12" s="40" t="n">
        <v>0.00178900462962963</v>
      </c>
      <c r="AI12" s="41" t="n">
        <f aca="false">계산!E12-AH12</f>
        <v>0</v>
      </c>
    </row>
    <row r="13" customFormat="false" ht="15" hidden="false" customHeight="false" outlineLevel="0" collapsed="false">
      <c r="A13" s="27" t="str">
        <f aca="false">계산!A13</f>
        <v>BC-09</v>
      </c>
      <c r="B13" s="28" t="n">
        <f aca="false">계산!F13</f>
        <v>25.8620689655172</v>
      </c>
      <c r="C13" s="29" t="n">
        <v>25.86</v>
      </c>
      <c r="D13" s="30" t="n">
        <f aca="false">B13-C13</f>
        <v>0.00206896551724256</v>
      </c>
      <c r="E13" s="31" t="n">
        <f aca="false">계산!H13</f>
        <v>0.0623355060983706</v>
      </c>
      <c r="F13" s="32" t="n">
        <v>0.0623499722222222</v>
      </c>
      <c r="G13" s="23" t="n">
        <f aca="false">E13-F13</f>
        <v>-1.44661238515795E-005</v>
      </c>
      <c r="H13" s="33" t="n">
        <f aca="false">계산!E13</f>
        <v>0.00178900462962963</v>
      </c>
      <c r="I13" s="13" t="n">
        <v>0.00178900462962963</v>
      </c>
      <c r="J13" s="20" t="n">
        <f aca="false">H13-I13</f>
        <v>0</v>
      </c>
      <c r="K13" s="34" t="n">
        <f aca="false">계산!M13</f>
        <v>0.875932338779343</v>
      </c>
      <c r="L13" s="35" t="n">
        <v>0.879</v>
      </c>
      <c r="M13" s="24" t="n">
        <f aca="false">K13-L13</f>
        <v>-0.00306766122065694</v>
      </c>
      <c r="N13" s="36" t="n">
        <f aca="false">계산!L13</f>
        <v>0.0232797026649543</v>
      </c>
      <c r="O13" s="37" t="n">
        <v>0.0232</v>
      </c>
      <c r="P13" s="22" t="n">
        <f aca="false">N13-O13</f>
        <v>7.97026649542731E-005</v>
      </c>
      <c r="Q13" s="34" t="n">
        <f aca="false">계산!O13</f>
        <v>2.86996086436907</v>
      </c>
      <c r="R13" s="35" t="n">
        <v>2.869</v>
      </c>
      <c r="S13" s="24" t="n">
        <f aca="false">Q13-R13</f>
        <v>0.000960864369065728</v>
      </c>
      <c r="T13" s="38" t="n">
        <f aca="false">계산!N13</f>
        <v>11.6398513324771</v>
      </c>
      <c r="U13" s="12" t="n">
        <v>11.6</v>
      </c>
      <c r="V13" s="21" t="n">
        <f aca="false">T13-U13</f>
        <v>0.0398513324771361</v>
      </c>
      <c r="W13" s="18" t="str">
        <f aca="false">계산!S13</f>
        <v>GOOD</v>
      </c>
      <c r="X13" s="11" t="s">
        <v>242</v>
      </c>
      <c r="Y13" s="26" t="str">
        <f aca="false">IF((W13="GOOD")=(X13="GOOD"),"○","×")</f>
        <v>○</v>
      </c>
      <c r="Z13" s="18" t="str">
        <f aca="false">계산!V13</f>
        <v>GOOD</v>
      </c>
      <c r="AA13" s="11" t="s">
        <v>242</v>
      </c>
      <c r="AB13" s="26" t="str">
        <f aca="false">IF(Z13=AA13,"○","×")</f>
        <v>○</v>
      </c>
      <c r="AC13" s="18" t="str">
        <f aca="false">계산!X13</f>
        <v>GOOD</v>
      </c>
      <c r="AD13" s="11" t="s">
        <v>242</v>
      </c>
      <c r="AE13" s="26" t="str">
        <f aca="false">IF(AC13=AD13,"○","×")</f>
        <v>○</v>
      </c>
      <c r="AF13" s="39" t="n">
        <v>0.875932338780092</v>
      </c>
      <c r="AG13" s="17" t="n">
        <f aca="false">계산!M13-AF13</f>
        <v>-7.48623385504743E-013</v>
      </c>
      <c r="AH13" s="40" t="n">
        <v>0.00178900462962963</v>
      </c>
      <c r="AI13" s="41" t="n">
        <f aca="false">계산!E13-AH13</f>
        <v>0</v>
      </c>
    </row>
    <row r="14" customFormat="false" ht="15" hidden="false" customHeight="false" outlineLevel="0" collapsed="false">
      <c r="A14" s="27" t="str">
        <f aca="false">계산!A14</f>
        <v>BC-10</v>
      </c>
      <c r="B14" s="28" t="n">
        <f aca="false">계산!F14</f>
        <v>16.3333333333334</v>
      </c>
      <c r="C14" s="29" t="n">
        <v>16.33</v>
      </c>
      <c r="D14" s="30" t="n">
        <f aca="false">B14-C14</f>
        <v>0.00333333333340136</v>
      </c>
      <c r="E14" s="31" t="n">
        <f aca="false">계산!H14</f>
        <v>0.0495383194910201</v>
      </c>
      <c r="F14" s="32" t="n">
        <v>0.0495448359953704</v>
      </c>
      <c r="G14" s="23" t="n">
        <f aca="false">E14-F14</f>
        <v>-6.51650435021939E-006</v>
      </c>
      <c r="H14" s="33" t="n">
        <f aca="false">계산!E14</f>
        <v>0.00178900462962963</v>
      </c>
      <c r="I14" s="13" t="n">
        <v>0.00178900462962963</v>
      </c>
      <c r="J14" s="20" t="n">
        <f aca="false">H14-I14</f>
        <v>0</v>
      </c>
      <c r="K14" s="34" t="n">
        <f aca="false">계산!M14</f>
        <v>0.745740143493647</v>
      </c>
      <c r="L14" s="35" t="n">
        <v>0.747</v>
      </c>
      <c r="M14" s="24" t="n">
        <f aca="false">K14-L14</f>
        <v>-0.00125985650635319</v>
      </c>
      <c r="N14" s="36" t="n">
        <f aca="false">계산!L14</f>
        <v>0.0259925383821674</v>
      </c>
      <c r="O14" s="37" t="n">
        <v>0.0259</v>
      </c>
      <c r="P14" s="22" t="n">
        <f aca="false">N14-O14</f>
        <v>9.25383821673877E-005</v>
      </c>
      <c r="Q14" s="34" t="n">
        <f aca="false">계산!O14</f>
        <v>3.61135510451445</v>
      </c>
      <c r="R14" s="35" t="n">
        <v>3.611</v>
      </c>
      <c r="S14" s="24" t="n">
        <f aca="false">Q14-R14</f>
        <v>0.000355104514444982</v>
      </c>
      <c r="T14" s="38" t="n">
        <f aca="false">계산!N14</f>
        <v>12.9962691910837</v>
      </c>
      <c r="U14" s="12" t="n">
        <v>12.97</v>
      </c>
      <c r="V14" s="21" t="n">
        <f aca="false">T14-U14</f>
        <v>0.0262691910836921</v>
      </c>
      <c r="W14" s="18" t="str">
        <f aca="false">계산!S14</f>
        <v>GOOD</v>
      </c>
      <c r="X14" s="11" t="s">
        <v>242</v>
      </c>
      <c r="Y14" s="26" t="str">
        <f aca="false">IF((W14="GOOD")=(X14="GOOD"),"○","×")</f>
        <v>○</v>
      </c>
      <c r="Z14" s="18" t="str">
        <f aca="false">계산!V14</f>
        <v>GOOD</v>
      </c>
      <c r="AA14" s="11" t="s">
        <v>242</v>
      </c>
      <c r="AB14" s="26" t="str">
        <f aca="false">IF(Z14=AA14,"○","×")</f>
        <v>○</v>
      </c>
      <c r="AC14" s="18" t="str">
        <f aca="false">계산!X14</f>
        <v>NG</v>
      </c>
      <c r="AD14" s="11" t="s">
        <v>243</v>
      </c>
      <c r="AE14" s="26" t="str">
        <f aca="false">IF(AC14=AD14,"○","×")</f>
        <v>○</v>
      </c>
      <c r="AF14" s="39" t="n">
        <v>0.745740143493851</v>
      </c>
      <c r="AG14" s="17" t="n">
        <f aca="false">계산!M14-AF14</f>
        <v>-2.03836947321179E-013</v>
      </c>
      <c r="AH14" s="40" t="n">
        <v>0.00178900462962963</v>
      </c>
      <c r="AI14" s="41" t="n">
        <f aca="false">계산!E14-AH14</f>
        <v>0</v>
      </c>
    </row>
    <row r="15" customFormat="false" ht="15" hidden="false" customHeight="false" outlineLevel="0" collapsed="false">
      <c r="A15" s="27" t="str">
        <f aca="false">계산!A15</f>
        <v>BC-11</v>
      </c>
      <c r="B15" s="28" t="n">
        <f aca="false">계산!F15</f>
        <v>11.5</v>
      </c>
      <c r="C15" s="29" t="n">
        <v>11.5</v>
      </c>
      <c r="D15" s="30" t="n">
        <f aca="false">B15-C15</f>
        <v>0</v>
      </c>
      <c r="E15" s="31" t="n">
        <f aca="false">계산!H15</f>
        <v>0.0415673920182651</v>
      </c>
      <c r="F15" s="32" t="n">
        <v>0.0415714603009259</v>
      </c>
      <c r="G15" s="23" t="n">
        <f aca="false">E15-F15</f>
        <v>-4.06828266087678E-006</v>
      </c>
      <c r="H15" s="33" t="n">
        <f aca="false">계산!E15</f>
        <v>0.00178900462962963</v>
      </c>
      <c r="I15" s="13" t="n">
        <v>0.00178900462962963</v>
      </c>
      <c r="J15" s="20" t="n">
        <f aca="false">H15-I15</f>
        <v>0</v>
      </c>
      <c r="K15" s="34" t="n">
        <f aca="false">계산!M15</f>
        <v>0.659421815628003</v>
      </c>
      <c r="L15" s="35" t="n">
        <v>0.662</v>
      </c>
      <c r="M15" s="24" t="n">
        <f aca="false">K15-L15</f>
        <v>-0.00257818437199753</v>
      </c>
      <c r="N15" s="36" t="n">
        <f aca="false">계산!L15</f>
        <v>0.0282851604645309</v>
      </c>
      <c r="O15" s="37" t="n">
        <v>0.0282</v>
      </c>
      <c r="P15" s="22" t="n">
        <f aca="false">N15-O15</f>
        <v>8.51604645308694E-005</v>
      </c>
      <c r="Q15" s="34" t="n">
        <f aca="false">계산!O15</f>
        <v>4.30386546464962</v>
      </c>
      <c r="R15" s="35" t="n">
        <v>4.303</v>
      </c>
      <c r="S15" s="24" t="n">
        <f aca="false">Q15-R15</f>
        <v>0.0008654646496149</v>
      </c>
      <c r="T15" s="38" t="n">
        <f aca="false">계산!N15</f>
        <v>14.1425802322654</v>
      </c>
      <c r="U15" s="12" t="n">
        <v>14.11</v>
      </c>
      <c r="V15" s="21" t="n">
        <f aca="false">T15-U15</f>
        <v>0.0325802322654347</v>
      </c>
      <c r="W15" s="18" t="str">
        <f aca="false">계산!S15</f>
        <v>GOOD</v>
      </c>
      <c r="X15" s="11" t="s">
        <v>242</v>
      </c>
      <c r="Y15" s="26" t="str">
        <f aca="false">IF((W15="GOOD")=(X15="GOOD"),"○","×")</f>
        <v>○</v>
      </c>
      <c r="Z15" s="18" t="str">
        <f aca="false">계산!V15</f>
        <v>GOOD</v>
      </c>
      <c r="AA15" s="11" t="s">
        <v>242</v>
      </c>
      <c r="AB15" s="26" t="str">
        <f aca="false">IF(Z15=AA15,"○","×")</f>
        <v>○</v>
      </c>
      <c r="AC15" s="18" t="str">
        <f aca="false">계산!X15</f>
        <v>GOOD</v>
      </c>
      <c r="AD15" s="11" t="s">
        <v>242</v>
      </c>
      <c r="AE15" s="26" t="str">
        <f aca="false">IF(AC15=AD15,"○","×")</f>
        <v>○</v>
      </c>
      <c r="AF15" s="39" t="n">
        <v>0.659421815627173</v>
      </c>
      <c r="AG15" s="17" t="n">
        <f aca="false">계산!M15-AF15</f>
        <v>8.29336599394992E-013</v>
      </c>
      <c r="AH15" s="40" t="n">
        <v>0.00178900462962963</v>
      </c>
      <c r="AI15" s="41" t="n">
        <f aca="false">계산!E15-AH15</f>
        <v>0</v>
      </c>
    </row>
    <row r="16" customFormat="false" ht="15" hidden="false" customHeight="false" outlineLevel="0" collapsed="false">
      <c r="A16" s="27" t="str">
        <f aca="false">계산!A16</f>
        <v>BC-12</v>
      </c>
      <c r="B16" s="28" t="n">
        <f aca="false">계산!F16</f>
        <v>13.5</v>
      </c>
      <c r="C16" s="29" t="n">
        <v>13.5</v>
      </c>
      <c r="D16" s="30" t="n">
        <f aca="false">B16-C16</f>
        <v>0</v>
      </c>
      <c r="E16" s="31" t="n">
        <f aca="false">계산!H16</f>
        <v>0.0450371335380248</v>
      </c>
      <c r="F16" s="32" t="n">
        <v>0.0450421030092593</v>
      </c>
      <c r="G16" s="23" t="n">
        <f aca="false">E16-F16</f>
        <v>-4.96947123445474E-006</v>
      </c>
      <c r="H16" s="33" t="n">
        <f aca="false">계산!E16</f>
        <v>0.00178900462962963</v>
      </c>
      <c r="I16" s="13" t="n">
        <v>0.00178900462962963</v>
      </c>
      <c r="J16" s="20" t="n">
        <f aca="false">H16-I16</f>
        <v>0</v>
      </c>
      <c r="K16" s="34" t="n">
        <f aca="false">계산!M16</f>
        <v>0.69756758687381</v>
      </c>
      <c r="L16" s="35" t="n">
        <v>0.698</v>
      </c>
      <c r="M16" s="24" t="n">
        <f aca="false">K16-L16</f>
        <v>-0.000432413126190023</v>
      </c>
      <c r="N16" s="36" t="n">
        <f aca="false">계산!L16</f>
        <v>0.0272121969614422</v>
      </c>
      <c r="O16" s="37" t="n">
        <v>0.0272</v>
      </c>
      <c r="P16" s="22" t="n">
        <f aca="false">N16-O16</f>
        <v>1.21969614422165E-005</v>
      </c>
      <c r="Q16" s="34" t="n">
        <f aca="false">계산!O16</f>
        <v>3.97228795238306</v>
      </c>
      <c r="R16" s="35" t="n">
        <v>3.972</v>
      </c>
      <c r="S16" s="24" t="n">
        <f aca="false">Q16-R16</f>
        <v>0.000287952383060119</v>
      </c>
      <c r="T16" s="38" t="n">
        <f aca="false">계산!N16</f>
        <v>13.6060984807211</v>
      </c>
      <c r="U16" s="12" t="n">
        <v>13.6</v>
      </c>
      <c r="V16" s="21" t="n">
        <f aca="false">T16-U16</f>
        <v>0.00609848072110708</v>
      </c>
      <c r="W16" s="18" t="str">
        <f aca="false">계산!S16</f>
        <v>GOOD</v>
      </c>
      <c r="X16" s="11" t="s">
        <v>242</v>
      </c>
      <c r="Y16" s="26" t="str">
        <f aca="false">IF((W16="GOOD")=(X16="GOOD"),"○","×")</f>
        <v>○</v>
      </c>
      <c r="Z16" s="18" t="str">
        <f aca="false">계산!V16</f>
        <v>GOOD</v>
      </c>
      <c r="AA16" s="11" t="s">
        <v>242</v>
      </c>
      <c r="AB16" s="26" t="str">
        <f aca="false">IF(Z16=AA16,"○","×")</f>
        <v>○</v>
      </c>
      <c r="AC16" s="18" t="str">
        <f aca="false">계산!X16</f>
        <v>GOOD</v>
      </c>
      <c r="AD16" s="11" t="s">
        <v>242</v>
      </c>
      <c r="AE16" s="26" t="str">
        <f aca="false">IF(AC16=AD16,"○","×")</f>
        <v>○</v>
      </c>
      <c r="AF16" s="39" t="n">
        <v>0.697567586876087</v>
      </c>
      <c r="AG16" s="17" t="n">
        <f aca="false">계산!M16-AF16</f>
        <v>-2.27751151271605E-012</v>
      </c>
      <c r="AH16" s="40" t="n">
        <v>0.00178900462962963</v>
      </c>
      <c r="AI16" s="41" t="n">
        <f aca="false">계산!E16-AH16</f>
        <v>0</v>
      </c>
    </row>
    <row r="17" customFormat="false" ht="15" hidden="false" customHeight="false" outlineLevel="0" collapsed="false">
      <c r="A17" s="27" t="str">
        <f aca="false">계산!A17</f>
        <v>BC-13</v>
      </c>
      <c r="B17" s="28" t="n">
        <f aca="false">계산!F17</f>
        <v>18.3333333333332</v>
      </c>
      <c r="C17" s="29" t="n">
        <v>18.33</v>
      </c>
      <c r="D17" s="30" t="n">
        <f aca="false">B17-C17</f>
        <v>0.00333333333324148</v>
      </c>
      <c r="E17" s="31" t="n">
        <f aca="false">계산!H17</f>
        <v>0.0524837157232234</v>
      </c>
      <c r="F17" s="32" t="n">
        <v>0.052491528587963</v>
      </c>
      <c r="G17" s="23" t="n">
        <f aca="false">E17-F17</f>
        <v>-7.81286473960918E-006</v>
      </c>
      <c r="H17" s="33" t="n">
        <f aca="false">계산!E17</f>
        <v>0.00178900462962963</v>
      </c>
      <c r="I17" s="13" t="n">
        <v>0.00178900462962963</v>
      </c>
      <c r="J17" s="20" t="n">
        <f aca="false">H17-I17</f>
        <v>0</v>
      </c>
      <c r="K17" s="34" t="n">
        <f aca="false">계산!M17</f>
        <v>0.776536995315801</v>
      </c>
      <c r="L17" s="35" t="n">
        <v>0.78</v>
      </c>
      <c r="M17" s="24" t="n">
        <f aca="false">K17-L17</f>
        <v>-0.00346300468419924</v>
      </c>
      <c r="N17" s="36" t="n">
        <f aca="false">계산!L17</f>
        <v>0.0252810242739165</v>
      </c>
      <c r="O17" s="37" t="n">
        <v>0.0252</v>
      </c>
      <c r="P17" s="22" t="n">
        <f aca="false">N17-O17</f>
        <v>8.10242739164857E-005</v>
      </c>
      <c r="Q17" s="34" t="n">
        <f aca="false">계산!O17</f>
        <v>3.40868516067741</v>
      </c>
      <c r="R17" s="35" t="n">
        <v>3.408</v>
      </c>
      <c r="S17" s="24" t="n">
        <f aca="false">Q17-R17</f>
        <v>0.000685160677408536</v>
      </c>
      <c r="T17" s="38" t="n">
        <f aca="false">계산!N17</f>
        <v>12.6405121369582</v>
      </c>
      <c r="U17" s="12" t="n">
        <v>12.59</v>
      </c>
      <c r="V17" s="21" t="n">
        <f aca="false">T17-U17</f>
        <v>0.0505121369582433</v>
      </c>
      <c r="W17" s="18" t="str">
        <f aca="false">계산!S17</f>
        <v>GOOD</v>
      </c>
      <c r="X17" s="11" t="s">
        <v>242</v>
      </c>
      <c r="Y17" s="26" t="str">
        <f aca="false">IF((W17="GOOD")=(X17="GOOD"),"○","×")</f>
        <v>○</v>
      </c>
      <c r="Z17" s="18" t="str">
        <f aca="false">계산!V17</f>
        <v>GOOD</v>
      </c>
      <c r="AA17" s="11" t="s">
        <v>242</v>
      </c>
      <c r="AB17" s="26" t="str">
        <f aca="false">IF(Z17=AA17,"○","×")</f>
        <v>○</v>
      </c>
      <c r="AC17" s="18" t="str">
        <f aca="false">계산!X17</f>
        <v>GOOD</v>
      </c>
      <c r="AD17" s="11" t="s">
        <v>242</v>
      </c>
      <c r="AE17" s="26" t="str">
        <f aca="false">IF(AC17=AD17,"○","×")</f>
        <v>○</v>
      </c>
      <c r="AF17" s="39" t="n">
        <v>0.776536995315034</v>
      </c>
      <c r="AG17" s="17" t="n">
        <f aca="false">계산!M17-AF17</f>
        <v>7.67053087713521E-013</v>
      </c>
      <c r="AH17" s="40" t="n">
        <v>0.00178900462962963</v>
      </c>
      <c r="AI17" s="41" t="n">
        <f aca="false">계산!E17-AH17</f>
        <v>0</v>
      </c>
    </row>
    <row r="18" customFormat="false" ht="15" hidden="false" customHeight="false" outlineLevel="0" collapsed="false">
      <c r="A18" s="27" t="str">
        <f aca="false">계산!A18</f>
        <v>BC-14</v>
      </c>
      <c r="B18" s="28" t="n">
        <f aca="false">계산!F18</f>
        <v>19.2</v>
      </c>
      <c r="C18" s="29" t="n">
        <v>19.2</v>
      </c>
      <c r="D18" s="30" t="n">
        <f aca="false">B18-C18</f>
        <v>0</v>
      </c>
      <c r="E18" s="31" t="n">
        <f aca="false">계산!H18</f>
        <v>0.0537099157881382</v>
      </c>
      <c r="F18" s="32" t="n">
        <v>0.0537183465277778</v>
      </c>
      <c r="G18" s="23" t="n">
        <f aca="false">E18-F18</f>
        <v>-8.43073963954777E-006</v>
      </c>
      <c r="H18" s="33" t="n">
        <f aca="false">계산!E18</f>
        <v>0.00178900462962963</v>
      </c>
      <c r="I18" s="13" t="n">
        <v>0.00178900462962963</v>
      </c>
      <c r="J18" s="20" t="n">
        <f aca="false">H18-I18</f>
        <v>0</v>
      </c>
      <c r="K18" s="34" t="n">
        <f aca="false">계산!M18</f>
        <v>0.789201240707926</v>
      </c>
      <c r="L18" s="35" t="n">
        <v>0.793</v>
      </c>
      <c r="M18" s="24" t="n">
        <f aca="false">K18-L18</f>
        <v>-0.00379875929207429</v>
      </c>
      <c r="N18" s="36" t="n">
        <f aca="false">계산!L18</f>
        <v>0.0250022378202514</v>
      </c>
      <c r="O18" s="37" t="n">
        <v>0.0249</v>
      </c>
      <c r="P18" s="22" t="n">
        <f aca="false">N18-O18</f>
        <v>0.000102237820251375</v>
      </c>
      <c r="Q18" s="34" t="n">
        <f aca="false">계산!O18</f>
        <v>3.33086470789949</v>
      </c>
      <c r="R18" s="35" t="n">
        <v>3.33</v>
      </c>
      <c r="S18" s="24" t="n">
        <f aca="false">Q18-R18</f>
        <v>0.000864707899484785</v>
      </c>
      <c r="T18" s="38" t="n">
        <f aca="false">계산!N18</f>
        <v>12.5011189101257</v>
      </c>
      <c r="U18" s="12" t="n">
        <v>12.45</v>
      </c>
      <c r="V18" s="21" t="n">
        <f aca="false">T18-U18</f>
        <v>0.0511189101256875</v>
      </c>
      <c r="W18" s="18" t="str">
        <f aca="false">계산!S18</f>
        <v>GOOD</v>
      </c>
      <c r="X18" s="11" t="s">
        <v>242</v>
      </c>
      <c r="Y18" s="26" t="str">
        <f aca="false">IF((W18="GOOD")=(X18="GOOD"),"○","×")</f>
        <v>○</v>
      </c>
      <c r="Z18" s="18" t="str">
        <f aca="false">계산!V18</f>
        <v>GOOD</v>
      </c>
      <c r="AA18" s="11" t="s">
        <v>242</v>
      </c>
      <c r="AB18" s="26" t="str">
        <f aca="false">IF(Z18=AA18,"○","×")</f>
        <v>○</v>
      </c>
      <c r="AC18" s="18" t="str">
        <f aca="false">계산!X18</f>
        <v>GOOD</v>
      </c>
      <c r="AD18" s="11" t="s">
        <v>242</v>
      </c>
      <c r="AE18" s="26" t="str">
        <f aca="false">IF(AC18=AD18,"○","×")</f>
        <v>○</v>
      </c>
      <c r="AF18" s="39" t="n">
        <v>0.789201240711557</v>
      </c>
      <c r="AG18" s="17" t="n">
        <f aca="false">계산!M18-AF18</f>
        <v>-3.63153951354889E-012</v>
      </c>
      <c r="AH18" s="40" t="n">
        <v>0.00178900462962963</v>
      </c>
      <c r="AI18" s="41" t="n">
        <f aca="false">계산!E18-AH18</f>
        <v>0</v>
      </c>
    </row>
    <row r="19" customFormat="false" ht="15" hidden="false" customHeight="false" outlineLevel="0" collapsed="false">
      <c r="A19" s="27" t="str">
        <f aca="false">계산!A19</f>
        <v>BC-15</v>
      </c>
      <c r="B19" s="28" t="n">
        <f aca="false">계산!F19</f>
        <v>13.4666666666666</v>
      </c>
      <c r="C19" s="29" t="n">
        <v>13.47</v>
      </c>
      <c r="D19" s="30" t="n">
        <f aca="false">B19-C19</f>
        <v>-0.0033333333333605</v>
      </c>
      <c r="E19" s="31" t="n">
        <f aca="false">계산!H19</f>
        <v>0.0449814977743055</v>
      </c>
      <c r="F19" s="32" t="n">
        <v>0.0449864508101852</v>
      </c>
      <c r="G19" s="23" t="n">
        <f aca="false">E19-F19</f>
        <v>-4.95303587970397E-006</v>
      </c>
      <c r="H19" s="33" t="n">
        <f aca="false">계산!E19</f>
        <v>0.00178900462962963</v>
      </c>
      <c r="I19" s="13" t="n">
        <v>0.00178900462962963</v>
      </c>
      <c r="J19" s="20" t="n">
        <f aca="false">H19-I19</f>
        <v>0</v>
      </c>
      <c r="K19" s="34" t="n">
        <f aca="false">계산!M19</f>
        <v>0.696963191590308</v>
      </c>
      <c r="L19" s="35" t="n">
        <v>0.697</v>
      </c>
      <c r="M19" s="24" t="n">
        <f aca="false">K19-L19</f>
        <v>-3.68084096915577E-005</v>
      </c>
      <c r="N19" s="36" t="n">
        <f aca="false">계산!L19</f>
        <v>0.0272284118348161</v>
      </c>
      <c r="O19" s="37" t="n">
        <v>0.0272</v>
      </c>
      <c r="P19" s="22" t="n">
        <f aca="false">N19-O19</f>
        <v>2.84118348160591E-005</v>
      </c>
      <c r="Q19" s="34" t="n">
        <f aca="false">계산!O19</f>
        <v>3.97720111190151</v>
      </c>
      <c r="R19" s="35" t="n">
        <v>3.977</v>
      </c>
      <c r="S19" s="24" t="n">
        <f aca="false">Q19-R19</f>
        <v>0.00020111190150951</v>
      </c>
      <c r="T19" s="38" t="n">
        <f aca="false">계산!N19</f>
        <v>13.614205917408</v>
      </c>
      <c r="U19" s="12" t="n">
        <v>13.6</v>
      </c>
      <c r="V19" s="21" t="n">
        <f aca="false">T19-U19</f>
        <v>0.0142059174080291</v>
      </c>
      <c r="W19" s="18" t="str">
        <f aca="false">계산!S19</f>
        <v>GOOD</v>
      </c>
      <c r="X19" s="11" t="s">
        <v>242</v>
      </c>
      <c r="Y19" s="26" t="str">
        <f aca="false">IF((W19="GOOD")=(X19="GOOD"),"○","×")</f>
        <v>○</v>
      </c>
      <c r="Z19" s="18" t="str">
        <f aca="false">계산!V19</f>
        <v>GOOD</v>
      </c>
      <c r="AA19" s="11" t="s">
        <v>242</v>
      </c>
      <c r="AB19" s="26" t="str">
        <f aca="false">IF(Z19=AA19,"○","×")</f>
        <v>○</v>
      </c>
      <c r="AC19" s="18" t="str">
        <f aca="false">계산!X19</f>
        <v>GOOD</v>
      </c>
      <c r="AD19" s="11" t="s">
        <v>242</v>
      </c>
      <c r="AE19" s="26" t="str">
        <f aca="false">IF(AC19=AD19,"○","×")</f>
        <v>○</v>
      </c>
      <c r="AF19" s="39" t="n">
        <v>0.696963191590939</v>
      </c>
      <c r="AG19" s="17" t="n">
        <f aca="false">계산!M19-AF19</f>
        <v>-6.30939744894477E-013</v>
      </c>
      <c r="AH19" s="40" t="n">
        <v>0.00178900462962963</v>
      </c>
      <c r="AI19" s="41" t="n">
        <f aca="false">계산!E19-AH19</f>
        <v>0</v>
      </c>
    </row>
    <row r="20" customFormat="false" ht="15" hidden="false" customHeight="false" outlineLevel="0" collapsed="false">
      <c r="A20" s="27" t="str">
        <f aca="false">계산!A20</f>
        <v>BC-16</v>
      </c>
      <c r="B20" s="28" t="n">
        <f aca="false">계산!F20</f>
        <v>9.73333333333339</v>
      </c>
      <c r="C20" s="29" t="n">
        <v>9.73</v>
      </c>
      <c r="D20" s="30" t="n">
        <f aca="false">B20-C20</f>
        <v>0.00333333333338715</v>
      </c>
      <c r="E20" s="31" t="n">
        <f aca="false">계산!H20</f>
        <v>0.0382414768045453</v>
      </c>
      <c r="F20" s="32" t="n">
        <v>0.0382448606481481</v>
      </c>
      <c r="G20" s="23" t="n">
        <f aca="false">E20-F20</f>
        <v>-3.38384360285687E-006</v>
      </c>
      <c r="H20" s="33" t="n">
        <f aca="false">계산!E20</f>
        <v>0.00178900462962963</v>
      </c>
      <c r="I20" s="13" t="n">
        <v>0.00178900462962963</v>
      </c>
      <c r="J20" s="20" t="n">
        <f aca="false">H20-I20</f>
        <v>0</v>
      </c>
      <c r="K20" s="34" t="n">
        <f aca="false">계산!M20</f>
        <v>0.621931575302078</v>
      </c>
      <c r="L20" s="35" t="n">
        <v>0.624</v>
      </c>
      <c r="M20" s="24" t="n">
        <f aca="false">K20-L20</f>
        <v>-0.00206842469792234</v>
      </c>
      <c r="N20" s="36" t="n">
        <f aca="false">계산!L20</f>
        <v>0.0294485815004297</v>
      </c>
      <c r="O20" s="37" t="n">
        <v>0.0294</v>
      </c>
      <c r="P20" s="22" t="n">
        <f aca="false">N20-O20</f>
        <v>4.85815004296966E-005</v>
      </c>
      <c r="Q20" s="34" t="n">
        <f aca="false">계산!O20</f>
        <v>4.67817871881191</v>
      </c>
      <c r="R20" s="35" t="n">
        <v>4.678</v>
      </c>
      <c r="S20" s="24" t="n">
        <f aca="false">Q20-R20</f>
        <v>0.000178718811909562</v>
      </c>
      <c r="T20" s="38" t="n">
        <f aca="false">계산!N20</f>
        <v>14.7242907502148</v>
      </c>
      <c r="U20" s="12" t="n">
        <v>14.68</v>
      </c>
      <c r="V20" s="21" t="n">
        <f aca="false">T20-U20</f>
        <v>0.0442907502148469</v>
      </c>
      <c r="W20" s="18" t="str">
        <f aca="false">계산!S20</f>
        <v>GOOD</v>
      </c>
      <c r="X20" s="11" t="s">
        <v>242</v>
      </c>
      <c r="Y20" s="26" t="str">
        <f aca="false">IF((W20="GOOD")=(X20="GOOD"),"○","×")</f>
        <v>○</v>
      </c>
      <c r="Z20" s="18" t="str">
        <f aca="false">계산!V20</f>
        <v>GOOD</v>
      </c>
      <c r="AA20" s="11" t="s">
        <v>242</v>
      </c>
      <c r="AB20" s="26" t="str">
        <f aca="false">IF(Z20=AA20,"○","×")</f>
        <v>○</v>
      </c>
      <c r="AC20" s="18" t="str">
        <f aca="false">계산!X20</f>
        <v>NG</v>
      </c>
      <c r="AD20" s="11" t="s">
        <v>243</v>
      </c>
      <c r="AE20" s="26" t="str">
        <f aca="false">IF(AC20=AD20,"○","×")</f>
        <v>○</v>
      </c>
      <c r="AF20" s="39" t="n">
        <v>0.621931575301887</v>
      </c>
      <c r="AG20" s="17" t="n">
        <f aca="false">계산!M20-AF20</f>
        <v>1.91069382537989E-013</v>
      </c>
      <c r="AH20" s="40" t="n">
        <v>0.00178900462962963</v>
      </c>
      <c r="AI20" s="41" t="n">
        <f aca="false">계산!E20-AH20</f>
        <v>0</v>
      </c>
    </row>
    <row r="21" customFormat="false" ht="15" hidden="false" customHeight="false" outlineLevel="0" collapsed="false">
      <c r="A21" s="27" t="str">
        <f aca="false">계산!A21</f>
        <v>BC-17</v>
      </c>
      <c r="B21" s="28" t="n">
        <f aca="false">계산!F21</f>
        <v>4.39999999999998</v>
      </c>
      <c r="C21" s="29" t="n">
        <v>4.4</v>
      </c>
      <c r="D21" s="30" t="n">
        <f aca="false">B21-C21</f>
        <v>-2.30926389122033E-014</v>
      </c>
      <c r="E21" s="31" t="n">
        <f aca="false">계산!H21</f>
        <v>0.0257116646654368</v>
      </c>
      <c r="F21" s="32" t="n">
        <v>0.025713455787037</v>
      </c>
      <c r="G21" s="23" t="n">
        <f aca="false">E21-F21</f>
        <v>-1.79112160028291E-006</v>
      </c>
      <c r="H21" s="33" t="n">
        <f aca="false">계산!E21</f>
        <v>0.00178900462962963</v>
      </c>
      <c r="I21" s="13" t="n">
        <v>0.00178900462962963</v>
      </c>
      <c r="J21" s="20" t="n">
        <f aca="false">H21-I21</f>
        <v>0</v>
      </c>
      <c r="K21" s="34" t="n">
        <f aca="false">계산!M21</f>
        <v>0.470421896415144</v>
      </c>
      <c r="L21" s="35" t="n">
        <v>0.471</v>
      </c>
      <c r="M21" s="24" t="n">
        <f aca="false">K21-L21</f>
        <v>-0.000578103584856382</v>
      </c>
      <c r="N21" s="36" t="n">
        <f aca="false">계산!L21</f>
        <v>0.0357236643317494</v>
      </c>
      <c r="O21" s="37" t="n">
        <v>0.0357</v>
      </c>
      <c r="P21" s="22" t="n">
        <f aca="false">N21-O21</f>
        <v>2.36643317493915E-005</v>
      </c>
      <c r="Q21" s="34" t="n">
        <f aca="false">계산!O21</f>
        <v>6.95794944788045</v>
      </c>
      <c r="R21" s="35" t="n">
        <v>6.957</v>
      </c>
      <c r="S21" s="24" t="n">
        <f aca="false">Q21-R21</f>
        <v>0.000949447880452148</v>
      </c>
      <c r="T21" s="38" t="n">
        <f aca="false">계산!N21</f>
        <v>17.8618321658747</v>
      </c>
      <c r="U21" s="12" t="n">
        <v>17.85</v>
      </c>
      <c r="V21" s="21" t="n">
        <f aca="false">T21-U21</f>
        <v>0.0118321658746972</v>
      </c>
      <c r="W21" s="18" t="str">
        <f aca="false">계산!S21</f>
        <v>GOOD</v>
      </c>
      <c r="X21" s="11" t="s">
        <v>242</v>
      </c>
      <c r="Y21" s="26" t="str">
        <f aca="false">IF((W21="GOOD")=(X21="GOOD"),"○","×")</f>
        <v>○</v>
      </c>
      <c r="Z21" s="18" t="str">
        <f aca="false">계산!V21</f>
        <v>유지관리</v>
      </c>
      <c r="AA21" s="42" t="s">
        <v>244</v>
      </c>
      <c r="AB21" s="26" t="str">
        <f aca="false">IF(Z21=AA21,"○","×")</f>
        <v>○</v>
      </c>
      <c r="AC21" s="18" t="str">
        <f aca="false">계산!X21</f>
        <v>NG</v>
      </c>
      <c r="AD21" s="11" t="s">
        <v>243</v>
      </c>
      <c r="AE21" s="26" t="str">
        <f aca="false">IF(AC21=AD21,"○","×")</f>
        <v>○</v>
      </c>
      <c r="AF21" s="39" t="n">
        <v>0.470421896414447</v>
      </c>
      <c r="AG21" s="17" t="n">
        <f aca="false">계산!M21-AF21</f>
        <v>6.96998014859673E-013</v>
      </c>
      <c r="AH21" s="40" t="n">
        <v>0.00178900462962963</v>
      </c>
      <c r="AI21" s="41" t="n">
        <f aca="false">계산!E21-AH21</f>
        <v>0</v>
      </c>
    </row>
    <row r="22" customFormat="false" ht="15" hidden="false" customHeight="false" outlineLevel="0" collapsed="false">
      <c r="A22" s="27" t="str">
        <f aca="false">계산!A22</f>
        <v>BC-18</v>
      </c>
      <c r="B22" s="28" t="n">
        <f aca="false">계산!F22</f>
        <v>2.19999999999999</v>
      </c>
      <c r="C22" s="29" t="n">
        <v>2.2</v>
      </c>
      <c r="D22" s="30" t="n">
        <f aca="false">B22-C22</f>
        <v>-1.15463194561016E-014</v>
      </c>
      <c r="E22" s="31" t="n">
        <f aca="false">계산!H22</f>
        <v>0.0181808924405249</v>
      </c>
      <c r="F22" s="32" t="n">
        <v>0.0181820918981482</v>
      </c>
      <c r="G22" s="23" t="n">
        <f aca="false">E22-F22</f>
        <v>-1.19945762327295E-006</v>
      </c>
      <c r="H22" s="33" t="n">
        <f aca="false">계산!E22</f>
        <v>0.00178900462962963</v>
      </c>
      <c r="I22" s="13" t="n">
        <v>0.00178900462962963</v>
      </c>
      <c r="J22" s="20" t="n">
        <f aca="false">H22-I22</f>
        <v>0</v>
      </c>
      <c r="K22" s="34" t="n">
        <f aca="false">계산!M22</f>
        <v>0.368313362402937</v>
      </c>
      <c r="L22" s="35" t="n">
        <v>0.369</v>
      </c>
      <c r="M22" s="24" t="n">
        <f aca="false">K22-L22</f>
        <v>-0.000686637597063333</v>
      </c>
      <c r="N22" s="36" t="n">
        <f aca="false">계산!L22</f>
        <v>0.0423761786611419</v>
      </c>
      <c r="O22" s="37" t="n">
        <v>0.0423</v>
      </c>
      <c r="P22" s="22" t="n">
        <f aca="false">N22-O22</f>
        <v>7.61786611419221E-005</v>
      </c>
      <c r="Q22" s="34" t="n">
        <f aca="false">계산!O22</f>
        <v>9.84002647549892</v>
      </c>
      <c r="R22" s="35" t="n">
        <v>9.839</v>
      </c>
      <c r="S22" s="24" t="n">
        <f aca="false">Q22-R22</f>
        <v>0.00102647549892154</v>
      </c>
      <c r="T22" s="38" t="n">
        <f aca="false">계산!N22</f>
        <v>21.188089330571</v>
      </c>
      <c r="U22" s="12" t="n">
        <v>21.17</v>
      </c>
      <c r="V22" s="21" t="n">
        <f aca="false">T22-U22</f>
        <v>0.0180893305709553</v>
      </c>
      <c r="W22" s="18" t="str">
        <f aca="false">계산!S22</f>
        <v>GOOD</v>
      </c>
      <c r="X22" s="11" t="s">
        <v>242</v>
      </c>
      <c r="Y22" s="26" t="str">
        <f aca="false">IF((W22="GOOD")=(X22="GOOD"),"○","×")</f>
        <v>○</v>
      </c>
      <c r="Z22" s="18" t="str">
        <f aca="false">계산!V22</f>
        <v>유지관리</v>
      </c>
      <c r="AA22" s="42" t="s">
        <v>244</v>
      </c>
      <c r="AB22" s="26" t="str">
        <f aca="false">IF(Z22=AA22,"○","×")</f>
        <v>○</v>
      </c>
      <c r="AC22" s="18" t="str">
        <f aca="false">계산!X22</f>
        <v>NG</v>
      </c>
      <c r="AD22" s="11" t="s">
        <v>243</v>
      </c>
      <c r="AE22" s="26" t="str">
        <f aca="false">IF(AC22=AD22,"○","×")</f>
        <v>○</v>
      </c>
      <c r="AF22" s="39" t="n">
        <v>0.368313362403145</v>
      </c>
      <c r="AG22" s="17" t="n">
        <f aca="false">계산!M22-AF22</f>
        <v>-2.08555395175836E-013</v>
      </c>
      <c r="AH22" s="40" t="n">
        <v>0.00178900462962963</v>
      </c>
      <c r="AI22" s="41" t="n">
        <f aca="false">계산!E22-AH22</f>
        <v>0</v>
      </c>
    </row>
    <row r="23" customFormat="false" ht="15" hidden="false" customHeight="false" outlineLevel="0" collapsed="false">
      <c r="A23" s="27" t="str">
        <f aca="false">계산!A23</f>
        <v>BC-19</v>
      </c>
      <c r="B23" s="28" t="n">
        <f aca="false">계산!F23</f>
        <v>8.33333333333404</v>
      </c>
      <c r="C23" s="29" t="n">
        <v>8.33</v>
      </c>
      <c r="D23" s="30" t="n">
        <f aca="false">B23-C23</f>
        <v>0.0033333333340444</v>
      </c>
      <c r="E23" s="31" t="n">
        <f aca="false">계산!H23</f>
        <v>0.0353845139221587</v>
      </c>
      <c r="F23" s="32" t="n">
        <v>0.0353874206018519</v>
      </c>
      <c r="G23" s="23" t="n">
        <f aca="false">E23-F23</f>
        <v>-2.90667969316677E-006</v>
      </c>
      <c r="H23" s="33" t="n">
        <f aca="false">계산!E23</f>
        <v>0.00178900462962963</v>
      </c>
      <c r="I23" s="13" t="n">
        <v>0.00178900462962963</v>
      </c>
      <c r="J23" s="20" t="n">
        <f aca="false">H23-I23</f>
        <v>0</v>
      </c>
      <c r="K23" s="34" t="n">
        <f aca="false">계산!M23</f>
        <v>0.588923928205251</v>
      </c>
      <c r="L23" s="35" t="n">
        <v>0.59</v>
      </c>
      <c r="M23" s="24" t="n">
        <f aca="false">K23-L23</f>
        <v>-0.00107607179474911</v>
      </c>
      <c r="N23" s="36" t="n">
        <f aca="false">계산!L23</f>
        <v>0.0305771845607689</v>
      </c>
      <c r="O23" s="37" t="n">
        <v>0.0305</v>
      </c>
      <c r="P23" s="22" t="n">
        <f aca="false">N23-O23</f>
        <v>7.71845607689461E-005</v>
      </c>
      <c r="Q23" s="34" t="n">
        <f aca="false">계산!O23</f>
        <v>5.05589714632002</v>
      </c>
      <c r="R23" s="35" t="n">
        <v>5.055</v>
      </c>
      <c r="S23" s="24" t="n">
        <f aca="false">Q23-R23</f>
        <v>0.000897146320017583</v>
      </c>
      <c r="T23" s="38" t="n">
        <f aca="false">계산!N23</f>
        <v>15.2885922803845</v>
      </c>
      <c r="U23" s="12" t="n">
        <v>15.26</v>
      </c>
      <c r="V23" s="21" t="n">
        <f aca="false">T23-U23</f>
        <v>0.0285922803844727</v>
      </c>
      <c r="W23" s="18" t="str">
        <f aca="false">계산!S23</f>
        <v>GOOD</v>
      </c>
      <c r="X23" s="11" t="s">
        <v>242</v>
      </c>
      <c r="Y23" s="26" t="str">
        <f aca="false">IF((W23="GOOD")=(X23="GOOD"),"○","×")</f>
        <v>○</v>
      </c>
      <c r="Z23" s="18" t="str">
        <f aca="false">계산!V23</f>
        <v>유지관리</v>
      </c>
      <c r="AA23" s="42" t="s">
        <v>244</v>
      </c>
      <c r="AB23" s="26" t="str">
        <f aca="false">IF(Z23=AA23,"○","×")</f>
        <v>○</v>
      </c>
      <c r="AC23" s="18" t="str">
        <f aca="false">계산!X23</f>
        <v>NG</v>
      </c>
      <c r="AD23" s="11" t="s">
        <v>243</v>
      </c>
      <c r="AE23" s="26" t="str">
        <f aca="false">IF(AC23=AD23,"○","×")</f>
        <v>○</v>
      </c>
      <c r="AF23" s="39" t="n">
        <v>0.588923928207366</v>
      </c>
      <c r="AG23" s="17" t="n">
        <f aca="false">계산!M23-AF23</f>
        <v>-2.11508588421339E-012</v>
      </c>
      <c r="AH23" s="40" t="n">
        <v>0.00178900462962963</v>
      </c>
      <c r="AI23" s="41" t="n">
        <f aca="false">계산!E23-AH23</f>
        <v>0</v>
      </c>
    </row>
    <row r="24" customFormat="false" ht="15" hidden="false" customHeight="false" outlineLevel="0" collapsed="false">
      <c r="A24" s="27" t="str">
        <f aca="false">계산!A24</f>
        <v>BC-20</v>
      </c>
      <c r="B24" s="28" t="n">
        <f aca="false">계산!F24</f>
        <v>5.23809523809521</v>
      </c>
      <c r="C24" s="29" t="n">
        <v>5.24</v>
      </c>
      <c r="D24" s="30" t="n">
        <f aca="false">B24-C24</f>
        <v>-0.00190476190478961</v>
      </c>
      <c r="E24" s="31" t="n">
        <f aca="false">계산!H24</f>
        <v>0.0280537260887346</v>
      </c>
      <c r="F24" s="32" t="n">
        <v>0.0280557364583333</v>
      </c>
      <c r="G24" s="23" t="n">
        <f aca="false">E24-F24</f>
        <v>-2.01036959871642E-006</v>
      </c>
      <c r="H24" s="33" t="n">
        <f aca="false">계산!E24</f>
        <v>0.00178900462962963</v>
      </c>
      <c r="I24" s="13" t="n">
        <v>0.00178900462962963</v>
      </c>
      <c r="J24" s="20" t="n">
        <f aca="false">H24-I24</f>
        <v>0</v>
      </c>
      <c r="K24" s="34" t="n">
        <f aca="false">계산!M24</f>
        <v>0.500211731156842</v>
      </c>
      <c r="L24" s="35" t="n">
        <v>0.496</v>
      </c>
      <c r="M24" s="24" t="n">
        <f aca="false">K24-L24</f>
        <v>0.00421173115684181</v>
      </c>
      <c r="N24" s="36" t="n">
        <f aca="false">계산!L24</f>
        <v>0.0342331026813414</v>
      </c>
      <c r="O24" s="37" t="n">
        <v>0.0344</v>
      </c>
      <c r="P24" s="22" t="n">
        <f aca="false">N24-O24</f>
        <v>-0.00016689731865862</v>
      </c>
      <c r="Q24" s="34" t="n">
        <f aca="false">계산!O24</f>
        <v>6.37706600531767</v>
      </c>
      <c r="R24" s="35" t="n">
        <v>6.377</v>
      </c>
      <c r="S24" s="24" t="n">
        <f aca="false">Q24-R24</f>
        <v>6.60053176719799E-005</v>
      </c>
      <c r="T24" s="38" t="n">
        <f aca="false">계산!N24</f>
        <v>17.1165513406707</v>
      </c>
      <c r="U24" s="12" t="n">
        <v>17.21</v>
      </c>
      <c r="V24" s="21" t="n">
        <f aca="false">T24-U24</f>
        <v>-0.0934486593293116</v>
      </c>
      <c r="W24" s="18" t="str">
        <f aca="false">계산!S24</f>
        <v>GOOD</v>
      </c>
      <c r="X24" s="11" t="s">
        <v>242</v>
      </c>
      <c r="Y24" s="26" t="str">
        <f aca="false">IF((W24="GOOD")=(X24="GOOD"),"○","×")</f>
        <v>○</v>
      </c>
      <c r="Z24" s="18" t="str">
        <f aca="false">계산!V24</f>
        <v>유지관리</v>
      </c>
      <c r="AA24" s="42" t="s">
        <v>244</v>
      </c>
      <c r="AB24" s="26" t="str">
        <f aca="false">IF(Z24=AA24,"○","×")</f>
        <v>○</v>
      </c>
      <c r="AC24" s="18" t="str">
        <f aca="false">계산!X24</f>
        <v>NG</v>
      </c>
      <c r="AD24" s="11" t="s">
        <v>243</v>
      </c>
      <c r="AE24" s="26" t="str">
        <f aca="false">IF(AC24=AD24,"○","×")</f>
        <v>○</v>
      </c>
      <c r="AF24" s="39" t="n">
        <v>0.500211731158086</v>
      </c>
      <c r="AG24" s="17" t="n">
        <f aca="false">계산!M24-AF24</f>
        <v>-1.2445600106048E-012</v>
      </c>
      <c r="AH24" s="40" t="n">
        <v>0.00178900462962963</v>
      </c>
      <c r="AI24" s="41" t="n">
        <f aca="false">계산!E24-AH24</f>
        <v>0</v>
      </c>
    </row>
    <row r="25" customFormat="false" ht="15" hidden="false" customHeight="false" outlineLevel="0" collapsed="false">
      <c r="A25" s="27" t="str">
        <f aca="false">계산!A25</f>
        <v>BC-21</v>
      </c>
      <c r="B25" s="28" t="n">
        <f aca="false">계산!F25</f>
        <v>15.9999999999997</v>
      </c>
      <c r="C25" s="29" t="n">
        <v>16</v>
      </c>
      <c r="D25" s="30" t="n">
        <f aca="false">B25-C25</f>
        <v>-3.39284156325448E-013</v>
      </c>
      <c r="E25" s="31" t="n">
        <f aca="false">계산!H25</f>
        <v>0.0490302207314431</v>
      </c>
      <c r="F25" s="32" t="n">
        <v>0.0490365375</v>
      </c>
      <c r="G25" s="23" t="n">
        <f aca="false">E25-F25</f>
        <v>-6.31676855691182E-006</v>
      </c>
      <c r="H25" s="33" t="n">
        <f aca="false">계산!E25</f>
        <v>0.00178900462962963</v>
      </c>
      <c r="I25" s="13" t="n">
        <v>0.00178900462962963</v>
      </c>
      <c r="J25" s="20" t="n">
        <f aca="false">H25-I25</f>
        <v>0</v>
      </c>
      <c r="K25" s="34" t="n">
        <f aca="false">계산!M25</f>
        <v>0.740371526521848</v>
      </c>
      <c r="L25" s="35" t="n">
        <v>0.741</v>
      </c>
      <c r="M25" s="24" t="n">
        <f aca="false">K25-L25</f>
        <v>-0.000628473478152314</v>
      </c>
      <c r="N25" s="36" t="n">
        <f aca="false">계산!L25</f>
        <v>0.0261217317335215</v>
      </c>
      <c r="O25" s="37" t="n">
        <v>0.0261</v>
      </c>
      <c r="P25" s="22" t="n">
        <f aca="false">N25-O25</f>
        <v>2.17317335214594E-005</v>
      </c>
      <c r="Q25" s="34" t="n">
        <f aca="false">계산!O25</f>
        <v>3.64877947302885</v>
      </c>
      <c r="R25" s="35" t="n">
        <v>3.648</v>
      </c>
      <c r="S25" s="24" t="n">
        <f aca="false">Q25-R25</f>
        <v>0.000779473028847733</v>
      </c>
      <c r="T25" s="38" t="n">
        <f aca="false">계산!N25</f>
        <v>13.0608658667607</v>
      </c>
      <c r="U25" s="12" t="n">
        <v>13.03</v>
      </c>
      <c r="V25" s="21" t="n">
        <f aca="false">T25-U25</f>
        <v>0.0308658667607293</v>
      </c>
      <c r="W25" s="18" t="str">
        <f aca="false">계산!S25</f>
        <v>GOOD</v>
      </c>
      <c r="X25" s="11" t="s">
        <v>242</v>
      </c>
      <c r="Y25" s="26" t="str">
        <f aca="false">IF((W25="GOOD")=(X25="GOOD"),"○","×")</f>
        <v>○</v>
      </c>
      <c r="Z25" s="18" t="str">
        <f aca="false">계산!V25</f>
        <v>GOOD</v>
      </c>
      <c r="AA25" s="11" t="s">
        <v>242</v>
      </c>
      <c r="AB25" s="26" t="str">
        <f aca="false">IF(Z25=AA25,"○","×")</f>
        <v>○</v>
      </c>
      <c r="AC25" s="18" t="str">
        <f aca="false">계산!X25</f>
        <v>NG</v>
      </c>
      <c r="AD25" s="11" t="s">
        <v>243</v>
      </c>
      <c r="AE25" s="26" t="str">
        <f aca="false">IF(AC25=AD25,"○","×")</f>
        <v>○</v>
      </c>
      <c r="AF25" s="39" t="n">
        <v>0.740371526523293</v>
      </c>
      <c r="AG25" s="17" t="n">
        <f aca="false">계산!M25-AF25</f>
        <v>-1.44573242266688E-012</v>
      </c>
      <c r="AH25" s="40" t="n">
        <v>0.00178900462962963</v>
      </c>
      <c r="AI25" s="41" t="n">
        <f aca="false">계산!E25-AH25</f>
        <v>0</v>
      </c>
    </row>
    <row r="26" customFormat="false" ht="15" hidden="false" customHeight="false" outlineLevel="0" collapsed="false">
      <c r="A26" s="27" t="str">
        <f aca="false">계산!A26</f>
        <v>BC-22</v>
      </c>
      <c r="B26" s="28" t="n">
        <f aca="false">계산!F26</f>
        <v>6.66666666666667</v>
      </c>
      <c r="C26" s="29" t="n">
        <v>6.67</v>
      </c>
      <c r="D26" s="30" t="n">
        <f aca="false">B26-C26</f>
        <v>-0.00333333333333297</v>
      </c>
      <c r="E26" s="31" t="n">
        <f aca="false">계산!H26</f>
        <v>0.0316488713922925</v>
      </c>
      <c r="F26" s="32" t="n">
        <v>0.0316512751157407</v>
      </c>
      <c r="G26" s="23" t="n">
        <f aca="false">E26-F26</f>
        <v>-2.40372344829237E-006</v>
      </c>
      <c r="H26" s="33" t="n">
        <f aca="false">계산!E26</f>
        <v>0.00178900462962963</v>
      </c>
      <c r="I26" s="13" t="n">
        <v>0.00178900462962963</v>
      </c>
      <c r="J26" s="20" t="n">
        <f aca="false">H26-I26</f>
        <v>0</v>
      </c>
      <c r="K26" s="34" t="n">
        <f aca="false">계산!M26</f>
        <v>0.544503814666864</v>
      </c>
      <c r="L26" s="35" t="n">
        <v>0.544</v>
      </c>
      <c r="M26" s="24" t="n">
        <f aca="false">K26-L26</f>
        <v>0.000503814666863778</v>
      </c>
      <c r="N26" s="36" t="n">
        <f aca="false">계산!L26</f>
        <v>0.032279603285301</v>
      </c>
      <c r="O26" s="37" t="n">
        <v>0.0323</v>
      </c>
      <c r="P26" s="22" t="n">
        <f aca="false">N26-O26</f>
        <v>-2.03967146990489E-005</v>
      </c>
      <c r="Q26" s="34" t="n">
        <f aca="false">계산!O26</f>
        <v>5.65266485320962</v>
      </c>
      <c r="R26" s="35" t="n">
        <v>5.652</v>
      </c>
      <c r="S26" s="24" t="n">
        <f aca="false">Q26-R26</f>
        <v>0.000664853209621619</v>
      </c>
      <c r="T26" s="38" t="n">
        <f aca="false">계산!N26</f>
        <v>16.1398016426505</v>
      </c>
      <c r="U26" s="12" t="n">
        <v>16.15</v>
      </c>
      <c r="V26" s="21" t="n">
        <f aca="false">T26-U26</f>
        <v>-0.0101983573495232</v>
      </c>
      <c r="W26" s="18" t="str">
        <f aca="false">계산!S26</f>
        <v>GOOD</v>
      </c>
      <c r="X26" s="11" t="s">
        <v>242</v>
      </c>
      <c r="Y26" s="26" t="str">
        <f aca="false">IF((W26="GOOD")=(X26="GOOD"),"○","×")</f>
        <v>○</v>
      </c>
      <c r="Z26" s="18" t="str">
        <f aca="false">계산!V26</f>
        <v>유지관리</v>
      </c>
      <c r="AA26" s="42" t="s">
        <v>244</v>
      </c>
      <c r="AB26" s="26" t="str">
        <f aca="false">IF(Z26=AA26,"○","×")</f>
        <v>○</v>
      </c>
      <c r="AC26" s="18" t="str">
        <f aca="false">계산!X26</f>
        <v>NG</v>
      </c>
      <c r="AD26" s="11" t="s">
        <v>243</v>
      </c>
      <c r="AE26" s="26" t="str">
        <f aca="false">IF(AC26=AD26,"○","×")</f>
        <v>○</v>
      </c>
      <c r="AF26" s="39" t="n">
        <v>0.544503814666558</v>
      </c>
      <c r="AG26" s="17" t="n">
        <f aca="false">계산!M26-AF26</f>
        <v>3.05533376376843E-013</v>
      </c>
      <c r="AH26" s="40" t="n">
        <v>0.00178900462962963</v>
      </c>
      <c r="AI26" s="41" t="n">
        <f aca="false">계산!E26-AH26</f>
        <v>0</v>
      </c>
    </row>
    <row r="27" customFormat="false" ht="15" hidden="false" customHeight="false" outlineLevel="0" collapsed="false">
      <c r="A27" s="27" t="str">
        <f aca="false">계산!A27</f>
        <v>BC-23</v>
      </c>
      <c r="B27" s="28" t="n">
        <f aca="false">계산!F27</f>
        <v>2.4</v>
      </c>
      <c r="C27" s="29" t="n">
        <v>2.4</v>
      </c>
      <c r="D27" s="30" t="n">
        <f aca="false">B27-C27</f>
        <v>0</v>
      </c>
      <c r="E27" s="31" t="n">
        <f aca="false">계산!H27</f>
        <v>0.0189893228353755</v>
      </c>
      <c r="F27" s="32" t="n">
        <v>0.0189905802083333</v>
      </c>
      <c r="G27" s="23" t="n">
        <f aca="false">E27-F27</f>
        <v>-1.25737295787395E-006</v>
      </c>
      <c r="H27" s="33" t="n">
        <f aca="false">계산!E27</f>
        <v>0.00178900462962963</v>
      </c>
      <c r="I27" s="13" t="n">
        <v>0.00178900462962963</v>
      </c>
      <c r="J27" s="20" t="n">
        <f aca="false">H27-I27</f>
        <v>0</v>
      </c>
      <c r="K27" s="34" t="n">
        <f aca="false">계산!M27</f>
        <v>0.379824130580263</v>
      </c>
      <c r="L27" s="35" t="n">
        <v>0.38</v>
      </c>
      <c r="M27" s="24" t="n">
        <f aca="false">K27-L27</f>
        <v>-0.000175869419736852</v>
      </c>
      <c r="N27" s="36" t="n">
        <f aca="false">계산!L27</f>
        <v>0.0414720622906942</v>
      </c>
      <c r="O27" s="37" t="n">
        <v>0.0414</v>
      </c>
      <c r="P27" s="22" t="n">
        <f aca="false">N27-O27</f>
        <v>7.20622906941609E-005</v>
      </c>
      <c r="Q27" s="34" t="n">
        <f aca="false">계산!O27</f>
        <v>9.42110808868271</v>
      </c>
      <c r="R27" s="35" t="n">
        <v>9.42</v>
      </c>
      <c r="S27" s="24" t="n">
        <f aca="false">Q27-R27</f>
        <v>0.00110808868270951</v>
      </c>
      <c r="T27" s="38" t="n">
        <f aca="false">계산!N27</f>
        <v>20.7360311453471</v>
      </c>
      <c r="U27" s="12" t="n">
        <v>20.72</v>
      </c>
      <c r="V27" s="21" t="n">
        <f aca="false">T27-U27</f>
        <v>0.0160311453470783</v>
      </c>
      <c r="W27" s="18" t="str">
        <f aca="false">계산!S27</f>
        <v>GOOD</v>
      </c>
      <c r="X27" s="11" t="s">
        <v>242</v>
      </c>
      <c r="Y27" s="26" t="str">
        <f aca="false">IF((W27="GOOD")=(X27="GOOD"),"○","×")</f>
        <v>○</v>
      </c>
      <c r="Z27" s="18" t="str">
        <f aca="false">계산!V27</f>
        <v>유지관리</v>
      </c>
      <c r="AA27" s="42" t="s">
        <v>244</v>
      </c>
      <c r="AB27" s="26" t="str">
        <f aca="false">IF(Z27=AA27,"○","×")</f>
        <v>○</v>
      </c>
      <c r="AC27" s="18" t="str">
        <f aca="false">계산!X27</f>
        <v>NG</v>
      </c>
      <c r="AD27" s="11" t="s">
        <v>243</v>
      </c>
      <c r="AE27" s="26" t="str">
        <f aca="false">IF(AC27=AD27,"○","×")</f>
        <v>○</v>
      </c>
      <c r="AF27" s="39" t="n">
        <v>0.379824130580651</v>
      </c>
      <c r="AG27" s="17" t="n">
        <f aca="false">계산!M27-AF27</f>
        <v>-3.87523346745411E-013</v>
      </c>
      <c r="AH27" s="40" t="n">
        <v>0.00178900462962963</v>
      </c>
      <c r="AI27" s="41" t="n">
        <f aca="false">계산!E27-AH27</f>
        <v>0</v>
      </c>
    </row>
    <row r="28" customFormat="false" ht="15" hidden="false" customHeight="false" outlineLevel="0" collapsed="false">
      <c r="A28" s="27" t="str">
        <f aca="false">계산!A28</f>
        <v>BC-24</v>
      </c>
      <c r="B28" s="28" t="n">
        <f aca="false">계산!F28</f>
        <v>10.8</v>
      </c>
      <c r="C28" s="29" t="n">
        <v>10.8</v>
      </c>
      <c r="D28" s="30" t="n">
        <f aca="false">B28-C28</f>
        <v>0</v>
      </c>
      <c r="E28" s="31" t="n">
        <f aca="false">계산!H28</f>
        <v>0.0402824368411036</v>
      </c>
      <c r="F28" s="32" t="n">
        <v>0.0402862209490741</v>
      </c>
      <c r="G28" s="23" t="n">
        <f aca="false">E28-F28</f>
        <v>-3.78410797043788E-006</v>
      </c>
      <c r="H28" s="33" t="n">
        <f aca="false">계산!E28</f>
        <v>0.00178900462962963</v>
      </c>
      <c r="I28" s="13" t="n">
        <v>0.00178900462962963</v>
      </c>
      <c r="J28" s="20" t="n">
        <f aca="false">H28-I28</f>
        <v>0</v>
      </c>
      <c r="K28" s="34" t="n">
        <f aca="false">계산!M28</f>
        <v>0.64505044946971</v>
      </c>
      <c r="L28" s="35" t="n">
        <v>0.648</v>
      </c>
      <c r="M28" s="24" t="n">
        <f aca="false">K28-L28</f>
        <v>-0.00294955053029045</v>
      </c>
      <c r="N28" s="36" t="n">
        <f aca="false">계산!L28</f>
        <v>0.0287174365443398</v>
      </c>
      <c r="O28" s="37" t="n">
        <v>0.0286</v>
      </c>
      <c r="P28" s="22" t="n">
        <f aca="false">N28-O28</f>
        <v>0.00011743654433977</v>
      </c>
      <c r="Q28" s="34" t="n">
        <f aca="false">계산!O28</f>
        <v>4.44115294386599</v>
      </c>
      <c r="R28" s="35" t="n">
        <v>4.441</v>
      </c>
      <c r="S28" s="24" t="n">
        <f aca="false">Q28-R28</f>
        <v>0.0001529438659853</v>
      </c>
      <c r="T28" s="38" t="n">
        <f aca="false">계산!N28</f>
        <v>14.3587182721699</v>
      </c>
      <c r="U28" s="12" t="n">
        <v>14.32</v>
      </c>
      <c r="V28" s="21" t="n">
        <f aca="false">T28-U28</f>
        <v>0.0387182721698842</v>
      </c>
      <c r="W28" s="18" t="str">
        <f aca="false">계산!S28</f>
        <v>GOOD</v>
      </c>
      <c r="X28" s="11" t="s">
        <v>242</v>
      </c>
      <c r="Y28" s="26" t="str">
        <f aca="false">IF((W28="GOOD")=(X28="GOOD"),"○","×")</f>
        <v>○</v>
      </c>
      <c r="Z28" s="18" t="str">
        <f aca="false">계산!V28</f>
        <v>GOOD</v>
      </c>
      <c r="AA28" s="11" t="s">
        <v>242</v>
      </c>
      <c r="AB28" s="26" t="str">
        <f aca="false">IF(Z28=AA28,"○","×")</f>
        <v>○</v>
      </c>
      <c r="AC28" s="18" t="str">
        <f aca="false">계산!X28</f>
        <v>NG</v>
      </c>
      <c r="AD28" s="11" t="s">
        <v>243</v>
      </c>
      <c r="AE28" s="26" t="str">
        <f aca="false">IF(AC28=AD28,"○","×")</f>
        <v>○</v>
      </c>
      <c r="AF28" s="39" t="n">
        <v>0.645050449470697</v>
      </c>
      <c r="AG28" s="17" t="n">
        <f aca="false">계산!M28-AF28</f>
        <v>-9.87210313496689E-013</v>
      </c>
      <c r="AH28" s="40" t="n">
        <v>0.00178900462962963</v>
      </c>
      <c r="AI28" s="41" t="n">
        <f aca="false">계산!E28-AH28</f>
        <v>0</v>
      </c>
    </row>
    <row r="29" customFormat="false" ht="15" hidden="false" customHeight="false" outlineLevel="0" collapsed="false">
      <c r="A29" s="27" t="str">
        <f aca="false">계산!A29</f>
        <v>BC-25</v>
      </c>
      <c r="B29" s="28" t="n">
        <f aca="false">계산!F29</f>
        <v>4.00000000000001</v>
      </c>
      <c r="C29" s="29" t="n">
        <v>4</v>
      </c>
      <c r="D29" s="30" t="n">
        <f aca="false">B29-C29</f>
        <v>0</v>
      </c>
      <c r="E29" s="31" t="n">
        <f aca="false">계산!H29</f>
        <v>0.0245151103657218</v>
      </c>
      <c r="F29" s="32" t="n">
        <v>0.0245167965277778</v>
      </c>
      <c r="G29" s="23" t="n">
        <f aca="false">E29-F29</f>
        <v>-1.68616205594579E-006</v>
      </c>
      <c r="H29" s="33" t="n">
        <f aca="false">계산!E29</f>
        <v>0.00178900462962963</v>
      </c>
      <c r="I29" s="13" t="n">
        <v>0.00178900462962963</v>
      </c>
      <c r="J29" s="20" t="n">
        <f aca="false">H29-I29</f>
        <v>0</v>
      </c>
      <c r="K29" s="34" t="n">
        <f aca="false">계산!M29</f>
        <v>0.454883529882759</v>
      </c>
      <c r="L29" s="35" t="n">
        <v>0.456</v>
      </c>
      <c r="M29" s="24" t="n">
        <f aca="false">K29-L29</f>
        <v>-0.0011164701172407</v>
      </c>
      <c r="N29" s="36" t="n">
        <f aca="false">계산!L29</f>
        <v>0.0365676706068408</v>
      </c>
      <c r="O29" s="37" t="n">
        <v>0.0365</v>
      </c>
      <c r="P29" s="22" t="n">
        <f aca="false">N29-O29</f>
        <v>6.7670606840764E-005</v>
      </c>
      <c r="Q29" s="34" t="n">
        <f aca="false">계산!O29</f>
        <v>7.29755894605761</v>
      </c>
      <c r="R29" s="35" t="n">
        <v>7.297</v>
      </c>
      <c r="S29" s="24" t="n">
        <f aca="false">Q29-R29</f>
        <v>0.000558946057608978</v>
      </c>
      <c r="T29" s="38" t="n">
        <f aca="false">계산!N29</f>
        <v>18.2838353034204</v>
      </c>
      <c r="U29" s="12" t="n">
        <v>18.26</v>
      </c>
      <c r="V29" s="21" t="n">
        <f aca="false">T29-U29</f>
        <v>0.0238353034203769</v>
      </c>
      <c r="W29" s="18" t="str">
        <f aca="false">계산!S29</f>
        <v>GOOD</v>
      </c>
      <c r="X29" s="11" t="s">
        <v>242</v>
      </c>
      <c r="Y29" s="26" t="str">
        <f aca="false">IF((W29="GOOD")=(X29="GOOD"),"○","×")</f>
        <v>○</v>
      </c>
      <c r="Z29" s="18" t="str">
        <f aca="false">계산!V29</f>
        <v>유지관리</v>
      </c>
      <c r="AA29" s="42" t="s">
        <v>244</v>
      </c>
      <c r="AB29" s="26" t="str">
        <f aca="false">IF(Z29=AA29,"○","×")</f>
        <v>○</v>
      </c>
      <c r="AC29" s="18" t="str">
        <f aca="false">계산!X29</f>
        <v>NG</v>
      </c>
      <c r="AD29" s="11" t="s">
        <v>243</v>
      </c>
      <c r="AE29" s="26" t="str">
        <f aca="false">IF(AC29=AD29,"○","×")</f>
        <v>○</v>
      </c>
      <c r="AF29" s="39" t="n">
        <v>0.45488352988336</v>
      </c>
      <c r="AG29" s="17" t="n">
        <f aca="false">계산!M29-AF29</f>
        <v>-6.00297589414822E-013</v>
      </c>
      <c r="AH29" s="40" t="n">
        <v>0.00178900462962963</v>
      </c>
      <c r="AI29" s="41" t="n">
        <f aca="false">계산!E29-AH29</f>
        <v>0</v>
      </c>
    </row>
    <row r="30" customFormat="false" ht="15" hidden="false" customHeight="false" outlineLevel="0" collapsed="false">
      <c r="A30" s="27" t="str">
        <f aca="false">계산!A30</f>
        <v>BC-26</v>
      </c>
      <c r="B30" s="28" t="n">
        <f aca="false">계산!F30</f>
        <v>1.38888888888891</v>
      </c>
      <c r="C30" s="29" t="n">
        <v>1.39</v>
      </c>
      <c r="D30" s="30" t="n">
        <f aca="false">B30-C30</f>
        <v>-0.0011111111110913</v>
      </c>
      <c r="E30" s="31" t="n">
        <f aca="false">계산!H30</f>
        <v>0.0144456673176155</v>
      </c>
      <c r="F30" s="32" t="n">
        <v>0.0144466103009259</v>
      </c>
      <c r="G30" s="23" t="n">
        <f aca="false">E30-F30</f>
        <v>-9.42983310403892E-007</v>
      </c>
      <c r="H30" s="33" t="n">
        <f aca="false">계산!E30</f>
        <v>0.00178900462962963</v>
      </c>
      <c r="I30" s="13" t="n">
        <v>0.00178900462962963</v>
      </c>
      <c r="J30" s="20" t="n">
        <f aca="false">H30-I30</f>
        <v>0</v>
      </c>
      <c r="K30" s="34" t="n">
        <f aca="false">계산!M30</f>
        <v>0.31291719644904</v>
      </c>
      <c r="L30" s="35" t="n">
        <v>0.313</v>
      </c>
      <c r="M30" s="24" t="n">
        <f aca="false">K30-L30</f>
        <v>-8.2803550959798E-005</v>
      </c>
      <c r="N30" s="36" t="n">
        <f aca="false">계산!L30</f>
        <v>0.0475273545499154</v>
      </c>
      <c r="O30" s="37" t="n">
        <v>0.0475</v>
      </c>
      <c r="P30" s="22" t="n">
        <f aca="false">N30-O30</f>
        <v>2.73545499153566E-005</v>
      </c>
      <c r="Q30" s="34" t="n">
        <f aca="false">계산!O30</f>
        <v>12.3843682004781</v>
      </c>
      <c r="R30" s="35" t="n">
        <v>12.384</v>
      </c>
      <c r="S30" s="24" t="n">
        <f aca="false">Q30-R30</f>
        <v>0.000368200478066072</v>
      </c>
      <c r="T30" s="38" t="n">
        <f aca="false">계산!N30</f>
        <v>23.7636772749577</v>
      </c>
      <c r="U30" s="12" t="n">
        <v>23.76</v>
      </c>
      <c r="V30" s="21" t="n">
        <f aca="false">T30-U30</f>
        <v>0.00367727495767767</v>
      </c>
      <c r="W30" s="18" t="str">
        <f aca="false">계산!S30</f>
        <v>GOOD</v>
      </c>
      <c r="X30" s="11" t="s">
        <v>242</v>
      </c>
      <c r="Y30" s="26" t="str">
        <f aca="false">IF((W30="GOOD")=(X30="GOOD"),"○","×")</f>
        <v>○</v>
      </c>
      <c r="Z30" s="18" t="str">
        <f aca="false">계산!V30</f>
        <v>유지관리</v>
      </c>
      <c r="AA30" s="42" t="s">
        <v>244</v>
      </c>
      <c r="AB30" s="26" t="str">
        <f aca="false">IF(Z30=AA30,"○","×")</f>
        <v>○</v>
      </c>
      <c r="AC30" s="18" t="str">
        <f aca="false">계산!X30</f>
        <v>NG</v>
      </c>
      <c r="AD30" s="11" t="s">
        <v>243</v>
      </c>
      <c r="AE30" s="26" t="str">
        <f aca="false">IF(AC30=AD30,"○","×")</f>
        <v>○</v>
      </c>
      <c r="AF30" s="39" t="n">
        <v>0.312917196448617</v>
      </c>
      <c r="AG30" s="17" t="n">
        <f aca="false">계산!M30-AF30</f>
        <v>4.23716617348191E-013</v>
      </c>
      <c r="AH30" s="40" t="n">
        <v>0.00178900462962963</v>
      </c>
      <c r="AI30" s="41" t="n">
        <f aca="false">계산!E30-AH30</f>
        <v>0</v>
      </c>
    </row>
    <row r="31" customFormat="false" ht="15" hidden="false" customHeight="false" outlineLevel="0" collapsed="false">
      <c r="A31" s="27" t="str">
        <f aca="false">계산!A31</f>
        <v>BC-27</v>
      </c>
      <c r="B31" s="28" t="n">
        <f aca="false">계산!F31</f>
        <v>0.769230769230753</v>
      </c>
      <c r="C31" s="29" t="n">
        <v>0.77</v>
      </c>
      <c r="D31" s="30" t="n">
        <f aca="false">B31-C31</f>
        <v>-0.000769230769247176</v>
      </c>
      <c r="E31" s="31" t="n">
        <f aca="false">계산!H31</f>
        <v>0.0107505870702265</v>
      </c>
      <c r="F31" s="32" t="n">
        <v>0.0107512855324074</v>
      </c>
      <c r="G31" s="23" t="n">
        <f aca="false">E31-F31</f>
        <v>-6.98462180931045E-007</v>
      </c>
      <c r="H31" s="33" t="n">
        <f aca="false">계산!E31</f>
        <v>0.00178900462962963</v>
      </c>
      <c r="I31" s="13" t="n">
        <v>0.00178900462962963</v>
      </c>
      <c r="J31" s="20" t="n">
        <f aca="false">H31-I31</f>
        <v>0</v>
      </c>
      <c r="K31" s="34" t="n">
        <f aca="false">계산!M31</f>
        <v>0.25356507529916</v>
      </c>
      <c r="L31" s="35" t="n">
        <v>0.253</v>
      </c>
      <c r="M31" s="24" t="n">
        <f aca="false">K31-L31</f>
        <v>0.000565075299160112</v>
      </c>
      <c r="N31" s="36" t="n">
        <f aca="false">계산!L31</f>
        <v>0.0551887229897329</v>
      </c>
      <c r="O31" s="37" t="n">
        <v>0.0552</v>
      </c>
      <c r="P31" s="22" t="n">
        <f aca="false">N31-O31</f>
        <v>-1.12770102670967E-005</v>
      </c>
      <c r="Q31" s="34" t="n">
        <f aca="false">계산!O31</f>
        <v>16.6409947470147</v>
      </c>
      <c r="R31" s="35" t="n">
        <v>16.64</v>
      </c>
      <c r="S31" s="24" t="n">
        <f aca="false">Q31-R31</f>
        <v>0.000994747014701147</v>
      </c>
      <c r="T31" s="38" t="n">
        <f aca="false">계산!N31</f>
        <v>27.5943614948664</v>
      </c>
      <c r="U31" s="12" t="n">
        <v>27.61</v>
      </c>
      <c r="V31" s="21" t="n">
        <f aca="false">T31-U31</f>
        <v>-0.0156385051335519</v>
      </c>
      <c r="W31" s="18" t="str">
        <f aca="false">계산!S31</f>
        <v>GOOD</v>
      </c>
      <c r="X31" s="11" t="s">
        <v>242</v>
      </c>
      <c r="Y31" s="26" t="str">
        <f aca="false">IF((W31="GOOD")=(X31="GOOD"),"○","×")</f>
        <v>○</v>
      </c>
      <c r="Z31" s="18" t="str">
        <f aca="false">계산!V31</f>
        <v>NG(V)0.3↓</v>
      </c>
      <c r="AA31" s="11" t="s">
        <v>245</v>
      </c>
      <c r="AB31" s="26" t="str">
        <f aca="false">IF(Z31=AA31,"○","×")</f>
        <v>○</v>
      </c>
      <c r="AC31" s="18" t="str">
        <f aca="false">계산!X31</f>
        <v>NG</v>
      </c>
      <c r="AD31" s="11" t="s">
        <v>243</v>
      </c>
      <c r="AE31" s="26" t="str">
        <f aca="false">IF(AC31=AD31,"○","×")</f>
        <v>○</v>
      </c>
      <c r="AF31" s="39" t="n">
        <v>0.253565075299119</v>
      </c>
      <c r="AG31" s="17" t="n">
        <f aca="false">계산!M31-AF31</f>
        <v>4.0689673852512E-014</v>
      </c>
      <c r="AH31" s="40" t="n">
        <v>0.00178900462962963</v>
      </c>
      <c r="AI31" s="41" t="n">
        <f aca="false">계산!E31-AH31</f>
        <v>0</v>
      </c>
    </row>
    <row r="32" customFormat="false" ht="15" hidden="false" customHeight="false" outlineLevel="0" collapsed="false">
      <c r="A32" s="27" t="str">
        <f aca="false">계산!A32</f>
        <v>BC-28</v>
      </c>
      <c r="B32" s="28" t="n">
        <f aca="false">계산!F32</f>
        <v>2.50000000000004</v>
      </c>
      <c r="C32" s="29" t="n">
        <v>2.5</v>
      </c>
      <c r="D32" s="30" t="n">
        <f aca="false">B32-C32</f>
        <v>3.5527136788005E-014</v>
      </c>
      <c r="E32" s="31" t="n">
        <f aca="false">계산!H32</f>
        <v>0.0193808964615212</v>
      </c>
      <c r="F32" s="32" t="n">
        <v>0.0193821829861111</v>
      </c>
      <c r="G32" s="23" t="n">
        <f aca="false">E32-F32</f>
        <v>-1.28652458989201E-006</v>
      </c>
      <c r="H32" s="33" t="n">
        <f aca="false">계산!E32</f>
        <v>0.00178900462962963</v>
      </c>
      <c r="I32" s="13" t="n">
        <v>0.00178900462962963</v>
      </c>
      <c r="J32" s="20" t="n">
        <f aca="false">H32-I32</f>
        <v>0</v>
      </c>
      <c r="K32" s="34" t="n">
        <f aca="false">계산!M32</f>
        <v>0.385345438791902</v>
      </c>
      <c r="L32" s="35" t="n">
        <v>0.386</v>
      </c>
      <c r="M32" s="24" t="n">
        <f aca="false">K32-L32</f>
        <v>-0.000654561208097815</v>
      </c>
      <c r="N32" s="36" t="n">
        <f aca="false">계산!L32</f>
        <v>0.0410551260753933</v>
      </c>
      <c r="O32" s="37" t="n">
        <v>0.041</v>
      </c>
      <c r="P32" s="22" t="n">
        <f aca="false">N32-O32</f>
        <v>5.51260753932983E-005</v>
      </c>
      <c r="Q32" s="34" t="n">
        <f aca="false">계산!O32</f>
        <v>9.2307630515519</v>
      </c>
      <c r="R32" s="35" t="n">
        <v>9.23</v>
      </c>
      <c r="S32" s="24" t="n">
        <f aca="false">Q32-R32</f>
        <v>0.000763051551897931</v>
      </c>
      <c r="T32" s="38" t="n">
        <f aca="false">계산!N32</f>
        <v>20.5275630376967</v>
      </c>
      <c r="U32" s="12" t="n">
        <v>20.51</v>
      </c>
      <c r="V32" s="21" t="n">
        <f aca="false">T32-U32</f>
        <v>0.0175630376966502</v>
      </c>
      <c r="W32" s="18" t="str">
        <f aca="false">계산!S32</f>
        <v>GOOD</v>
      </c>
      <c r="X32" s="11" t="s">
        <v>242</v>
      </c>
      <c r="Y32" s="26" t="str">
        <f aca="false">IF((W32="GOOD")=(X32="GOOD"),"○","×")</f>
        <v>○</v>
      </c>
      <c r="Z32" s="18" t="str">
        <f aca="false">계산!V32</f>
        <v>유지관리</v>
      </c>
      <c r="AA32" s="42" t="s">
        <v>244</v>
      </c>
      <c r="AB32" s="26" t="str">
        <f aca="false">IF(Z32=AA32,"○","×")</f>
        <v>○</v>
      </c>
      <c r="AC32" s="18" t="str">
        <f aca="false">계산!X32</f>
        <v>NG</v>
      </c>
      <c r="AD32" s="11" t="s">
        <v>243</v>
      </c>
      <c r="AE32" s="26" t="str">
        <f aca="false">IF(AC32=AD32,"○","×")</f>
        <v>○</v>
      </c>
      <c r="AF32" s="39" t="n">
        <v>0.385345438790967</v>
      </c>
      <c r="AG32" s="17" t="n">
        <f aca="false">계산!M32-AF32</f>
        <v>9.35418409397926E-013</v>
      </c>
      <c r="AH32" s="40" t="n">
        <v>0.00178900462962963</v>
      </c>
      <c r="AI32" s="41" t="n">
        <f aca="false">계산!E32-AH32</f>
        <v>0</v>
      </c>
    </row>
    <row r="33" customFormat="false" ht="15" hidden="false" customHeight="false" outlineLevel="0" collapsed="false">
      <c r="A33" s="27" t="str">
        <f aca="false">계산!A33</f>
        <v>BC-29</v>
      </c>
      <c r="B33" s="28" t="n">
        <f aca="false">계산!F33</f>
        <v>2.49999999999995</v>
      </c>
      <c r="C33" s="29" t="n">
        <v>2.5</v>
      </c>
      <c r="D33" s="30" t="n">
        <f aca="false">B33-C33</f>
        <v>-5.32907051820075E-014</v>
      </c>
      <c r="E33" s="31" t="n">
        <f aca="false">계산!H33</f>
        <v>0.0193808964615209</v>
      </c>
      <c r="F33" s="32" t="n">
        <v>0.0193821829861111</v>
      </c>
      <c r="G33" s="23" t="n">
        <f aca="false">E33-F33</f>
        <v>-1.28652459023548E-006</v>
      </c>
      <c r="H33" s="33" t="n">
        <f aca="false">계산!E33</f>
        <v>0.00178900462962963</v>
      </c>
      <c r="I33" s="13" t="n">
        <v>0.00178900462962963</v>
      </c>
      <c r="J33" s="20" t="n">
        <f aca="false">H33-I33</f>
        <v>0</v>
      </c>
      <c r="K33" s="34" t="n">
        <f aca="false">계산!M33</f>
        <v>0.385345438791902</v>
      </c>
      <c r="L33" s="35" t="n">
        <v>0.386</v>
      </c>
      <c r="M33" s="24" t="n">
        <f aca="false">K33-L33</f>
        <v>-0.000654561208097815</v>
      </c>
      <c r="N33" s="36" t="n">
        <f aca="false">계산!L33</f>
        <v>0.0410551260753933</v>
      </c>
      <c r="O33" s="37" t="n">
        <v>0.041</v>
      </c>
      <c r="P33" s="22" t="n">
        <f aca="false">N33-O33</f>
        <v>5.51260753932983E-005</v>
      </c>
      <c r="Q33" s="34" t="n">
        <f aca="false">계산!O33</f>
        <v>9.23076305155206</v>
      </c>
      <c r="R33" s="35" t="n">
        <v>9.23</v>
      </c>
      <c r="S33" s="24" t="n">
        <f aca="false">Q33-R33</f>
        <v>0.000763051552063132</v>
      </c>
      <c r="T33" s="38" t="n">
        <f aca="false">계산!N33</f>
        <v>20.5275630376967</v>
      </c>
      <c r="U33" s="12" t="n">
        <v>20.51</v>
      </c>
      <c r="V33" s="21" t="n">
        <f aca="false">T33-U33</f>
        <v>0.0175630376966502</v>
      </c>
      <c r="W33" s="18" t="str">
        <f aca="false">계산!S33</f>
        <v>GOOD</v>
      </c>
      <c r="X33" s="11" t="s">
        <v>242</v>
      </c>
      <c r="Y33" s="26" t="str">
        <f aca="false">IF((W33="GOOD")=(X33="GOOD"),"○","×")</f>
        <v>○</v>
      </c>
      <c r="Z33" s="18" t="str">
        <f aca="false">계산!V33</f>
        <v>유지관리</v>
      </c>
      <c r="AA33" s="42" t="s">
        <v>244</v>
      </c>
      <c r="AB33" s="26" t="str">
        <f aca="false">IF(Z33=AA33,"○","×")</f>
        <v>○</v>
      </c>
      <c r="AC33" s="18" t="str">
        <f aca="false">계산!X33</f>
        <v>NG</v>
      </c>
      <c r="AD33" s="11" t="s">
        <v>243</v>
      </c>
      <c r="AE33" s="26" t="str">
        <f aca="false">IF(AC33=AD33,"○","×")</f>
        <v>○</v>
      </c>
      <c r="AF33" s="39" t="n">
        <v>0.385345438790962</v>
      </c>
      <c r="AG33" s="17" t="n">
        <f aca="false">계산!M33-AF33</f>
        <v>9.40303390706276E-013</v>
      </c>
      <c r="AH33" s="40" t="n">
        <v>0.00178900462962963</v>
      </c>
      <c r="AI33" s="41" t="n">
        <f aca="false">계산!E33-AH33</f>
        <v>0</v>
      </c>
    </row>
    <row r="34" customFormat="false" ht="15" hidden="false" customHeight="false" outlineLevel="0" collapsed="false">
      <c r="A34" s="27" t="str">
        <f aca="false">계산!A34</f>
        <v>BC-30</v>
      </c>
      <c r="B34" s="28" t="n">
        <f aca="false">계산!F34</f>
        <v>3.57142857142862</v>
      </c>
      <c r="C34" s="29" t="n">
        <v>3.57</v>
      </c>
      <c r="D34" s="30" t="n">
        <f aca="false">B34-C34</f>
        <v>0.00142857142862241</v>
      </c>
      <c r="E34" s="31" t="n">
        <f aca="false">계산!H34</f>
        <v>0.0231646019253579</v>
      </c>
      <c r="F34" s="32" t="n">
        <v>0.0231661761574074</v>
      </c>
      <c r="G34" s="23" t="n">
        <f aca="false">E34-F34</f>
        <v>-1.57423204953308E-006</v>
      </c>
      <c r="H34" s="33" t="n">
        <f aca="false">계산!E34</f>
        <v>0.00178900462962963</v>
      </c>
      <c r="I34" s="13" t="n">
        <v>0.00178900462962963</v>
      </c>
      <c r="J34" s="20" t="n">
        <f aca="false">H34-I34</f>
        <v>0</v>
      </c>
      <c r="K34" s="34" t="n">
        <f aca="false">계산!M34</f>
        <v>0.437064299729986</v>
      </c>
      <c r="L34" s="35" t="n">
        <v>0.438</v>
      </c>
      <c r="M34" s="24" t="n">
        <f aca="false">K34-L34</f>
        <v>-0.000935700270013606</v>
      </c>
      <c r="N34" s="36" t="n">
        <f aca="false">계산!L34</f>
        <v>0.0375991431254597</v>
      </c>
      <c r="O34" s="37" t="n">
        <v>0.0375</v>
      </c>
      <c r="P34" s="22" t="n">
        <f aca="false">N34-O34</f>
        <v>9.91431254596595E-005</v>
      </c>
      <c r="Q34" s="34" t="n">
        <f aca="false">계산!O34</f>
        <v>7.72301045964118</v>
      </c>
      <c r="R34" s="35" t="n">
        <v>7.722</v>
      </c>
      <c r="S34" s="24" t="n">
        <f aca="false">Q34-R34</f>
        <v>0.00101045964117574</v>
      </c>
      <c r="T34" s="38" t="n">
        <f aca="false">계산!N34</f>
        <v>18.7995715627298</v>
      </c>
      <c r="U34" s="12" t="n">
        <v>18.77</v>
      </c>
      <c r="V34" s="21" t="n">
        <f aca="false">T34-U34</f>
        <v>0.0295715627298279</v>
      </c>
      <c r="W34" s="18" t="str">
        <f aca="false">계산!S34</f>
        <v>GOOD</v>
      </c>
      <c r="X34" s="11" t="s">
        <v>242</v>
      </c>
      <c r="Y34" s="26" t="str">
        <f aca="false">IF((W34="GOOD")=(X34="GOOD"),"○","×")</f>
        <v>○</v>
      </c>
      <c r="Z34" s="18" t="str">
        <f aca="false">계산!V34</f>
        <v>유지관리</v>
      </c>
      <c r="AA34" s="42" t="s">
        <v>244</v>
      </c>
      <c r="AB34" s="26" t="str">
        <f aca="false">IF(Z34=AA34,"○","×")</f>
        <v>○</v>
      </c>
      <c r="AC34" s="18" t="str">
        <f aca="false">계산!X34</f>
        <v>NG</v>
      </c>
      <c r="AD34" s="11" t="s">
        <v>243</v>
      </c>
      <c r="AE34" s="26" t="str">
        <f aca="false">IF(AC34=AD34,"○","×")</f>
        <v>○</v>
      </c>
      <c r="AF34" s="39" t="n">
        <v>0.437064299729521</v>
      </c>
      <c r="AG34" s="17" t="n">
        <f aca="false">계산!M34-AF34</f>
        <v>4.65183447317941E-013</v>
      </c>
      <c r="AH34" s="40" t="n">
        <v>0.00178900462962963</v>
      </c>
      <c r="AI34" s="41" t="n">
        <f aca="false">계산!E34-AH34</f>
        <v>0</v>
      </c>
    </row>
    <row r="36" customFormat="false" ht="15" hidden="false" customHeight="false" outlineLevel="0" collapsed="false">
      <c r="A36" s="43" t="s">
        <v>246</v>
      </c>
      <c r="B36" s="44"/>
      <c r="C36" s="44"/>
      <c r="D36" s="45" t="n">
        <f aca="false">MAX(MAX(D5:D34),-MIN(D5:D34))</f>
        <v>0.0033333333340444</v>
      </c>
      <c r="E36" s="44"/>
      <c r="F36" s="44"/>
      <c r="G36" s="45" t="n">
        <f aca="false">MAX(MAX(G5:G34),-MIN(G5:G34))</f>
        <v>1.44661238515795E-005</v>
      </c>
      <c r="H36" s="44"/>
      <c r="I36" s="44"/>
      <c r="J36" s="45" t="n">
        <f aca="false">MAX(MAX(J5:J34),-MIN(J5:J34))</f>
        <v>-0</v>
      </c>
      <c r="K36" s="44"/>
      <c r="L36" s="44"/>
      <c r="M36" s="45" t="n">
        <f aca="false">MAX(MAX(M5:M34),-MIN(M5:M34))</f>
        <v>0.00421173115684181</v>
      </c>
      <c r="N36" s="44"/>
      <c r="O36" s="44"/>
      <c r="P36" s="45" t="n">
        <f aca="false">MAX(MAX(P5:P34),-MIN(P5:P34))</f>
        <v>0.00016689731865862</v>
      </c>
      <c r="Q36" s="44"/>
      <c r="R36" s="44"/>
      <c r="S36" s="45" t="n">
        <f aca="false">MAX(MAX(S5:S34),-MIN(S5:S34))</f>
        <v>0.00110808868270951</v>
      </c>
      <c r="T36" s="44"/>
      <c r="U36" s="44"/>
      <c r="V36" s="45" t="n">
        <f aca="false">MAX(MAX(V5:V34),-MIN(V5:V34))</f>
        <v>0.0934486593293116</v>
      </c>
      <c r="W36" s="44"/>
      <c r="X36" s="44"/>
      <c r="Y36" s="43" t="str">
        <f aca="false">COUNTIF(Y5:Y34,"○")&amp;" / 30 일치"</f>
        <v>30 / 30 일치</v>
      </c>
      <c r="Z36" s="44"/>
      <c r="AA36" s="44"/>
      <c r="AB36" s="43" t="str">
        <f aca="false">COUNTIF(AB5:AB34,"○")&amp;" / 30 일치"</f>
        <v>30 / 30 일치</v>
      </c>
      <c r="AC36" s="44"/>
      <c r="AD36" s="44"/>
      <c r="AE36" s="43" t="str">
        <f aca="false">COUNTIF(AE5:AE34,"○")&amp;" / 30 일치"</f>
        <v>30 / 30 일치</v>
      </c>
      <c r="AF36" s="44"/>
      <c r="AG36" s="44"/>
      <c r="AH36" s="44"/>
      <c r="AI36" s="44"/>
      <c r="AJ36" s="44"/>
      <c r="AK36" s="44"/>
      <c r="AL36" s="44"/>
      <c r="AM36" s="44"/>
    </row>
    <row r="37" customFormat="false" ht="15" hidden="false" customHeight="false" outlineLevel="0" collapsed="false">
      <c r="A37" s="43" t="s">
        <v>247</v>
      </c>
      <c r="B37" s="44"/>
      <c r="C37" s="44"/>
      <c r="D37" s="46" t="n">
        <v>0.05</v>
      </c>
      <c r="E37" s="44"/>
      <c r="F37" s="44"/>
      <c r="G37" s="46" t="n">
        <v>2E-005</v>
      </c>
      <c r="H37" s="44"/>
      <c r="I37" s="44"/>
      <c r="J37" s="46" t="n">
        <v>5E-007</v>
      </c>
      <c r="K37" s="44"/>
      <c r="L37" s="44"/>
      <c r="M37" s="46" t="n">
        <v>0.005</v>
      </c>
      <c r="N37" s="44"/>
      <c r="O37" s="44"/>
      <c r="P37" s="46" t="n">
        <v>0.0002</v>
      </c>
      <c r="Q37" s="44"/>
      <c r="R37" s="44"/>
      <c r="S37" s="46" t="n">
        <v>0.002</v>
      </c>
      <c r="T37" s="44"/>
      <c r="U37" s="44"/>
      <c r="V37" s="46" t="n">
        <v>0.1</v>
      </c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</row>
    <row r="38" customFormat="false" ht="15" hidden="false" customHeight="false" outlineLevel="0" collapsed="false">
      <c r="A38" s="43" t="s">
        <v>248</v>
      </c>
      <c r="B38" s="44"/>
      <c r="C38" s="44"/>
      <c r="D38" s="44" t="str">
        <f aca="false">IF(D36&lt;=D37+0.0000000001,"○","×")</f>
        <v>○</v>
      </c>
      <c r="E38" s="44"/>
      <c r="F38" s="44"/>
      <c r="G38" s="44" t="str">
        <f aca="false">IF(G36&lt;=G37+0.0000000001,"○","×")</f>
        <v>○</v>
      </c>
      <c r="H38" s="44"/>
      <c r="I38" s="44"/>
      <c r="J38" s="44" t="str">
        <f aca="false">IF(J36&lt;=J37+0.0000000001,"○","×")</f>
        <v>○</v>
      </c>
      <c r="K38" s="44"/>
      <c r="L38" s="44"/>
      <c r="M38" s="44" t="str">
        <f aca="false">IF(M36&lt;=M37+0.0000000001,"○","×")</f>
        <v>○</v>
      </c>
      <c r="N38" s="44"/>
      <c r="O38" s="44"/>
      <c r="P38" s="44" t="str">
        <f aca="false">IF(P36&lt;=P37+0.0000000001,"○","×")</f>
        <v>○</v>
      </c>
      <c r="Q38" s="44"/>
      <c r="R38" s="44"/>
      <c r="S38" s="44" t="str">
        <f aca="false">IF(S36&lt;=S37+0.0000000001,"○","×")</f>
        <v>○</v>
      </c>
      <c r="T38" s="44"/>
      <c r="U38" s="44"/>
      <c r="V38" s="44" t="str">
        <f aca="false">IF(V36&lt;=V37+0.0000000001,"○","×")</f>
        <v>○</v>
      </c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2026-10-21T06:19:50Z</dcterms:created>
  <dc:creator>openpyxl</dc:creator>
  <dc:description/>
  <dc:language>en-US</dc:language>
  <cp:lastModifiedBy/>
  <dcterms:modified xsi:type="dcterms:W3CDTF">2026-10-21T06:19:50Z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