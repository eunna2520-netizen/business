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Y:\1.JPM토목서버(civil)\01. jpm토목 자료 백업\1.하수도부\0.★★★수행중인과업방★★★\58.한림읍 관내 농로 보수공사 실시설계용역\4.성과품\3.24.06.07 - 협재리 입구 수정\3.내역 -06.07\01-1.금능리\"/>
    </mc:Choice>
  </mc:AlternateContent>
  <bookViews>
    <workbookView xWindow="0" yWindow="0" windowWidth="28800" windowHeight="12285"/>
  </bookViews>
  <sheets>
    <sheet name="공기산정" sheetId="1" r:id="rId1"/>
    <sheet name="별표1-공유일" sheetId="6" r:id="rId2"/>
    <sheet name="별표2-비작업일수" sheetId="7" r:id="rId3"/>
  </sheets>
  <definedNames>
    <definedName name="_xlnm.Print_Area" localSheetId="0">공기산정!$A$1:$V$39</definedName>
    <definedName name="내선전공">#REF!</definedName>
    <definedName name="보통인부">#REF!</definedName>
    <definedName name="프랜트전공">#REF!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0" i="1" l="1"/>
  <c r="F19" i="1"/>
  <c r="F24" i="1"/>
  <c r="F22" i="1"/>
  <c r="F21" i="1"/>
  <c r="U3" i="1"/>
  <c r="F23" i="1" l="1"/>
  <c r="F25" i="1" s="1"/>
  <c r="F26" i="1" s="1"/>
  <c r="F27" i="1" s="1"/>
  <c r="F28" i="1" s="1"/>
  <c r="F29" i="1" s="1"/>
  <c r="AB27" i="1" l="1"/>
  <c r="AC27" i="1"/>
  <c r="AD27" i="1"/>
  <c r="AE27" i="1"/>
  <c r="AF27" i="1"/>
  <c r="AG27" i="1"/>
  <c r="AH27" i="1"/>
  <c r="AI27" i="1"/>
  <c r="AJ27" i="1"/>
  <c r="AK27" i="1"/>
  <c r="AL27" i="1"/>
  <c r="AM27" i="1"/>
  <c r="AB28" i="1"/>
  <c r="AC28" i="1"/>
  <c r="AD28" i="1"/>
  <c r="AE28" i="1"/>
  <c r="AF28" i="1"/>
  <c r="AG28" i="1"/>
  <c r="AH28" i="1"/>
  <c r="AI28" i="1"/>
  <c r="AJ28" i="1"/>
  <c r="AK28" i="1"/>
  <c r="AL28" i="1"/>
  <c r="AM28" i="1"/>
  <c r="AB29" i="1"/>
  <c r="AC29" i="1"/>
  <c r="AD29" i="1"/>
  <c r="AE29" i="1"/>
  <c r="AF29" i="1"/>
  <c r="AG29" i="1"/>
  <c r="AH29" i="1"/>
  <c r="AI29" i="1"/>
  <c r="AJ29" i="1"/>
  <c r="AK29" i="1"/>
  <c r="AL29" i="1"/>
  <c r="AM29" i="1"/>
  <c r="AB30" i="1"/>
  <c r="AC30" i="1"/>
  <c r="AD30" i="1"/>
  <c r="AE30" i="1"/>
  <c r="AF30" i="1"/>
  <c r="AG30" i="1"/>
  <c r="AH30" i="1"/>
  <c r="AI30" i="1"/>
  <c r="AJ30" i="1"/>
  <c r="AK30" i="1"/>
  <c r="AL30" i="1"/>
  <c r="AM30" i="1"/>
  <c r="AB19" i="1"/>
  <c r="AC19" i="1"/>
  <c r="AD19" i="1"/>
  <c r="AE19" i="1"/>
  <c r="AF19" i="1"/>
  <c r="AG19" i="1"/>
  <c r="AH19" i="1"/>
  <c r="AI19" i="1"/>
  <c r="AJ19" i="1"/>
  <c r="AK19" i="1"/>
  <c r="AL19" i="1"/>
  <c r="AM19" i="1"/>
  <c r="AB20" i="1"/>
  <c r="AB23" i="1" s="1"/>
  <c r="AC20" i="1"/>
  <c r="AC23" i="1" s="1"/>
  <c r="AD20" i="1"/>
  <c r="AE20" i="1"/>
  <c r="AF20" i="1"/>
  <c r="AG20" i="1"/>
  <c r="AH20" i="1"/>
  <c r="AI20" i="1"/>
  <c r="AJ20" i="1"/>
  <c r="AK20" i="1"/>
  <c r="AL20" i="1"/>
  <c r="AM20" i="1"/>
  <c r="AB21" i="1"/>
  <c r="AC21" i="1"/>
  <c r="AD21" i="1"/>
  <c r="AE21" i="1"/>
  <c r="AF21" i="1"/>
  <c r="AG21" i="1"/>
  <c r="AH21" i="1"/>
  <c r="AI21" i="1"/>
  <c r="AJ21" i="1"/>
  <c r="AK21" i="1"/>
  <c r="AL21" i="1"/>
  <c r="AM21" i="1"/>
  <c r="AB22" i="1"/>
  <c r="AC22" i="1"/>
  <c r="AD22" i="1"/>
  <c r="AE22" i="1"/>
  <c r="AF22" i="1"/>
  <c r="AG22" i="1"/>
  <c r="AH22" i="1"/>
  <c r="AI22" i="1"/>
  <c r="AJ22" i="1"/>
  <c r="AK22" i="1"/>
  <c r="AL22" i="1"/>
  <c r="AM22" i="1"/>
  <c r="AM23" i="1" l="1"/>
  <c r="AF31" i="1"/>
  <c r="AE31" i="1"/>
  <c r="AJ23" i="1"/>
  <c r="AB31" i="1"/>
  <c r="AM31" i="1"/>
  <c r="AG31" i="1"/>
  <c r="AH23" i="1"/>
  <c r="AD23" i="1"/>
  <c r="AK23" i="1"/>
  <c r="AL31" i="1"/>
  <c r="AH31" i="1"/>
  <c r="AN30" i="1"/>
  <c r="AC31" i="1"/>
  <c r="AN28" i="1"/>
  <c r="AE23" i="1"/>
  <c r="AJ31" i="1"/>
  <c r="AI31" i="1"/>
  <c r="AL23" i="1"/>
  <c r="AD31" i="1"/>
  <c r="AK31" i="1"/>
  <c r="AN27" i="1"/>
  <c r="AI23" i="1"/>
  <c r="AF23" i="1"/>
  <c r="AN22" i="1"/>
  <c r="AN20" i="1"/>
  <c r="AN19" i="1"/>
  <c r="AG23" i="1"/>
  <c r="AN31" i="1" l="1"/>
  <c r="AN23" i="1"/>
  <c r="O15" i="7" l="1"/>
  <c r="N15" i="7"/>
  <c r="M15" i="7"/>
  <c r="L15" i="7"/>
  <c r="K15" i="7"/>
  <c r="J15" i="7"/>
  <c r="I15" i="7"/>
  <c r="H15" i="7"/>
  <c r="G15" i="7"/>
  <c r="F15" i="7"/>
  <c r="E15" i="7"/>
  <c r="D15" i="7"/>
  <c r="P14" i="7"/>
  <c r="P11" i="7"/>
  <c r="P10" i="7"/>
  <c r="P9" i="7"/>
  <c r="P8" i="7"/>
  <c r="P7" i="7"/>
  <c r="P6" i="7"/>
  <c r="P5" i="7"/>
  <c r="P24" i="7"/>
  <c r="P25" i="7"/>
  <c r="P26" i="7"/>
  <c r="P27" i="7"/>
  <c r="P28" i="7"/>
  <c r="O29" i="7"/>
  <c r="N29" i="7"/>
  <c r="M29" i="7"/>
  <c r="L29" i="7"/>
  <c r="K29" i="7"/>
  <c r="J29" i="7"/>
  <c r="I29" i="7"/>
  <c r="H29" i="7"/>
  <c r="G29" i="7"/>
  <c r="F29" i="7"/>
  <c r="E29" i="7"/>
  <c r="D29" i="7"/>
  <c r="P23" i="7"/>
  <c r="P22" i="7"/>
  <c r="P21" i="7"/>
  <c r="P19" i="7"/>
  <c r="P15" i="7" l="1"/>
  <c r="P29" i="7"/>
  <c r="U18" i="1" l="1"/>
  <c r="U24" i="1"/>
  <c r="K16" i="1" s="1"/>
  <c r="U22" i="1" l="1"/>
  <c r="U19" i="1"/>
  <c r="U20" i="1"/>
  <c r="U21" i="1" l="1"/>
  <c r="U23" i="1" l="1"/>
  <c r="I16" i="1" s="1"/>
  <c r="U25" i="1" l="1"/>
  <c r="U26" i="1" l="1"/>
  <c r="M16" i="1" s="1"/>
  <c r="O16" i="1" s="1"/>
  <c r="U27" i="1" l="1"/>
  <c r="T15" i="1" s="1"/>
  <c r="U28" i="1" l="1"/>
  <c r="T36" i="1" s="1"/>
  <c r="U29" i="1" l="1"/>
  <c r="G4" i="1"/>
  <c r="U4" i="1"/>
  <c r="K34" i="1" s="1"/>
  <c r="O34" i="1" s="1"/>
</calcChain>
</file>

<file path=xl/sharedStrings.xml><?xml version="1.0" encoding="utf-8"?>
<sst xmlns="http://schemas.openxmlformats.org/spreadsheetml/2006/main" count="218" uniqueCount="124">
  <si>
    <t>1.</t>
    <phoneticPr fontId="6" type="noConversion"/>
  </si>
  <si>
    <t>공사기간</t>
    <phoneticPr fontId="6" type="noConversion"/>
  </si>
  <si>
    <t>일</t>
    <phoneticPr fontId="6" type="noConversion"/>
  </si>
  <si>
    <t>준비기간</t>
    <phoneticPr fontId="6" type="noConversion"/>
  </si>
  <si>
    <t>비작업일수</t>
    <phoneticPr fontId="6" type="noConversion"/>
  </si>
  <si>
    <t>일</t>
    <phoneticPr fontId="6" type="noConversion"/>
  </si>
  <si>
    <t>작업일수</t>
    <phoneticPr fontId="6" type="noConversion"/>
  </si>
  <si>
    <t>일</t>
    <phoneticPr fontId="6" type="noConversion"/>
  </si>
  <si>
    <t>구 분</t>
    <phoneticPr fontId="6" type="noConversion"/>
  </si>
  <si>
    <t>3월</t>
  </si>
  <si>
    <t>4월</t>
  </si>
  <si>
    <t>5월</t>
  </si>
  <si>
    <t>6월</t>
  </si>
  <si>
    <t>7월</t>
  </si>
  <si>
    <t>8월</t>
  </si>
  <si>
    <t>9월</t>
  </si>
  <si>
    <t>10월</t>
  </si>
  <si>
    <t>11월</t>
  </si>
  <si>
    <t>12월</t>
  </si>
  <si>
    <t>소 계</t>
    <phoneticPr fontId="6" type="noConversion"/>
  </si>
  <si>
    <t>강   우</t>
    <phoneticPr fontId="6" type="noConversion"/>
  </si>
  <si>
    <t>달력일수</t>
    <phoneticPr fontId="6" type="noConversion"/>
  </si>
  <si>
    <t>적용</t>
    <phoneticPr fontId="6" type="noConversion"/>
  </si>
  <si>
    <t>혹서기</t>
  </si>
  <si>
    <t>비작업일수</t>
    <phoneticPr fontId="6" type="noConversion"/>
  </si>
  <si>
    <t>작업일수</t>
    <phoneticPr fontId="6" type="noConversion"/>
  </si>
  <si>
    <t>가동률(%)</t>
    <phoneticPr fontId="6" type="noConversion"/>
  </si>
  <si>
    <t>일</t>
    <phoneticPr fontId="6" type="noConversion"/>
  </si>
  <si>
    <t>[참고] 공사 유형별 준비기간 예시</t>
  </si>
  <si>
    <t>공종</t>
  </si>
  <si>
    <t>준비기간</t>
  </si>
  <si>
    <t>공동주택</t>
  </si>
  <si>
    <t>30일</t>
  </si>
  <si>
    <t>강교가설공사</t>
  </si>
  <si>
    <t>90일</t>
  </si>
  <si>
    <t>도로개량공사</t>
  </si>
  <si>
    <t>40일</t>
  </si>
  <si>
    <t>PC교량 공사</t>
  </si>
  <si>
    <t>70일</t>
  </si>
  <si>
    <t>포장공사(신설)</t>
  </si>
  <si>
    <t>50일</t>
  </si>
  <si>
    <t>교량보수공사</t>
  </si>
  <si>
    <t>60일</t>
  </si>
  <si>
    <t>포장공사(수선)</t>
  </si>
  <si>
    <t>하천공사</t>
  </si>
  <si>
    <t>공동구공사</t>
  </si>
  <si>
    <t>80일</t>
  </si>
  <si>
    <t>항만공사</t>
  </si>
  <si>
    <t>정리기간</t>
    <phoneticPr fontId="6" type="noConversion"/>
  </si>
  <si>
    <t>바   람</t>
    <phoneticPr fontId="6" type="noConversion"/>
  </si>
  <si>
    <t>가.</t>
    <phoneticPr fontId="5" type="noConversion"/>
  </si>
  <si>
    <t>나.</t>
    <phoneticPr fontId="5" type="noConversion"/>
  </si>
  <si>
    <t>다.</t>
    <phoneticPr fontId="5" type="noConversion"/>
  </si>
  <si>
    <t>라.</t>
    <phoneticPr fontId="5" type="noConversion"/>
  </si>
  <si>
    <t>* 준공전 1개월의 범위에서 계상</t>
    <phoneticPr fontId="6" type="noConversion"/>
  </si>
  <si>
    <t>구분</t>
  </si>
  <si>
    <t>혹서기 : 35°C 이상</t>
  </si>
  <si>
    <t>동절기 : 신적설 5㎝ 이상</t>
  </si>
  <si>
    <t>별표 1. 법정 공휴일수(2019-2028년)</t>
    <phoneticPr fontId="6" type="noConversion"/>
  </si>
  <si>
    <t>번호</t>
  </si>
  <si>
    <t>월간 법정공휴일</t>
  </si>
  <si>
    <t>소계</t>
  </si>
  <si>
    <t>1월</t>
  </si>
  <si>
    <t>2월</t>
  </si>
  <si>
    <t>2019년</t>
  </si>
  <si>
    <t>2020년</t>
  </si>
  <si>
    <t>2021년</t>
  </si>
  <si>
    <t>2022년</t>
  </si>
  <si>
    <t>2023년</t>
  </si>
  <si>
    <t>2024년</t>
  </si>
  <si>
    <t>2025년</t>
  </si>
  <si>
    <t>2026년</t>
  </si>
  <si>
    <t>2027년</t>
  </si>
  <si>
    <t>2028년</t>
  </si>
  <si>
    <t>※ 관공서의 공휴일</t>
  </si>
  <si>
    <t>별표 2. 기상상태에 따른 지역별 비작업일수(2008년-2017년)</t>
    <phoneticPr fontId="6" type="noConversion"/>
  </si>
  <si>
    <t>지역</t>
  </si>
  <si>
    <t>월평균 기상데이터</t>
  </si>
  <si>
    <t>서귀포</t>
  </si>
  <si>
    <t>※ 공휴일은 「관공서의 공휴일에 관한 규정」에 따른 관공서의 공휴일과 「근로기준법」에 따른 근로자의 날을 적용. 단, 공직선거법 제34조에 따른 임기만료에 따른 선거의 선거일과 기타 정부에서 수시 지정하는 날은 매년 불규칙하므로 비작업일수 산정에서 제외</t>
  </si>
  <si>
    <t>· 일요일(52일)</t>
    <phoneticPr fontId="6" type="noConversion"/>
  </si>
  <si>
    <t>· 명절(6일) : 설 연휴, 추석 연휴(대체공휴일 시행)</t>
  </si>
  <si>
    <t>· 국경일(4일) : 3·1절, 광복절, 개천절, 한글날</t>
  </si>
  <si>
    <t xml:space="preserve">· 기타(5일) : 1월 1일, 5월 5일(대체공휴일 시행), 6월 6일, 부처님 오신 날(음력 4월 8일), 12월 25일 </t>
  </si>
  <si>
    <t>· 공직선거법 제34조에 따른 임기만료에 따른 선거의 선거일</t>
  </si>
  <si>
    <t>· 기타 정부에서 수시 지정하는 날</t>
  </si>
  <si>
    <t>혹서기
 33°C 이상</t>
    <phoneticPr fontId="5" type="noConversion"/>
  </si>
  <si>
    <t>혹서기
35°C 이상</t>
    <phoneticPr fontId="5" type="noConversion"/>
  </si>
  <si>
    <t>동절기
일최고기온 0°C 이하</t>
    <phoneticPr fontId="5" type="noConversion"/>
  </si>
  <si>
    <t>동절기
신적설 5㎝ 이상</t>
    <phoneticPr fontId="5" type="noConversion"/>
  </si>
  <si>
    <t>동절기 : 일최고기온 0°C 이하 및 신적설 5㎝ 이상</t>
    <phoneticPr fontId="5" type="noConversion"/>
  </si>
  <si>
    <t>동절기 : 일최저기온 -12°C 이하</t>
    <phoneticPr fontId="5" type="noConversion"/>
  </si>
  <si>
    <t>일강수량 : 5㎜ 이상</t>
    <phoneticPr fontId="5" type="noConversion"/>
  </si>
  <si>
    <t>일강수량 : 10㎜ 이상</t>
    <phoneticPr fontId="5" type="noConversion"/>
  </si>
  <si>
    <t>일강수량 : 20㎜ 이상</t>
    <phoneticPr fontId="5" type="noConversion"/>
  </si>
  <si>
    <t>일최대순간풍속 : 15m/s 이상</t>
    <phoneticPr fontId="5" type="noConversion"/>
  </si>
  <si>
    <t>비 고</t>
    <phoneticPr fontId="5" type="noConversion"/>
  </si>
  <si>
    <t>년</t>
    <phoneticPr fontId="5" type="noConversion"/>
  </si>
  <si>
    <t>적  용</t>
    <phoneticPr fontId="5" type="noConversion"/>
  </si>
  <si>
    <t>제주</t>
    <phoneticPr fontId="5" type="noConversion"/>
  </si>
  <si>
    <t>동절기</t>
    <phoneticPr fontId="5" type="noConversion"/>
  </si>
  <si>
    <t>서귀포</t>
    <phoneticPr fontId="5" type="noConversion"/>
  </si>
  <si>
    <t>강   우 : 일강수량 20㎜ 이상</t>
    <phoneticPr fontId="5" type="noConversion"/>
  </si>
  <si>
    <t>바   람 : 일최대순간풍속 15m/s 이상</t>
    <phoneticPr fontId="6" type="noConversion"/>
  </si>
  <si>
    <t>소계(A)</t>
    <phoneticPr fontId="6" type="noConversion"/>
  </si>
  <si>
    <t>공휴일수(B)</t>
    <phoneticPr fontId="6" type="noConversion"/>
  </si>
  <si>
    <t>중복일수©</t>
    <phoneticPr fontId="6" type="noConversion"/>
  </si>
  <si>
    <t>1) 비작업일수 (A+B-C)</t>
    <phoneticPr fontId="5" type="noConversion"/>
  </si>
  <si>
    <t>+</t>
    <phoneticPr fontId="5" type="noConversion"/>
  </si>
  <si>
    <t>-</t>
    <phoneticPr fontId="5" type="noConversion"/>
  </si>
  <si>
    <t>=</t>
    <phoneticPr fontId="5" type="noConversion"/>
  </si>
  <si>
    <t>x</t>
    <phoneticPr fontId="5" type="noConversion"/>
  </si>
  <si>
    <t>2) 주 40시간 근무제에 따른 비작업일수 = 8일/월</t>
    <phoneticPr fontId="5" type="noConversion"/>
  </si>
  <si>
    <t>별표2 참조</t>
    <phoneticPr fontId="5" type="noConversion"/>
  </si>
  <si>
    <t>별표1 참조</t>
    <phoneticPr fontId="5" type="noConversion"/>
  </si>
  <si>
    <t>별표2 참조</t>
    <phoneticPr fontId="5" type="noConversion"/>
  </si>
  <si>
    <t>작업일수 참조</t>
    <phoneticPr fontId="5" type="noConversion"/>
  </si>
  <si>
    <t>비고</t>
    <phoneticPr fontId="6" type="noConversion"/>
  </si>
  <si>
    <t>제주</t>
    <phoneticPr fontId="5" type="noConversion"/>
  </si>
  <si>
    <t>구분</t>
    <phoneticPr fontId="5" type="noConversion"/>
  </si>
  <si>
    <t>동절기</t>
  </si>
  <si>
    <t>강   우</t>
  </si>
  <si>
    <t>바   람</t>
  </si>
  <si>
    <t>공사기간 산정</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</si>
</sst>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1" formatCode="_-* #,##0_-;\-* #,##0_-;_-* &quot;-&quot;_-;_-@_-"/>
    <numFmt numFmtId="176" formatCode="0.0_ "/>
    <numFmt numFmtId="177" formatCode="&quot;x &quot;0.0"/>
    <numFmt numFmtId="178" formatCode="&quot;/ &quot;\ 0.0\ "/>
    <numFmt numFmtId="179" formatCode="0_);[Red]\(0\)"/>
    <numFmt numFmtId="180" formatCode="_-* #,##0.0_-;\-* #,##0.0_-;_-* &quot;-&quot;_-;_-@_-"/>
    <numFmt numFmtId="181" formatCode="0.0_);[Red]\(0.0\)"/>
    <numFmt numFmtId="182" formatCode="0.0%"/>
    <numFmt numFmtId="183" formatCode="_-* #,##0.0_-;\-* #,##0.0_-;_-* &quot;-&quot;?_-;_-@_-"/>
    <numFmt numFmtId="184" formatCode="0_ "/>
    <numFmt numFmtId="185" formatCode="0&quot;일&quot;"/>
    <numFmt numFmtId="186" formatCode="0&quot;월&quot;"/>
  </numFmts>
  <fonts count="20" x14ac:knownFonts="1">
    <font>
      <sz val="11"/>
      <color indexed="8"/>
      <name val="맑은 고딕"/>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5"/>
      <color theme="1"/>
      <name val="제주명조"/>
      <family val="3"/>
      <charset val="129"/>
    </font>
    <font>
      <sz val="8"/>
      <name val="맑은 고딕"/>
      <family val="3"/>
      <charset val="129"/>
    </font>
    <font>
      <sz val="8"/>
      <name val="맑은 고딕"/>
      <family val="2"/>
      <charset val="129"/>
      <scheme val="minor"/>
    </font>
    <font>
      <sz val="9"/>
      <color theme="1"/>
      <name val="제주명조"/>
      <family val="3"/>
      <charset val="129"/>
    </font>
    <font>
      <sz val="9"/>
      <color rgb="FF000000"/>
      <name val="제주명조"/>
      <family val="3"/>
      <charset val="129"/>
    </font>
    <font>
      <sz val="11"/>
      <name val="제주명조"/>
      <family val="3"/>
      <charset val="129"/>
    </font>
    <font>
      <sz val="10"/>
      <name val="제주명조"/>
      <family val="3"/>
      <charset val="129"/>
    </font>
    <font>
      <sz val="10"/>
      <color theme="1"/>
      <name val="제주명조"/>
      <family val="3"/>
      <charset val="129"/>
    </font>
    <font>
      <sz val="15"/>
      <name val="제주명조"/>
      <family val="3"/>
      <charset val="129"/>
    </font>
    <font>
      <b/>
      <sz val="10"/>
      <name val="제주명조"/>
      <family val="3"/>
      <charset val="129"/>
    </font>
    <font>
      <b/>
      <sz val="10"/>
      <color theme="1"/>
      <name val="제주명조"/>
      <family val="3"/>
      <charset val="129"/>
    </font>
    <font>
      <sz val="13"/>
      <name val="제주명조"/>
      <family val="3"/>
      <charset val="129"/>
    </font>
    <font>
      <sz val="8"/>
      <color theme="1"/>
      <name val="제주명조"/>
      <family val="3"/>
      <charset val="129"/>
    </font>
    <font>
      <b/>
      <sz val="9"/>
      <color theme="1"/>
      <name val="제주명조"/>
      <family val="3"/>
      <charset val="129"/>
    </font>
    <font>
      <sz val="9"/>
      <name val="제주명조"/>
      <family val="3"/>
      <charset val="129"/>
    </font>
    <font>
      <b/>
      <sz val="9"/>
      <name val="제주명조"/>
      <family val="3"/>
      <charset val="129"/>
    </font>
  </fonts>
  <fills count="4">
    <fill>
      <patternFill patternType="none"/>
    </fill>
    <fill>
      <patternFill patternType="gray125"/>
    </fill>
    <fill>
      <patternFill patternType="solid">
        <fgColor rgb="FFE7F4F6"/>
        <bgColor indexed="64"/>
      </patternFill>
    </fill>
    <fill>
      <patternFill patternType="solid">
        <fgColor theme="7"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auto="1"/>
      </right>
      <top/>
      <bottom style="thin">
        <color auto="1"/>
      </bottom>
      <diagonal/>
    </border>
    <border>
      <left/>
      <right/>
      <top style="thin">
        <color rgb="FF000000"/>
      </top>
      <bottom style="thin">
        <color rgb="FF000000"/>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top/>
      <bottom style="thin">
        <color indexed="64"/>
      </bottom>
      <diagonal/>
    </border>
  </borders>
  <cellStyleXfs count="5">
    <xf numFmtId="0" fontId="0"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2" fillId="0" borderId="0" applyFont="0" applyFill="0" applyBorder="0" applyAlignment="0" applyProtection="0">
      <alignment vertical="center"/>
    </xf>
    <xf numFmtId="41" fontId="1" fillId="0" borderId="0" applyFont="0" applyFill="0" applyBorder="0" applyAlignment="0" applyProtection="0">
      <alignment vertical="center"/>
    </xf>
  </cellStyleXfs>
  <cellXfs count="90">
    <xf numFmtId="0" fontId="0" fillId="0" borderId="0" xfId="0">
      <alignment vertical="center"/>
    </xf>
    <xf numFmtId="0" fontId="4" fillId="0" borderId="0" xfId="0" applyFont="1" applyFill="1">
      <alignment vertical="center"/>
    </xf>
    <xf numFmtId="176" fontId="7" fillId="0" borderId="0" xfId="0" quotePrefix="1" applyNumberFormat="1" applyFont="1" applyFill="1" applyAlignment="1">
      <alignment horizontal="center" vertical="center"/>
    </xf>
    <xf numFmtId="0" fontId="7" fillId="0" borderId="0" xfId="0" applyFont="1" applyFill="1">
      <alignment vertical="center"/>
    </xf>
    <xf numFmtId="176" fontId="7" fillId="0" borderId="0" xfId="0" applyNumberFormat="1" applyFont="1" applyFill="1" applyAlignment="1">
      <alignment horizontal="center" vertical="center"/>
    </xf>
    <xf numFmtId="41" fontId="7" fillId="0" borderId="0" xfId="1" applyFont="1" applyFill="1">
      <alignment vertical="center"/>
    </xf>
    <xf numFmtId="176" fontId="7" fillId="0" borderId="0" xfId="0" quotePrefix="1" applyNumberFormat="1" applyFont="1" applyFill="1" applyAlignment="1">
      <alignment horizontal="left" vertical="center"/>
    </xf>
    <xf numFmtId="0" fontId="7" fillId="0" borderId="0" xfId="0" applyFont="1" applyFill="1" applyAlignment="1">
      <alignment horizontal="center" vertical="center"/>
    </xf>
    <xf numFmtId="177" fontId="7" fillId="0" borderId="0" xfId="0" applyNumberFormat="1" applyFont="1" applyFill="1" applyAlignment="1">
      <alignment horizontal="center" vertical="center"/>
    </xf>
    <xf numFmtId="178" fontId="7" fillId="0" borderId="0" xfId="0" applyNumberFormat="1" applyFont="1" applyFill="1" applyAlignment="1">
      <alignment horizontal="center" vertical="center"/>
    </xf>
    <xf numFmtId="179" fontId="7" fillId="0" borderId="0" xfId="0" applyNumberFormat="1" applyFont="1" applyFill="1">
      <alignment vertical="center"/>
    </xf>
    <xf numFmtId="41" fontId="7" fillId="0" borderId="3" xfId="1" applyFont="1" applyFill="1" applyBorder="1" applyAlignment="1">
      <alignment vertical="center"/>
    </xf>
    <xf numFmtId="41" fontId="7" fillId="0" borderId="5" xfId="1" applyFont="1" applyFill="1" applyBorder="1" applyAlignment="1">
      <alignment vertical="center"/>
    </xf>
    <xf numFmtId="179" fontId="7" fillId="0" borderId="1" xfId="0" applyNumberFormat="1" applyFont="1" applyFill="1" applyBorder="1" applyAlignment="1">
      <alignment vertical="center"/>
    </xf>
    <xf numFmtId="179" fontId="7" fillId="0" borderId="1" xfId="1" applyNumberFormat="1" applyFont="1" applyFill="1" applyBorder="1" applyAlignment="1">
      <alignment vertical="center"/>
    </xf>
    <xf numFmtId="0" fontId="7" fillId="0" borderId="6" xfId="0" applyFont="1" applyFill="1" applyBorder="1" applyAlignment="1">
      <alignment horizontal="center" vertical="center"/>
    </xf>
    <xf numFmtId="0" fontId="7" fillId="0" borderId="0" xfId="0" applyFont="1" applyFill="1" applyBorder="1" applyAlignment="1">
      <alignment horizontal="center" vertical="center"/>
    </xf>
    <xf numFmtId="41" fontId="7" fillId="0" borderId="0" xfId="1" applyFont="1" applyFill="1" applyBorder="1" applyAlignment="1">
      <alignment vertical="center"/>
    </xf>
    <xf numFmtId="183" fontId="7" fillId="0" borderId="0" xfId="0" applyNumberFormat="1" applyFont="1" applyFill="1">
      <alignment vertical="center"/>
    </xf>
    <xf numFmtId="180" fontId="7" fillId="0" borderId="0" xfId="0" applyNumberFormat="1" applyFont="1" applyFill="1" applyBorder="1" applyAlignment="1">
      <alignment horizontal="center" vertical="center"/>
    </xf>
    <xf numFmtId="0" fontId="8" fillId="0" borderId="0" xfId="0" applyFont="1" applyAlignment="1">
      <alignment horizontal="left" vertical="center"/>
    </xf>
    <xf numFmtId="0" fontId="7" fillId="0" borderId="0" xfId="0" quotePrefix="1" applyFont="1" applyFill="1">
      <alignment vertical="center"/>
    </xf>
    <xf numFmtId="41" fontId="7" fillId="0" borderId="0" xfId="1" quotePrefix="1" applyFont="1" applyFill="1">
      <alignment vertical="center"/>
    </xf>
    <xf numFmtId="41" fontId="7" fillId="3" borderId="0" xfId="1" applyFont="1" applyFill="1">
      <alignment vertical="center"/>
    </xf>
    <xf numFmtId="0" fontId="7" fillId="0" borderId="4" xfId="0" applyFont="1" applyFill="1" applyBorder="1" applyAlignment="1">
      <alignment horizontal="center" vertical="center"/>
    </xf>
    <xf numFmtId="176" fontId="4" fillId="0" borderId="0" xfId="0" applyNumberFormat="1" applyFont="1" applyFill="1" applyAlignment="1">
      <alignment horizontal="center" vertical="center"/>
    </xf>
    <xf numFmtId="0" fontId="7" fillId="0" borderId="0" xfId="0" applyFont="1" applyBorder="1" applyAlignment="1">
      <alignment horizontal="left" vertical="center"/>
    </xf>
    <xf numFmtId="0" fontId="9" fillId="0" borderId="0" xfId="0" applyFont="1">
      <alignment vertical="center"/>
    </xf>
    <xf numFmtId="0" fontId="9" fillId="0" borderId="11" xfId="0" applyFont="1" applyBorder="1" applyAlignment="1">
      <alignment horizontal="center" vertical="center" wrapText="1"/>
    </xf>
    <xf numFmtId="184" fontId="7" fillId="0" borderId="0" xfId="0" applyNumberFormat="1" applyFont="1" applyBorder="1" applyAlignment="1">
      <alignment horizontal="left" vertical="center"/>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0" fillId="0" borderId="0" xfId="0" applyFont="1">
      <alignment vertical="center"/>
    </xf>
    <xf numFmtId="0" fontId="12" fillId="0" borderId="0" xfId="0" applyFont="1">
      <alignment vertic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0" fillId="0" borderId="0" xfId="0" applyFont="1" applyFill="1">
      <alignment vertical="center"/>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3" fillId="0" borderId="0" xfId="0" applyFont="1" applyFill="1">
      <alignment vertical="center"/>
    </xf>
    <xf numFmtId="176" fontId="4" fillId="0" borderId="0" xfId="0" applyNumberFormat="1" applyFont="1" applyFill="1" applyAlignment="1">
      <alignment horizontal="center" vertical="center"/>
    </xf>
    <xf numFmtId="179" fontId="7" fillId="3" borderId="1" xfId="0" applyNumberFormat="1" applyFont="1" applyFill="1" applyBorder="1" applyAlignment="1">
      <alignment vertical="center"/>
    </xf>
    <xf numFmtId="181" fontId="7" fillId="3" borderId="1" xfId="1" applyNumberFormat="1" applyFont="1" applyFill="1" applyBorder="1" applyAlignment="1">
      <alignment vertical="center"/>
    </xf>
    <xf numFmtId="181" fontId="7" fillId="3" borderId="1" xfId="0" applyNumberFormat="1" applyFont="1" applyFill="1" applyBorder="1" applyAlignment="1">
      <alignment vertical="center"/>
    </xf>
    <xf numFmtId="181" fontId="7" fillId="3" borderId="2" xfId="1" applyNumberFormat="1" applyFont="1" applyFill="1" applyBorder="1" applyAlignment="1">
      <alignment vertical="center"/>
    </xf>
    <xf numFmtId="181" fontId="7" fillId="3" borderId="2" xfId="0" applyNumberFormat="1" applyFont="1" applyFill="1" applyBorder="1" applyAlignment="1">
      <alignment vertical="center"/>
    </xf>
    <xf numFmtId="0" fontId="7" fillId="0" borderId="0" xfId="0" quotePrefix="1" applyFont="1" applyFill="1" applyAlignment="1">
      <alignment horizontal="center" vertical="center"/>
    </xf>
    <xf numFmtId="185" fontId="7" fillId="0" borderId="0" xfId="0" applyNumberFormat="1" applyFont="1" applyFill="1" applyAlignment="1">
      <alignment horizontal="center" vertical="center"/>
    </xf>
    <xf numFmtId="186" fontId="7" fillId="0" borderId="0" xfId="0" applyNumberFormat="1" applyFont="1" applyFill="1" applyAlignment="1">
      <alignment horizontal="center" vertical="center"/>
    </xf>
    <xf numFmtId="0" fontId="15" fillId="0" borderId="0" xfId="0" applyFont="1">
      <alignment vertical="center"/>
    </xf>
    <xf numFmtId="176" fontId="4" fillId="0" borderId="0" xfId="0" applyNumberFormat="1" applyFont="1" applyFill="1" applyAlignment="1">
      <alignment horizontal="center" vertical="center"/>
    </xf>
    <xf numFmtId="0" fontId="7" fillId="0" borderId="18" xfId="0" applyFont="1" applyFill="1" applyBorder="1" applyAlignment="1">
      <alignment horizontal="center" vertical="center"/>
    </xf>
    <xf numFmtId="0" fontId="7" fillId="0" borderId="15" xfId="0" applyFont="1" applyFill="1" applyBorder="1" applyAlignment="1">
      <alignment horizontal="center" vertical="center"/>
    </xf>
    <xf numFmtId="0" fontId="7" fillId="0" borderId="19" xfId="0" applyFont="1" applyFill="1" applyBorder="1" applyAlignment="1">
      <alignment horizontal="center" vertical="center"/>
    </xf>
    <xf numFmtId="182" fontId="16" fillId="0" borderId="7" xfId="2" applyNumberFormat="1" applyFont="1" applyFill="1" applyBorder="1" applyAlignment="1">
      <alignment vertical="center"/>
    </xf>
    <xf numFmtId="41" fontId="16" fillId="0" borderId="8" xfId="1" applyFont="1" applyFill="1" applyBorder="1" applyAlignment="1">
      <alignment vertical="center"/>
    </xf>
    <xf numFmtId="0" fontId="17" fillId="0" borderId="0" xfId="0" applyFont="1" applyFill="1">
      <alignment vertical="center"/>
    </xf>
    <xf numFmtId="0" fontId="1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7" fillId="0" borderId="1" xfId="0" applyFont="1" applyBorder="1" applyAlignment="1">
      <alignment horizontal="center" vertical="center" wrapText="1"/>
    </xf>
    <xf numFmtId="41" fontId="7" fillId="0" borderId="0" xfId="0" applyNumberFormat="1" applyFont="1" applyFill="1">
      <alignment vertical="center"/>
    </xf>
    <xf numFmtId="0" fontId="7" fillId="0" borderId="17" xfId="0" applyFont="1" applyFill="1" applyBorder="1" applyAlignment="1">
      <alignment horizontal="center" vertical="center"/>
    </xf>
    <xf numFmtId="179" fontId="7" fillId="3" borderId="2" xfId="0" applyNumberFormat="1" applyFont="1" applyFill="1" applyBorder="1" applyAlignment="1">
      <alignment vertical="center"/>
    </xf>
    <xf numFmtId="0" fontId="7" fillId="0" borderId="20" xfId="0" applyFont="1" applyFill="1" applyBorder="1" applyAlignment="1">
      <alignment horizontal="center" vertical="center"/>
    </xf>
    <xf numFmtId="0" fontId="7" fillId="0" borderId="21" xfId="0" applyFont="1" applyFill="1" applyBorder="1" applyAlignment="1">
      <alignment horizontal="center" vertical="center"/>
    </xf>
    <xf numFmtId="0" fontId="7" fillId="0" borderId="22" xfId="0" applyFont="1" applyFill="1" applyBorder="1" applyAlignment="1">
      <alignment horizontal="center" vertical="center"/>
    </xf>
    <xf numFmtId="41" fontId="7" fillId="0" borderId="23" xfId="1" applyFont="1" applyFill="1" applyBorder="1" applyAlignment="1">
      <alignment horizontal="center" vertical="center"/>
    </xf>
    <xf numFmtId="176" fontId="4" fillId="0" borderId="0" xfId="0" applyNumberFormat="1" applyFont="1" applyFill="1" applyAlignment="1">
      <alignment horizontal="center" vertical="center"/>
    </xf>
    <xf numFmtId="185" fontId="7" fillId="0" borderId="0" xfId="0" applyNumberFormat="1" applyFont="1" applyFill="1" applyBorder="1" applyAlignment="1">
      <alignment horizontal="center" vertical="center"/>
    </xf>
    <xf numFmtId="185" fontId="7" fillId="0" borderId="24" xfId="0" applyNumberFormat="1" applyFont="1" applyFill="1" applyBorder="1" applyAlignment="1">
      <alignment horizontal="center" vertical="center"/>
    </xf>
    <xf numFmtId="0" fontId="18" fillId="0" borderId="1" xfId="0" applyFont="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14" fontId="7" fillId="0" borderId="0" xfId="0" applyNumberFormat="1" applyFont="1" applyFill="1" applyAlignment="1">
      <alignment horizontal="center" vertical="center"/>
    </xf>
    <xf numFmtId="0" fontId="7" fillId="0" borderId="0" xfId="0" applyFont="1" applyFill="1" applyAlignment="1">
      <alignment horizontal="center" vertical="center"/>
    </xf>
    <xf numFmtId="176" fontId="4" fillId="0" borderId="0" xfId="0" applyNumberFormat="1" applyFont="1" applyFill="1" applyAlignment="1">
      <alignment horizontal="center" vertical="center"/>
    </xf>
    <xf numFmtId="0" fontId="8" fillId="2" borderId="16" xfId="0" applyFont="1" applyFill="1" applyBorder="1" applyAlignment="1">
      <alignment horizontal="center" vertical="center" wrapText="1"/>
    </xf>
    <xf numFmtId="185" fontId="7" fillId="0" borderId="0" xfId="0" applyNumberFormat="1" applyFont="1" applyFill="1" applyAlignment="1">
      <alignment horizontal="center" vertical="center"/>
    </xf>
    <xf numFmtId="0" fontId="9" fillId="0" borderId="0" xfId="0" applyFont="1" applyAlignment="1">
      <alignment horizontal="justify" vertical="center" wrapText="1"/>
    </xf>
    <xf numFmtId="0" fontId="9" fillId="0" borderId="14" xfId="0" applyFont="1" applyBorder="1" applyAlignment="1">
      <alignment horizontal="justify"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0" xfId="0" applyFont="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0" applyFont="1" applyBorder="1" applyAlignment="1">
      <alignment horizontal="center" vertical="center" wrapText="1"/>
    </xf>
  </cellXfs>
  <cellStyles count="5">
    <cellStyle name="백분율" xfId="2" builtinId="5"/>
    <cellStyle name="쉼표 [0]" xfId="1" builtinId="6"/>
    <cellStyle name="쉼표 [0] 2" xfId="3"/>
    <cellStyle name="쉼표 [0] 3" xfId="4"/>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1"/>
  <sheetViews>
    <sheetView tabSelected="1" view="pageBreakPreview" zoomScale="115" zoomScaleNormal="130" zoomScaleSheetLayoutView="115" workbookViewId="0">
      <selection activeCell="O11" sqref="O11"/>
    </sheetView>
  </sheetViews>
  <sheetFormatPr defaultRowHeight="15" customHeight="1" x14ac:dyDescent="0.3"/>
  <cols>
    <col min="1" max="3" width="1" style="4" customWidth="1"/>
    <col min="4" max="4" width="8.5" style="3" customWidth="1"/>
    <col min="5" max="5" width="4.125" style="3" customWidth="1"/>
    <col min="6" max="6" width="4.375" style="3" customWidth="1"/>
    <col min="7" max="8" width="5" style="3" customWidth="1"/>
    <col min="9" max="9" width="4.375" style="3" customWidth="1"/>
    <col min="10" max="11" width="4.875" style="3" customWidth="1"/>
    <col min="12" max="20" width="4.375" style="3" customWidth="1"/>
    <col min="21" max="21" width="5.25" style="3" customWidth="1"/>
    <col min="22" max="22" width="5" style="3" customWidth="1"/>
    <col min="23" max="23" width="2.375" style="3" customWidth="1"/>
    <col min="24" max="24" width="9" style="3"/>
    <col min="25" max="26" width="4.5" style="3" customWidth="1"/>
    <col min="27" max="27" width="5.875" style="3" customWidth="1"/>
    <col min="28" max="40" width="4.375" style="3" customWidth="1"/>
    <col min="41" max="41" width="5.875" style="3" customWidth="1"/>
    <col min="42" max="16384" width="9" style="3"/>
  </cols>
  <sheetData>
    <row r="1" spans="1:41" s="1" customFormat="1" ht="30" customHeight="1" x14ac:dyDescent="0.3">
      <c r="A1" s="78" t="s">
        <v>123</v>
      </c>
      <c r="B1" s="78"/>
      <c r="C1" s="78"/>
      <c r="D1" s="78"/>
      <c r="E1" s="78"/>
      <c r="F1" s="78"/>
      <c r="G1" s="78"/>
      <c r="H1" s="78"/>
      <c r="I1" s="78"/>
      <c r="J1" s="78"/>
      <c r="K1" s="78"/>
      <c r="L1" s="78"/>
      <c r="M1" s="78"/>
      <c r="N1" s="78"/>
      <c r="O1" s="78"/>
      <c r="P1" s="78"/>
      <c r="Q1" s="78"/>
      <c r="R1" s="78"/>
      <c r="S1" s="78"/>
      <c r="T1" s="78"/>
      <c r="U1" s="78"/>
      <c r="V1" s="78"/>
      <c r="Y1" s="58"/>
      <c r="Z1" s="58"/>
      <c r="AA1" s="58"/>
      <c r="AB1" s="58"/>
      <c r="AC1" s="58"/>
      <c r="AD1" s="58"/>
      <c r="AE1" s="58"/>
      <c r="AF1" s="58"/>
      <c r="AG1" s="58"/>
      <c r="AH1" s="58"/>
      <c r="AI1" s="58"/>
      <c r="AJ1" s="58"/>
      <c r="AK1" s="58"/>
      <c r="AL1" s="58"/>
      <c r="AM1" s="58"/>
      <c r="AN1" s="58"/>
      <c r="AO1" s="58"/>
    </row>
    <row r="2" spans="1:41" s="1" customFormat="1" ht="30" customHeight="1" x14ac:dyDescent="0.3">
      <c r="A2" s="25"/>
      <c r="B2" s="25"/>
      <c r="C2" s="42"/>
      <c r="D2" s="25"/>
      <c r="E2" s="52"/>
      <c r="F2" s="25"/>
      <c r="G2" s="25"/>
      <c r="H2" s="25"/>
      <c r="I2" s="25"/>
      <c r="J2" s="25"/>
      <c r="K2" s="25"/>
      <c r="L2" s="25"/>
      <c r="M2" s="25"/>
      <c r="N2" s="25"/>
      <c r="O2" s="25"/>
      <c r="P2" s="25"/>
      <c r="Q2" s="70"/>
      <c r="R2" s="70"/>
      <c r="S2" s="70"/>
      <c r="T2" s="25"/>
      <c r="U2" s="25"/>
      <c r="V2" s="25"/>
      <c r="Y2" s="58"/>
      <c r="Z2" s="58"/>
      <c r="AA2" s="58"/>
      <c r="AB2" s="58"/>
      <c r="AC2" s="58"/>
      <c r="AD2" s="58"/>
      <c r="AE2" s="58"/>
      <c r="AF2" s="58"/>
      <c r="AG2" s="58"/>
      <c r="AH2" s="58"/>
      <c r="AI2" s="58"/>
      <c r="AJ2" s="58"/>
      <c r="AK2" s="58"/>
      <c r="AL2" s="58"/>
      <c r="AM2" s="58"/>
      <c r="AN2" s="58"/>
      <c r="AO2" s="58"/>
    </row>
    <row r="3" spans="1:41" ht="15" customHeight="1" x14ac:dyDescent="0.3">
      <c r="A3" s="2" t="s">
        <v>0</v>
      </c>
      <c r="B3" s="2"/>
      <c r="C3" s="2"/>
      <c r="D3" s="3" t="s">
        <v>1</v>
      </c>
      <c r="G3" s="76">
        <v>45474</v>
      </c>
      <c r="H3" s="77"/>
      <c r="J3" s="76">
        <v>45565</v>
      </c>
      <c r="K3" s="77"/>
      <c r="U3" s="7">
        <f>J3-G3</f>
        <v>91</v>
      </c>
    </row>
    <row r="4" spans="1:41" ht="15" customHeight="1" x14ac:dyDescent="0.3">
      <c r="D4" s="3" t="s">
        <v>1</v>
      </c>
      <c r="G4" s="3" t="str">
        <f>"준비기간("&amp;T6&amp;") + 비작업일수("&amp;T15&amp;") + 작업일수("&amp;T36&amp;") + 정리기간("&amp;T38&amp;")"</f>
        <v>준비기간(2) + 비작업일수(7) + 작업일수(17) + 정리기간(2)</v>
      </c>
      <c r="U4" s="5">
        <f>T6+T15+T36+T38</f>
        <v>28</v>
      </c>
      <c r="V4" s="3" t="s">
        <v>2</v>
      </c>
    </row>
    <row r="5" spans="1:41" ht="15" customHeight="1" x14ac:dyDescent="0.3">
      <c r="U5" s="5"/>
    </row>
    <row r="6" spans="1:41" ht="15" customHeight="1" x14ac:dyDescent="0.3">
      <c r="B6" s="4" t="s">
        <v>50</v>
      </c>
      <c r="D6" s="3" t="s">
        <v>3</v>
      </c>
      <c r="T6" s="23">
        <v>2</v>
      </c>
      <c r="U6" s="3" t="s">
        <v>2</v>
      </c>
    </row>
    <row r="7" spans="1:41" ht="15" customHeight="1" x14ac:dyDescent="0.3">
      <c r="D7" s="20" t="s">
        <v>28</v>
      </c>
      <c r="E7" s="20"/>
    </row>
    <row r="8" spans="1:41" ht="15" customHeight="1" x14ac:dyDescent="0.3">
      <c r="D8" s="74" t="s">
        <v>29</v>
      </c>
      <c r="E8" s="79"/>
      <c r="F8" s="75"/>
      <c r="G8" s="74" t="s">
        <v>30</v>
      </c>
      <c r="H8" s="75"/>
      <c r="I8" s="74" t="s">
        <v>29</v>
      </c>
      <c r="J8" s="75"/>
      <c r="K8" s="74" t="s">
        <v>30</v>
      </c>
      <c r="L8" s="75"/>
    </row>
    <row r="9" spans="1:41" ht="15" customHeight="1" x14ac:dyDescent="0.3">
      <c r="D9" s="74" t="s">
        <v>31</v>
      </c>
      <c r="E9" s="79"/>
      <c r="F9" s="75"/>
      <c r="G9" s="74" t="s">
        <v>32</v>
      </c>
      <c r="H9" s="75"/>
      <c r="I9" s="74" t="s">
        <v>33</v>
      </c>
      <c r="J9" s="75"/>
      <c r="K9" s="74" t="s">
        <v>34</v>
      </c>
      <c r="L9" s="75"/>
    </row>
    <row r="10" spans="1:41" ht="15" customHeight="1" x14ac:dyDescent="0.3">
      <c r="D10" s="74" t="s">
        <v>35</v>
      </c>
      <c r="E10" s="79"/>
      <c r="F10" s="75"/>
      <c r="G10" s="74" t="s">
        <v>36</v>
      </c>
      <c r="H10" s="75"/>
      <c r="I10" s="74" t="s">
        <v>37</v>
      </c>
      <c r="J10" s="75"/>
      <c r="K10" s="74" t="s">
        <v>38</v>
      </c>
      <c r="L10" s="75"/>
    </row>
    <row r="11" spans="1:41" ht="15" customHeight="1" x14ac:dyDescent="0.3">
      <c r="D11" s="74" t="s">
        <v>39</v>
      </c>
      <c r="E11" s="79"/>
      <c r="F11" s="75"/>
      <c r="G11" s="74" t="s">
        <v>40</v>
      </c>
      <c r="H11" s="75"/>
      <c r="I11" s="74" t="s">
        <v>41</v>
      </c>
      <c r="J11" s="75"/>
      <c r="K11" s="74" t="s">
        <v>42</v>
      </c>
      <c r="L11" s="75"/>
    </row>
    <row r="12" spans="1:41" ht="15" customHeight="1" x14ac:dyDescent="0.3">
      <c r="D12" s="74" t="s">
        <v>43</v>
      </c>
      <c r="E12" s="79"/>
      <c r="F12" s="75"/>
      <c r="G12" s="74" t="s">
        <v>42</v>
      </c>
      <c r="H12" s="75"/>
      <c r="I12" s="74" t="s">
        <v>44</v>
      </c>
      <c r="J12" s="75"/>
      <c r="K12" s="74" t="s">
        <v>36</v>
      </c>
      <c r="L12" s="75"/>
    </row>
    <row r="13" spans="1:41" ht="15" customHeight="1" x14ac:dyDescent="0.3">
      <c r="D13" s="74" t="s">
        <v>45</v>
      </c>
      <c r="E13" s="79"/>
      <c r="F13" s="75"/>
      <c r="G13" s="74" t="s">
        <v>46</v>
      </c>
      <c r="H13" s="75"/>
      <c r="I13" s="74" t="s">
        <v>47</v>
      </c>
      <c r="J13" s="75"/>
      <c r="K13" s="74" t="s">
        <v>36</v>
      </c>
      <c r="L13" s="75"/>
    </row>
    <row r="14" spans="1:41" ht="15" customHeight="1" x14ac:dyDescent="0.3">
      <c r="D14" s="6"/>
      <c r="E14" s="6"/>
      <c r="N14" s="5"/>
    </row>
    <row r="15" spans="1:41" ht="15" customHeight="1" x14ac:dyDescent="0.3">
      <c r="B15" s="4" t="s">
        <v>51</v>
      </c>
      <c r="D15" s="3" t="s">
        <v>4</v>
      </c>
      <c r="G15" s="7"/>
      <c r="H15" s="8"/>
      <c r="I15" s="9"/>
      <c r="T15" s="10">
        <f>U27</f>
        <v>7</v>
      </c>
      <c r="U15" s="3" t="s">
        <v>5</v>
      </c>
      <c r="V15" s="5"/>
    </row>
    <row r="16" spans="1:41" ht="15" customHeight="1" x14ac:dyDescent="0.3">
      <c r="C16" s="3" t="s">
        <v>107</v>
      </c>
      <c r="I16" s="49">
        <f>ROUND(U23,0)</f>
        <v>4</v>
      </c>
      <c r="J16" s="7" t="s">
        <v>108</v>
      </c>
      <c r="K16" s="49">
        <f>U24</f>
        <v>4</v>
      </c>
      <c r="L16" s="7" t="s">
        <v>109</v>
      </c>
      <c r="M16" s="49">
        <f>U26</f>
        <v>1</v>
      </c>
      <c r="N16" s="48" t="s">
        <v>110</v>
      </c>
      <c r="O16" s="72">
        <f>I16+K16-M16</f>
        <v>7</v>
      </c>
      <c r="P16" s="72"/>
      <c r="Q16" s="71"/>
      <c r="R16" s="71"/>
      <c r="S16" s="71"/>
      <c r="V16" s="5"/>
    </row>
    <row r="17" spans="1:40" ht="15" customHeight="1" thickBot="1" x14ac:dyDescent="0.35">
      <c r="A17" s="2"/>
      <c r="B17" s="2"/>
      <c r="C17" s="2"/>
      <c r="D17" s="66" t="s">
        <v>8</v>
      </c>
      <c r="E17" s="67"/>
      <c r="F17" s="68" t="s">
        <v>13</v>
      </c>
      <c r="G17" s="68"/>
      <c r="H17" s="68"/>
      <c r="I17" s="68"/>
      <c r="J17" s="68"/>
      <c r="K17" s="68"/>
      <c r="L17" s="68"/>
      <c r="M17" s="68"/>
      <c r="N17" s="68"/>
      <c r="O17" s="68"/>
      <c r="P17" s="68"/>
      <c r="Q17" s="68"/>
      <c r="R17" s="68"/>
      <c r="S17" s="68"/>
      <c r="T17" s="68"/>
      <c r="U17" s="68" t="s">
        <v>19</v>
      </c>
      <c r="V17" s="69" t="s">
        <v>117</v>
      </c>
      <c r="Y17" s="73" t="s">
        <v>59</v>
      </c>
      <c r="Z17" s="73" t="s">
        <v>76</v>
      </c>
      <c r="AA17" s="73" t="s">
        <v>119</v>
      </c>
      <c r="AB17" s="73" t="s">
        <v>77</v>
      </c>
      <c r="AC17" s="73"/>
      <c r="AD17" s="73"/>
      <c r="AE17" s="73"/>
      <c r="AF17" s="73"/>
      <c r="AG17" s="73"/>
      <c r="AH17" s="73"/>
      <c r="AI17" s="73"/>
      <c r="AJ17" s="73"/>
      <c r="AK17" s="73"/>
      <c r="AL17" s="73"/>
      <c r="AM17" s="73"/>
      <c r="AN17" s="73" t="s">
        <v>61</v>
      </c>
    </row>
    <row r="18" spans="1:40" ht="15" customHeight="1" thickTop="1" x14ac:dyDescent="0.3">
      <c r="A18" s="2"/>
      <c r="B18" s="2"/>
      <c r="C18" s="2"/>
      <c r="D18" s="64" t="s">
        <v>21</v>
      </c>
      <c r="E18" s="54">
        <v>2024</v>
      </c>
      <c r="F18" s="65">
        <v>28</v>
      </c>
      <c r="G18" s="65"/>
      <c r="H18" s="65"/>
      <c r="I18" s="65"/>
      <c r="J18" s="65"/>
      <c r="K18" s="65"/>
      <c r="L18" s="65"/>
      <c r="M18" s="65"/>
      <c r="N18" s="65"/>
      <c r="O18" s="65"/>
      <c r="P18" s="65"/>
      <c r="Q18" s="65"/>
      <c r="R18" s="65"/>
      <c r="S18" s="65"/>
      <c r="T18" s="65"/>
      <c r="U18" s="65">
        <f>SUM(F18:T18)</f>
        <v>28</v>
      </c>
      <c r="V18" s="11"/>
      <c r="Y18" s="73"/>
      <c r="Z18" s="73"/>
      <c r="AA18" s="73"/>
      <c r="AB18" s="59" t="s">
        <v>62</v>
      </c>
      <c r="AC18" s="59" t="s">
        <v>63</v>
      </c>
      <c r="AD18" s="59" t="s">
        <v>9</v>
      </c>
      <c r="AE18" s="59" t="s">
        <v>10</v>
      </c>
      <c r="AF18" s="59" t="s">
        <v>11</v>
      </c>
      <c r="AG18" s="59" t="s">
        <v>12</v>
      </c>
      <c r="AH18" s="59" t="s">
        <v>13</v>
      </c>
      <c r="AI18" s="59" t="s">
        <v>14</v>
      </c>
      <c r="AJ18" s="59" t="s">
        <v>15</v>
      </c>
      <c r="AK18" s="59" t="s">
        <v>16</v>
      </c>
      <c r="AL18" s="59" t="s">
        <v>17</v>
      </c>
      <c r="AM18" s="59" t="s">
        <v>18</v>
      </c>
      <c r="AN18" s="73"/>
    </row>
    <row r="19" spans="1:40" ht="15" customHeight="1" x14ac:dyDescent="0.3">
      <c r="A19" s="2"/>
      <c r="B19" s="2"/>
      <c r="C19" s="2"/>
      <c r="D19" s="24" t="s">
        <v>23</v>
      </c>
      <c r="E19" s="53"/>
      <c r="F19" s="44">
        <f>'별표2-비작업일수'!J5</f>
        <v>0.6</v>
      </c>
      <c r="G19" s="44"/>
      <c r="H19" s="44"/>
      <c r="I19" s="44"/>
      <c r="J19" s="44"/>
      <c r="K19" s="44"/>
      <c r="L19" s="44"/>
      <c r="M19" s="44"/>
      <c r="N19" s="44"/>
      <c r="O19" s="44"/>
      <c r="P19" s="44"/>
      <c r="Q19" s="44"/>
      <c r="R19" s="44"/>
      <c r="S19" s="44"/>
      <c r="T19" s="44"/>
      <c r="U19" s="45">
        <f>SUM(F19:T19)</f>
        <v>0.6</v>
      </c>
      <c r="V19" s="12"/>
      <c r="X19" s="3" t="s">
        <v>113</v>
      </c>
      <c r="Y19" s="73">
        <v>84</v>
      </c>
      <c r="Z19" s="73" t="s">
        <v>101</v>
      </c>
      <c r="AA19" s="59" t="s">
        <v>23</v>
      </c>
      <c r="AB19" s="60">
        <f>'별표2-비작업일수'!D6</f>
        <v>0</v>
      </c>
      <c r="AC19" s="60">
        <f>'별표2-비작업일수'!E6</f>
        <v>0</v>
      </c>
      <c r="AD19" s="60">
        <f>'별표2-비작업일수'!F6</f>
        <v>0</v>
      </c>
      <c r="AE19" s="60">
        <f>'별표2-비작업일수'!G6</f>
        <v>0</v>
      </c>
      <c r="AF19" s="60">
        <f>'별표2-비작업일수'!H6</f>
        <v>0</v>
      </c>
      <c r="AG19" s="60">
        <f>'별표2-비작업일수'!I6</f>
        <v>0</v>
      </c>
      <c r="AH19" s="60">
        <f>'별표2-비작업일수'!J6</f>
        <v>0.2</v>
      </c>
      <c r="AI19" s="60">
        <f>'별표2-비작업일수'!K6</f>
        <v>0.2</v>
      </c>
      <c r="AJ19" s="60">
        <f>'별표2-비작업일수'!L6</f>
        <v>0</v>
      </c>
      <c r="AK19" s="60">
        <f>'별표2-비작업일수'!M6</f>
        <v>0</v>
      </c>
      <c r="AL19" s="60">
        <f>'별표2-비작업일수'!N6</f>
        <v>0</v>
      </c>
      <c r="AM19" s="60">
        <f>'별표2-비작업일수'!O6</f>
        <v>0</v>
      </c>
      <c r="AN19" s="60">
        <f>SUM(AB19:AM19)</f>
        <v>0.4</v>
      </c>
    </row>
    <row r="20" spans="1:40" ht="15" customHeight="1" x14ac:dyDescent="0.3">
      <c r="A20" s="2"/>
      <c r="B20" s="2"/>
      <c r="C20" s="2"/>
      <c r="D20" s="24" t="s">
        <v>100</v>
      </c>
      <c r="E20" s="53"/>
      <c r="F20" s="44">
        <f>'별표2-비작업일수'!J7</f>
        <v>0</v>
      </c>
      <c r="G20" s="44"/>
      <c r="H20" s="44"/>
      <c r="I20" s="44"/>
      <c r="J20" s="44"/>
      <c r="K20" s="44"/>
      <c r="L20" s="44"/>
      <c r="M20" s="44"/>
      <c r="N20" s="44"/>
      <c r="O20" s="44"/>
      <c r="P20" s="44"/>
      <c r="Q20" s="44"/>
      <c r="R20" s="44"/>
      <c r="S20" s="44"/>
      <c r="T20" s="44"/>
      <c r="U20" s="45">
        <f>SUM(F20:T20)</f>
        <v>0</v>
      </c>
      <c r="V20" s="12"/>
      <c r="X20" s="3" t="s">
        <v>115</v>
      </c>
      <c r="Y20" s="73"/>
      <c r="Z20" s="73"/>
      <c r="AA20" s="59" t="s">
        <v>120</v>
      </c>
      <c r="AB20" s="60">
        <f>'별표2-비작업일수'!D8</f>
        <v>0.2</v>
      </c>
      <c r="AC20" s="60">
        <f>'별표2-비작업일수'!E8</f>
        <v>0</v>
      </c>
      <c r="AD20" s="60">
        <f>'별표2-비작업일수'!F8</f>
        <v>0</v>
      </c>
      <c r="AE20" s="60">
        <f>'별표2-비작업일수'!G8</f>
        <v>0</v>
      </c>
      <c r="AF20" s="60">
        <f>'별표2-비작업일수'!H8</f>
        <v>0</v>
      </c>
      <c r="AG20" s="60">
        <f>'별표2-비작업일수'!I8</f>
        <v>0</v>
      </c>
      <c r="AH20" s="60">
        <f>'별표2-비작업일수'!J8</f>
        <v>0</v>
      </c>
      <c r="AI20" s="60">
        <f>'별표2-비작업일수'!K8</f>
        <v>0</v>
      </c>
      <c r="AJ20" s="60">
        <f>'별표2-비작업일수'!L8</f>
        <v>0</v>
      </c>
      <c r="AK20" s="60">
        <f>'별표2-비작업일수'!M8</f>
        <v>0</v>
      </c>
      <c r="AL20" s="60">
        <f>'별표2-비작업일수'!N8</f>
        <v>0</v>
      </c>
      <c r="AM20" s="60">
        <f>'별표2-비작업일수'!O8</f>
        <v>0.2</v>
      </c>
      <c r="AN20" s="60">
        <f>SUM(AB20:AM20)</f>
        <v>0.4</v>
      </c>
    </row>
    <row r="21" spans="1:40" ht="15" customHeight="1" x14ac:dyDescent="0.3">
      <c r="A21" s="2"/>
      <c r="B21" s="2"/>
      <c r="C21" s="2"/>
      <c r="D21" s="24" t="s">
        <v>20</v>
      </c>
      <c r="E21" s="54"/>
      <c r="F21" s="46">
        <f>'별표2-비작업일수'!J13</f>
        <v>3.1</v>
      </c>
      <c r="G21" s="46"/>
      <c r="H21" s="46"/>
      <c r="I21" s="46"/>
      <c r="J21" s="46"/>
      <c r="K21" s="46"/>
      <c r="L21" s="46"/>
      <c r="M21" s="46"/>
      <c r="N21" s="46"/>
      <c r="O21" s="46"/>
      <c r="P21" s="46"/>
      <c r="Q21" s="46"/>
      <c r="R21" s="46"/>
      <c r="S21" s="46"/>
      <c r="T21" s="46"/>
      <c r="U21" s="47">
        <f>SUM(F21:T21)</f>
        <v>3.1</v>
      </c>
      <c r="V21" s="11"/>
      <c r="X21" s="3" t="s">
        <v>115</v>
      </c>
      <c r="Y21" s="73"/>
      <c r="Z21" s="73"/>
      <c r="AA21" s="59" t="s">
        <v>121</v>
      </c>
      <c r="AB21" s="60">
        <f>'별표2-비작업일수'!D13</f>
        <v>0.5</v>
      </c>
      <c r="AC21" s="60">
        <f>'별표2-비작업일수'!E13</f>
        <v>1.3</v>
      </c>
      <c r="AD21" s="60">
        <f>'별표2-비작업일수'!F13</f>
        <v>2.4</v>
      </c>
      <c r="AE21" s="60">
        <f>'별표2-비작업일수'!G13</f>
        <v>3.7</v>
      </c>
      <c r="AF21" s="60">
        <f>'별표2-비작업일수'!H13</f>
        <v>2.7</v>
      </c>
      <c r="AG21" s="60">
        <f>'별표2-비작업일수'!I13</f>
        <v>4.8</v>
      </c>
      <c r="AH21" s="60">
        <f>'별표2-비작업일수'!J13</f>
        <v>3.1</v>
      </c>
      <c r="AI21" s="60">
        <f>'별표2-비작업일수'!K13</f>
        <v>4.2</v>
      </c>
      <c r="AJ21" s="60">
        <f>'별표2-비작업일수'!L13</f>
        <v>2.2999999999999998</v>
      </c>
      <c r="AK21" s="60">
        <f>'별표2-비작업일수'!M13</f>
        <v>1.8</v>
      </c>
      <c r="AL21" s="60">
        <f>'별표2-비작업일수'!N13</f>
        <v>1.5</v>
      </c>
      <c r="AM21" s="60">
        <f>'별표2-비작업일수'!O13</f>
        <v>0.9</v>
      </c>
      <c r="AN21" s="60">
        <v>29.2</v>
      </c>
    </row>
    <row r="22" spans="1:40" ht="15" customHeight="1" x14ac:dyDescent="0.3">
      <c r="A22" s="2"/>
      <c r="B22" s="2"/>
      <c r="C22" s="2"/>
      <c r="D22" s="24" t="s">
        <v>49</v>
      </c>
      <c r="E22" s="53"/>
      <c r="F22" s="44">
        <f>'별표2-비작업일수'!J14</f>
        <v>0.4</v>
      </c>
      <c r="G22" s="44"/>
      <c r="H22" s="44"/>
      <c r="I22" s="44"/>
      <c r="J22" s="44"/>
      <c r="K22" s="44"/>
      <c r="L22" s="44"/>
      <c r="M22" s="44"/>
      <c r="N22" s="44"/>
      <c r="O22" s="44"/>
      <c r="P22" s="44"/>
      <c r="Q22" s="44"/>
      <c r="R22" s="44"/>
      <c r="S22" s="44"/>
      <c r="T22" s="44"/>
      <c r="U22" s="45">
        <f t="shared" ref="U22" si="0">SUM(F22:T22)</f>
        <v>0.4</v>
      </c>
      <c r="V22" s="12"/>
      <c r="X22" s="3" t="s">
        <v>115</v>
      </c>
      <c r="Y22" s="73"/>
      <c r="Z22" s="73"/>
      <c r="AA22" s="60" t="s">
        <v>122</v>
      </c>
      <c r="AB22" s="60">
        <f>'별표2-비작업일수'!D14</f>
        <v>0.7</v>
      </c>
      <c r="AC22" s="60">
        <f>'별표2-비작업일수'!E14</f>
        <v>0.4</v>
      </c>
      <c r="AD22" s="60">
        <f>'별표2-비작업일수'!F14</f>
        <v>1.4</v>
      </c>
      <c r="AE22" s="60">
        <f>'별표2-비작업일수'!G14</f>
        <v>1.5</v>
      </c>
      <c r="AF22" s="60">
        <f>'별표2-비작업일수'!H14</f>
        <v>0.5</v>
      </c>
      <c r="AG22" s="60">
        <f>'별표2-비작업일수'!I14</f>
        <v>0.4</v>
      </c>
      <c r="AH22" s="60">
        <f>'별표2-비작업일수'!J14</f>
        <v>0.4</v>
      </c>
      <c r="AI22" s="60">
        <f>'별표2-비작업일수'!K14</f>
        <v>1.7</v>
      </c>
      <c r="AJ22" s="60">
        <f>'별표2-비작업일수'!L14</f>
        <v>0.6</v>
      </c>
      <c r="AK22" s="60">
        <f>'별표2-비작업일수'!M14</f>
        <v>1.2</v>
      </c>
      <c r="AL22" s="60">
        <f>'별표2-비작업일수'!N14</f>
        <v>0.5</v>
      </c>
      <c r="AM22" s="60">
        <f>'별표2-비작업일수'!O14</f>
        <v>1.1000000000000001</v>
      </c>
      <c r="AN22" s="60">
        <f>SUM(AB22:AM22)</f>
        <v>10.4</v>
      </c>
    </row>
    <row r="23" spans="1:40" ht="15" customHeight="1" x14ac:dyDescent="0.3">
      <c r="A23" s="2"/>
      <c r="B23" s="2"/>
      <c r="C23" s="2"/>
      <c r="D23" s="24" t="s">
        <v>104</v>
      </c>
      <c r="E23" s="53"/>
      <c r="F23" s="13">
        <f t="shared" ref="F23" si="1">ROUND(SUM(F19:F22),0)</f>
        <v>4</v>
      </c>
      <c r="G23" s="13"/>
      <c r="H23" s="13"/>
      <c r="I23" s="13"/>
      <c r="J23" s="13"/>
      <c r="K23" s="13"/>
      <c r="L23" s="13"/>
      <c r="M23" s="13"/>
      <c r="N23" s="13"/>
      <c r="O23" s="13"/>
      <c r="P23" s="13"/>
      <c r="Q23" s="13"/>
      <c r="R23" s="13"/>
      <c r="S23" s="13"/>
      <c r="T23" s="13"/>
      <c r="U23" s="13">
        <f>SUM(F23:T23)</f>
        <v>4</v>
      </c>
      <c r="V23" s="12"/>
      <c r="Y23" s="73"/>
      <c r="Z23" s="73"/>
      <c r="AA23" s="61" t="s">
        <v>98</v>
      </c>
      <c r="AB23" s="62">
        <f t="shared" ref="AB23:AM23" si="2">SUM(AB19:AB22)</f>
        <v>1.4</v>
      </c>
      <c r="AC23" s="62">
        <f t="shared" si="2"/>
        <v>1.7000000000000002</v>
      </c>
      <c r="AD23" s="62">
        <f t="shared" si="2"/>
        <v>3.8</v>
      </c>
      <c r="AE23" s="62">
        <f t="shared" si="2"/>
        <v>5.2</v>
      </c>
      <c r="AF23" s="62">
        <f t="shared" si="2"/>
        <v>3.2</v>
      </c>
      <c r="AG23" s="62">
        <f t="shared" si="2"/>
        <v>5.2</v>
      </c>
      <c r="AH23" s="62">
        <f t="shared" si="2"/>
        <v>3.7</v>
      </c>
      <c r="AI23" s="62">
        <f t="shared" si="2"/>
        <v>6.1000000000000005</v>
      </c>
      <c r="AJ23" s="62">
        <f t="shared" si="2"/>
        <v>2.9</v>
      </c>
      <c r="AK23" s="62">
        <f t="shared" si="2"/>
        <v>3</v>
      </c>
      <c r="AL23" s="62">
        <f t="shared" si="2"/>
        <v>2</v>
      </c>
      <c r="AM23" s="62">
        <f t="shared" si="2"/>
        <v>2.2000000000000002</v>
      </c>
      <c r="AN23" s="62">
        <f>SUM(AB23:AM23)</f>
        <v>40.400000000000006</v>
      </c>
    </row>
    <row r="24" spans="1:40" ht="15" customHeight="1" x14ac:dyDescent="0.3">
      <c r="A24" s="2"/>
      <c r="B24" s="2"/>
      <c r="C24" s="2"/>
      <c r="D24" s="24" t="s">
        <v>105</v>
      </c>
      <c r="E24" s="53">
        <v>2024</v>
      </c>
      <c r="F24" s="43">
        <f>'별표1-공유일'!I9</f>
        <v>4</v>
      </c>
      <c r="G24" s="43"/>
      <c r="H24" s="43"/>
      <c r="I24" s="43"/>
      <c r="J24" s="43"/>
      <c r="K24" s="43"/>
      <c r="L24" s="43"/>
      <c r="M24" s="43"/>
      <c r="N24" s="43"/>
      <c r="O24" s="43"/>
      <c r="P24" s="43"/>
      <c r="Q24" s="43"/>
      <c r="R24" s="43"/>
      <c r="S24" s="43"/>
      <c r="T24" s="43"/>
      <c r="U24" s="43">
        <f>SUM(F24:T24)</f>
        <v>4</v>
      </c>
      <c r="V24" s="12"/>
      <c r="X24" s="3" t="s">
        <v>114</v>
      </c>
    </row>
    <row r="25" spans="1:40" ht="15" customHeight="1" x14ac:dyDescent="0.3">
      <c r="A25" s="2"/>
      <c r="B25" s="2"/>
      <c r="C25" s="2"/>
      <c r="D25" s="24" t="s">
        <v>106</v>
      </c>
      <c r="E25" s="53"/>
      <c r="F25" s="14">
        <f t="shared" ref="F25" si="3">ROUND(F23*F24/F18,0)</f>
        <v>1</v>
      </c>
      <c r="G25" s="14"/>
      <c r="H25" s="14"/>
      <c r="I25" s="14"/>
      <c r="J25" s="14"/>
      <c r="K25" s="14"/>
      <c r="L25" s="14"/>
      <c r="M25" s="14"/>
      <c r="N25" s="14"/>
      <c r="O25" s="14"/>
      <c r="P25" s="14"/>
      <c r="Q25" s="14"/>
      <c r="R25" s="14"/>
      <c r="S25" s="14"/>
      <c r="T25" s="14"/>
      <c r="U25" s="13">
        <f t="shared" ref="U25:U28" si="4">SUM(F25:T25)</f>
        <v>1</v>
      </c>
      <c r="V25" s="12"/>
      <c r="Y25" s="73" t="s">
        <v>59</v>
      </c>
      <c r="Z25" s="73" t="s">
        <v>76</v>
      </c>
      <c r="AA25" s="73" t="s">
        <v>97</v>
      </c>
      <c r="AB25" s="73" t="s">
        <v>77</v>
      </c>
      <c r="AC25" s="73"/>
      <c r="AD25" s="73"/>
      <c r="AE25" s="73"/>
      <c r="AF25" s="73"/>
      <c r="AG25" s="73"/>
      <c r="AH25" s="73"/>
      <c r="AI25" s="73"/>
      <c r="AJ25" s="73"/>
      <c r="AK25" s="73"/>
      <c r="AL25" s="73"/>
      <c r="AM25" s="73"/>
      <c r="AN25" s="73" t="s">
        <v>61</v>
      </c>
    </row>
    <row r="26" spans="1:40" ht="15" customHeight="1" x14ac:dyDescent="0.3">
      <c r="A26" s="2"/>
      <c r="B26" s="2"/>
      <c r="C26" s="2"/>
      <c r="D26" s="24" t="s">
        <v>22</v>
      </c>
      <c r="E26" s="53"/>
      <c r="F26" s="14">
        <f t="shared" ref="F26" si="5">ROUND(F25,0)</f>
        <v>1</v>
      </c>
      <c r="G26" s="14"/>
      <c r="H26" s="14"/>
      <c r="I26" s="14"/>
      <c r="J26" s="14"/>
      <c r="K26" s="14"/>
      <c r="L26" s="14"/>
      <c r="M26" s="14"/>
      <c r="N26" s="14"/>
      <c r="O26" s="14"/>
      <c r="P26" s="14"/>
      <c r="Q26" s="14"/>
      <c r="R26" s="14"/>
      <c r="S26" s="14"/>
      <c r="T26" s="14"/>
      <c r="U26" s="13">
        <f t="shared" si="4"/>
        <v>1</v>
      </c>
      <c r="V26" s="12"/>
      <c r="Y26" s="73"/>
      <c r="Z26" s="73"/>
      <c r="AA26" s="73"/>
      <c r="AB26" s="59" t="s">
        <v>62</v>
      </c>
      <c r="AC26" s="59" t="s">
        <v>63</v>
      </c>
      <c r="AD26" s="59" t="s">
        <v>9</v>
      </c>
      <c r="AE26" s="59" t="s">
        <v>10</v>
      </c>
      <c r="AF26" s="59" t="s">
        <v>11</v>
      </c>
      <c r="AG26" s="59" t="s">
        <v>12</v>
      </c>
      <c r="AH26" s="59" t="s">
        <v>13</v>
      </c>
      <c r="AI26" s="59" t="s">
        <v>14</v>
      </c>
      <c r="AJ26" s="59" t="s">
        <v>15</v>
      </c>
      <c r="AK26" s="59" t="s">
        <v>16</v>
      </c>
      <c r="AL26" s="59" t="s">
        <v>17</v>
      </c>
      <c r="AM26" s="59" t="s">
        <v>18</v>
      </c>
      <c r="AN26" s="73"/>
    </row>
    <row r="27" spans="1:40" ht="15" customHeight="1" x14ac:dyDescent="0.3">
      <c r="A27" s="2"/>
      <c r="B27" s="2"/>
      <c r="C27" s="2"/>
      <c r="D27" s="24" t="s">
        <v>24</v>
      </c>
      <c r="E27" s="53"/>
      <c r="F27" s="13">
        <f t="shared" ref="F27" si="6">ROUND(F23+F24-F26,0)</f>
        <v>7</v>
      </c>
      <c r="G27" s="13"/>
      <c r="H27" s="13"/>
      <c r="I27" s="13"/>
      <c r="J27" s="13"/>
      <c r="K27" s="13"/>
      <c r="L27" s="13"/>
      <c r="M27" s="13"/>
      <c r="N27" s="13"/>
      <c r="O27" s="13"/>
      <c r="P27" s="13"/>
      <c r="Q27" s="13"/>
      <c r="R27" s="13"/>
      <c r="S27" s="13"/>
      <c r="T27" s="13"/>
      <c r="U27" s="13">
        <f t="shared" si="4"/>
        <v>7</v>
      </c>
      <c r="V27" s="12"/>
      <c r="Y27" s="73">
        <v>85</v>
      </c>
      <c r="Z27" s="73" t="s">
        <v>118</v>
      </c>
      <c r="AA27" s="59" t="s">
        <v>23</v>
      </c>
      <c r="AB27" s="60">
        <f>'별표2-비작업일수'!D20</f>
        <v>0</v>
      </c>
      <c r="AC27" s="60">
        <f>'별표2-비작업일수'!E20</f>
        <v>0</v>
      </c>
      <c r="AD27" s="60">
        <f>'별표2-비작업일수'!F20</f>
        <v>0</v>
      </c>
      <c r="AE27" s="60">
        <f>'별표2-비작업일수'!G20</f>
        <v>0</v>
      </c>
      <c r="AF27" s="60">
        <f>'별표2-비작업일수'!H20</f>
        <v>0</v>
      </c>
      <c r="AG27" s="60">
        <f>'별표2-비작업일수'!I20</f>
        <v>0</v>
      </c>
      <c r="AH27" s="60">
        <f>'별표2-비작업일수'!J20</f>
        <v>0.9</v>
      </c>
      <c r="AI27" s="60">
        <f>'별표2-비작업일수'!K20</f>
        <v>0.7</v>
      </c>
      <c r="AJ27" s="60">
        <f>'별표2-비작업일수'!L20</f>
        <v>0</v>
      </c>
      <c r="AK27" s="60">
        <f>'별표2-비작업일수'!M20</f>
        <v>0</v>
      </c>
      <c r="AL27" s="60">
        <f>'별표2-비작업일수'!N20</f>
        <v>0</v>
      </c>
      <c r="AM27" s="60">
        <f>'별표2-비작업일수'!O20</f>
        <v>0</v>
      </c>
      <c r="AN27" s="60">
        <f>SUM(AB27:AM27)</f>
        <v>1.6</v>
      </c>
    </row>
    <row r="28" spans="1:40" ht="15" customHeight="1" x14ac:dyDescent="0.3">
      <c r="A28" s="2"/>
      <c r="B28" s="2"/>
      <c r="C28" s="2"/>
      <c r="D28" s="24" t="s">
        <v>25</v>
      </c>
      <c r="E28" s="53"/>
      <c r="F28" s="13">
        <f t="shared" ref="F28" si="7">F18-F27</f>
        <v>21</v>
      </c>
      <c r="G28" s="13"/>
      <c r="H28" s="13"/>
      <c r="I28" s="13"/>
      <c r="J28" s="13"/>
      <c r="K28" s="13"/>
      <c r="L28" s="13"/>
      <c r="M28" s="13"/>
      <c r="N28" s="13"/>
      <c r="O28" s="13"/>
      <c r="P28" s="13"/>
      <c r="Q28" s="13"/>
      <c r="R28" s="13"/>
      <c r="S28" s="13"/>
      <c r="T28" s="13"/>
      <c r="U28" s="13">
        <f t="shared" si="4"/>
        <v>21</v>
      </c>
      <c r="V28" s="12"/>
      <c r="Y28" s="73"/>
      <c r="Z28" s="73"/>
      <c r="AA28" s="59" t="s">
        <v>120</v>
      </c>
      <c r="AB28" s="60">
        <f>'별표2-비작업일수'!D22</f>
        <v>0.2</v>
      </c>
      <c r="AC28" s="60">
        <f>'별표2-비작업일수'!E22</f>
        <v>0.1</v>
      </c>
      <c r="AD28" s="60">
        <f>'별표2-비작업일수'!F22</f>
        <v>0</v>
      </c>
      <c r="AE28" s="60">
        <f>'별표2-비작업일수'!G22</f>
        <v>0</v>
      </c>
      <c r="AF28" s="60">
        <f>'별표2-비작업일수'!H22</f>
        <v>0</v>
      </c>
      <c r="AG28" s="60">
        <f>'별표2-비작업일수'!I22</f>
        <v>0</v>
      </c>
      <c r="AH28" s="60">
        <f>'별표2-비작업일수'!J22</f>
        <v>0</v>
      </c>
      <c r="AI28" s="60">
        <f>'별표2-비작업일수'!K22</f>
        <v>0</v>
      </c>
      <c r="AJ28" s="60">
        <f>'별표2-비작업일수'!L22</f>
        <v>0</v>
      </c>
      <c r="AK28" s="60">
        <f>'별표2-비작업일수'!M22</f>
        <v>0</v>
      </c>
      <c r="AL28" s="60">
        <f>'별표2-비작업일수'!N22</f>
        <v>0</v>
      </c>
      <c r="AM28" s="60">
        <f>'별표2-비작업일수'!O22</f>
        <v>0</v>
      </c>
      <c r="AN28" s="60">
        <f>SUM(AB28:AM28)</f>
        <v>0.30000000000000004</v>
      </c>
    </row>
    <row r="29" spans="1:40" ht="15" customHeight="1" thickBot="1" x14ac:dyDescent="0.35">
      <c r="A29" s="2"/>
      <c r="B29" s="2"/>
      <c r="C29" s="2"/>
      <c r="D29" s="15" t="s">
        <v>26</v>
      </c>
      <c r="E29" s="55"/>
      <c r="F29" s="56">
        <f t="shared" ref="F29" si="8">ROUND(F28/F18,3)</f>
        <v>0.75</v>
      </c>
      <c r="G29" s="56"/>
      <c r="H29" s="56"/>
      <c r="I29" s="56"/>
      <c r="J29" s="56"/>
      <c r="K29" s="56"/>
      <c r="L29" s="56"/>
      <c r="M29" s="56"/>
      <c r="N29" s="56"/>
      <c r="O29" s="56"/>
      <c r="P29" s="56"/>
      <c r="Q29" s="56"/>
      <c r="R29" s="56"/>
      <c r="S29" s="56"/>
      <c r="T29" s="56"/>
      <c r="U29" s="56">
        <f t="shared" ref="U29" si="9">ROUND(U28/U18,3)</f>
        <v>0.75</v>
      </c>
      <c r="V29" s="57"/>
      <c r="Y29" s="73"/>
      <c r="Z29" s="73"/>
      <c r="AA29" s="59" t="s">
        <v>121</v>
      </c>
      <c r="AB29" s="60">
        <f>'별표2-비작업일수'!D27</f>
        <v>0.9</v>
      </c>
      <c r="AC29" s="60">
        <f>'별표2-비작업일수'!E27</f>
        <v>1.1000000000000001</v>
      </c>
      <c r="AD29" s="60">
        <f>'별표2-비작업일수'!F27</f>
        <v>1.4</v>
      </c>
      <c r="AE29" s="60">
        <f>'별표2-비작업일수'!G27</f>
        <v>1.4</v>
      </c>
      <c r="AF29" s="60">
        <f>'별표2-비작업일수'!H27</f>
        <v>1.2</v>
      </c>
      <c r="AG29" s="60">
        <f>'별표2-비작업일수'!I27</f>
        <v>3.1</v>
      </c>
      <c r="AH29" s="60">
        <f>'별표2-비작업일수'!J27</f>
        <v>2.1</v>
      </c>
      <c r="AI29" s="60">
        <f>'별표2-비작업일수'!K27</f>
        <v>3.3</v>
      </c>
      <c r="AJ29" s="60">
        <f>'별표2-비작업일수'!L27</f>
        <v>2.2999999999999998</v>
      </c>
      <c r="AK29" s="60">
        <f>'별표2-비작업일수'!M27</f>
        <v>1.7</v>
      </c>
      <c r="AL29" s="60">
        <f>'별표2-비작업일수'!N27</f>
        <v>1.4</v>
      </c>
      <c r="AM29" s="60">
        <f>'별표2-비작업일수'!O27</f>
        <v>0.5</v>
      </c>
      <c r="AN29" s="60">
        <v>29.2</v>
      </c>
    </row>
    <row r="30" spans="1:40" ht="15" customHeight="1" x14ac:dyDescent="0.3">
      <c r="A30" s="2"/>
      <c r="B30" s="2"/>
      <c r="C30" s="2"/>
      <c r="D30" s="26" t="s">
        <v>56</v>
      </c>
      <c r="E30" s="26"/>
      <c r="F30" s="18"/>
      <c r="G30" s="18"/>
      <c r="H30" s="18"/>
      <c r="I30" s="18"/>
      <c r="J30" s="18"/>
      <c r="L30" s="18"/>
      <c r="M30" s="18"/>
      <c r="N30" s="18"/>
      <c r="O30" s="18"/>
      <c r="P30" s="18"/>
      <c r="Q30" s="18"/>
      <c r="R30" s="18"/>
      <c r="S30" s="18"/>
      <c r="T30" s="18"/>
      <c r="U30" s="19"/>
      <c r="V30" s="17"/>
      <c r="Y30" s="73"/>
      <c r="Z30" s="73"/>
      <c r="AA30" s="60" t="s">
        <v>122</v>
      </c>
      <c r="AB30" s="60">
        <f>'별표2-비작업일수'!D28</f>
        <v>6</v>
      </c>
      <c r="AC30" s="60">
        <f>'별표2-비작업일수'!E28</f>
        <v>4.8</v>
      </c>
      <c r="AD30" s="60">
        <f>'별표2-비작업일수'!F28</f>
        <v>5.3</v>
      </c>
      <c r="AE30" s="60">
        <f>'별표2-비작업일수'!G28</f>
        <v>4.2</v>
      </c>
      <c r="AF30" s="60">
        <f>'별표2-비작업일수'!H28</f>
        <v>1.9</v>
      </c>
      <c r="AG30" s="60">
        <f>'별표2-비작업일수'!I28</f>
        <v>1.5</v>
      </c>
      <c r="AH30" s="60">
        <f>'별표2-비작업일수'!J28</f>
        <v>3</v>
      </c>
      <c r="AI30" s="60">
        <f>'별표2-비작업일수'!K28</f>
        <v>2.4</v>
      </c>
      <c r="AJ30" s="60">
        <f>'별표2-비작업일수'!L28</f>
        <v>0.7</v>
      </c>
      <c r="AK30" s="60">
        <f>'별표2-비작업일수'!M28</f>
        <v>2.4</v>
      </c>
      <c r="AL30" s="60">
        <f>'별표2-비작업일수'!N28</f>
        <v>4.8</v>
      </c>
      <c r="AM30" s="60">
        <f>'별표2-비작업일수'!O28</f>
        <v>10.199999999999999</v>
      </c>
      <c r="AN30" s="60">
        <f>SUM(AB30:AM30)</f>
        <v>47.199999999999989</v>
      </c>
    </row>
    <row r="31" spans="1:40" ht="15" customHeight="1" x14ac:dyDescent="0.3">
      <c r="A31" s="2"/>
      <c r="B31" s="2"/>
      <c r="C31" s="2"/>
      <c r="D31" s="26" t="s">
        <v>57</v>
      </c>
      <c r="E31" s="26"/>
      <c r="H31" s="16"/>
      <c r="I31" s="16"/>
      <c r="J31" s="16"/>
      <c r="L31" s="16"/>
      <c r="M31" s="16"/>
      <c r="N31" s="16"/>
      <c r="O31" s="16"/>
      <c r="P31" s="16"/>
      <c r="Q31" s="16"/>
      <c r="R31" s="16"/>
      <c r="S31" s="16"/>
      <c r="T31" s="16"/>
      <c r="U31" s="16"/>
      <c r="V31" s="17"/>
      <c r="Y31" s="73"/>
      <c r="Z31" s="73"/>
      <c r="AA31" s="61" t="s">
        <v>98</v>
      </c>
      <c r="AB31" s="62">
        <f t="shared" ref="AB31:AM31" si="10">SUM(AB27:AB30)</f>
        <v>7.1</v>
      </c>
      <c r="AC31" s="62">
        <f t="shared" si="10"/>
        <v>6</v>
      </c>
      <c r="AD31" s="62">
        <f t="shared" si="10"/>
        <v>6.6999999999999993</v>
      </c>
      <c r="AE31" s="62">
        <f t="shared" si="10"/>
        <v>5.6</v>
      </c>
      <c r="AF31" s="62">
        <f t="shared" si="10"/>
        <v>3.0999999999999996</v>
      </c>
      <c r="AG31" s="62">
        <f t="shared" si="10"/>
        <v>4.5999999999999996</v>
      </c>
      <c r="AH31" s="62">
        <f t="shared" si="10"/>
        <v>6</v>
      </c>
      <c r="AI31" s="62">
        <f t="shared" si="10"/>
        <v>6.4</v>
      </c>
      <c r="AJ31" s="62">
        <f t="shared" si="10"/>
        <v>3</v>
      </c>
      <c r="AK31" s="62">
        <f t="shared" si="10"/>
        <v>4.0999999999999996</v>
      </c>
      <c r="AL31" s="62">
        <f t="shared" si="10"/>
        <v>6.1999999999999993</v>
      </c>
      <c r="AM31" s="62">
        <f t="shared" si="10"/>
        <v>10.7</v>
      </c>
      <c r="AN31" s="62">
        <f>SUM(AB31:AM31)</f>
        <v>69.5</v>
      </c>
    </row>
    <row r="32" spans="1:40" ht="15" customHeight="1" x14ac:dyDescent="0.3">
      <c r="A32" s="2"/>
      <c r="B32" s="2"/>
      <c r="C32" s="2"/>
      <c r="D32" s="29" t="s">
        <v>102</v>
      </c>
      <c r="E32" s="29"/>
      <c r="H32" s="16"/>
      <c r="I32" s="16"/>
      <c r="J32" s="16"/>
      <c r="L32" s="16"/>
      <c r="M32" s="16"/>
      <c r="N32" s="16"/>
      <c r="O32" s="16"/>
      <c r="P32" s="16"/>
      <c r="Q32" s="16"/>
      <c r="R32" s="16"/>
      <c r="S32" s="16"/>
      <c r="T32" s="16"/>
      <c r="U32" s="16"/>
      <c r="V32" s="17"/>
    </row>
    <row r="33" spans="1:24" ht="15" customHeight="1" x14ac:dyDescent="0.3">
      <c r="A33" s="2"/>
      <c r="B33" s="2"/>
      <c r="C33" s="2"/>
      <c r="D33" s="26" t="s">
        <v>103</v>
      </c>
      <c r="E33" s="26"/>
      <c r="V33" s="5"/>
    </row>
    <row r="34" spans="1:24" ht="15" customHeight="1" x14ac:dyDescent="0.3">
      <c r="C34" s="3" t="s">
        <v>112</v>
      </c>
      <c r="K34" s="50">
        <f>ROUND(U4/30,0)</f>
        <v>1</v>
      </c>
      <c r="L34" s="48" t="s">
        <v>111</v>
      </c>
      <c r="M34" s="49">
        <v>8</v>
      </c>
      <c r="N34" s="48" t="s">
        <v>110</v>
      </c>
      <c r="O34" s="80">
        <f>K34*M34</f>
        <v>8</v>
      </c>
      <c r="P34" s="80"/>
    </row>
    <row r="35" spans="1:24" ht="15" customHeight="1" x14ac:dyDescent="0.3">
      <c r="C35" s="3"/>
      <c r="K35" s="50"/>
      <c r="L35" s="48"/>
      <c r="M35" s="49"/>
      <c r="N35" s="48"/>
      <c r="O35" s="49"/>
    </row>
    <row r="36" spans="1:24" ht="15" customHeight="1" x14ac:dyDescent="0.3">
      <c r="B36" s="4" t="s">
        <v>52</v>
      </c>
      <c r="D36" s="3" t="s">
        <v>6</v>
      </c>
      <c r="G36" s="7"/>
      <c r="H36" s="8"/>
      <c r="I36" s="9"/>
      <c r="T36" s="10">
        <f>U28-T6-T38</f>
        <v>17</v>
      </c>
      <c r="U36" s="3" t="s">
        <v>7</v>
      </c>
      <c r="X36" s="3" t="s">
        <v>116</v>
      </c>
    </row>
    <row r="37" spans="1:24" ht="15" customHeight="1" x14ac:dyDescent="0.3">
      <c r="X37" s="63"/>
    </row>
    <row r="38" spans="1:24" ht="15" customHeight="1" x14ac:dyDescent="0.3">
      <c r="B38" s="4" t="s">
        <v>53</v>
      </c>
      <c r="D38" s="3" t="s">
        <v>48</v>
      </c>
      <c r="T38" s="23">
        <v>2</v>
      </c>
      <c r="U38" s="3" t="s">
        <v>27</v>
      </c>
    </row>
    <row r="39" spans="1:24" ht="15" customHeight="1" x14ac:dyDescent="0.3">
      <c r="D39" s="3" t="s">
        <v>54</v>
      </c>
    </row>
    <row r="41" spans="1:24" ht="15" customHeight="1" x14ac:dyDescent="0.3">
      <c r="D41" s="21"/>
      <c r="E41" s="21"/>
      <c r="V41" s="22"/>
    </row>
  </sheetData>
  <mergeCells count="43">
    <mergeCell ref="O34:P34"/>
    <mergeCell ref="K10:L10"/>
    <mergeCell ref="D11:F11"/>
    <mergeCell ref="D13:F13"/>
    <mergeCell ref="G13:H13"/>
    <mergeCell ref="I13:J13"/>
    <mergeCell ref="K13:L13"/>
    <mergeCell ref="G11:H11"/>
    <mergeCell ref="I11:J11"/>
    <mergeCell ref="K11:L11"/>
    <mergeCell ref="D12:F12"/>
    <mergeCell ref="G12:H12"/>
    <mergeCell ref="I12:J12"/>
    <mergeCell ref="K12:L12"/>
    <mergeCell ref="D10:F10"/>
    <mergeCell ref="G10:H10"/>
    <mergeCell ref="I10:J10"/>
    <mergeCell ref="G3:H3"/>
    <mergeCell ref="J3:K3"/>
    <mergeCell ref="A1:V1"/>
    <mergeCell ref="G8:H8"/>
    <mergeCell ref="I8:J8"/>
    <mergeCell ref="K8:L8"/>
    <mergeCell ref="D9:F9"/>
    <mergeCell ref="G9:H9"/>
    <mergeCell ref="I9:J9"/>
    <mergeCell ref="K9:L9"/>
    <mergeCell ref="D8:F8"/>
    <mergeCell ref="AA25:AA26"/>
    <mergeCell ref="AB25:AM25"/>
    <mergeCell ref="AN25:AN26"/>
    <mergeCell ref="Y17:Y18"/>
    <mergeCell ref="Z17:Z18"/>
    <mergeCell ref="AA17:AA18"/>
    <mergeCell ref="AB17:AM17"/>
    <mergeCell ref="AN17:AN18"/>
    <mergeCell ref="Y19:Y23"/>
    <mergeCell ref="Z19:Z23"/>
    <mergeCell ref="O16:P16"/>
    <mergeCell ref="Y27:Y31"/>
    <mergeCell ref="Z27:Z31"/>
    <mergeCell ref="Y25:Y26"/>
    <mergeCell ref="Z25:Z26"/>
  </mergeCells>
  <phoneticPr fontId="5" type="noConversion"/>
  <pageMargins left="0.7" right="0.7" top="0.75" bottom="0.75" header="0.3" footer="0.3"/>
  <pageSetup paperSize="9"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view="pageBreakPreview" zoomScale="115" zoomScaleNormal="100" zoomScaleSheetLayoutView="115" workbookViewId="0">
      <selection activeCell="N9" sqref="N9"/>
    </sheetView>
  </sheetViews>
  <sheetFormatPr defaultRowHeight="16.5" customHeight="1" x14ac:dyDescent="0.3"/>
  <cols>
    <col min="1" max="1" width="6.625" style="27" customWidth="1"/>
    <col min="2" max="2" width="9" style="27"/>
    <col min="3" max="14" width="7.125" style="27" customWidth="1"/>
    <col min="15" max="15" width="7.625" style="27" customWidth="1"/>
    <col min="16" max="16384" width="9" style="27"/>
  </cols>
  <sheetData>
    <row r="1" spans="1:15" ht="24.95" customHeight="1" x14ac:dyDescent="0.3">
      <c r="A1" s="51" t="s">
        <v>58</v>
      </c>
    </row>
    <row r="2" spans="1:15" ht="20.100000000000001" customHeight="1" x14ac:dyDescent="0.3">
      <c r="A2" s="83" t="s">
        <v>59</v>
      </c>
      <c r="B2" s="83" t="s">
        <v>55</v>
      </c>
      <c r="C2" s="85" t="s">
        <v>60</v>
      </c>
      <c r="D2" s="86"/>
      <c r="E2" s="86"/>
      <c r="F2" s="86"/>
      <c r="G2" s="86"/>
      <c r="H2" s="86"/>
      <c r="I2" s="86"/>
      <c r="J2" s="86"/>
      <c r="K2" s="86"/>
      <c r="L2" s="86"/>
      <c r="M2" s="86"/>
      <c r="N2" s="87"/>
      <c r="O2" s="83" t="s">
        <v>61</v>
      </c>
    </row>
    <row r="3" spans="1:15" ht="20.100000000000001" customHeight="1" x14ac:dyDescent="0.3">
      <c r="A3" s="84"/>
      <c r="B3" s="84"/>
      <c r="C3" s="28" t="s">
        <v>62</v>
      </c>
      <c r="D3" s="28" t="s">
        <v>63</v>
      </c>
      <c r="E3" s="28" t="s">
        <v>9</v>
      </c>
      <c r="F3" s="28" t="s">
        <v>10</v>
      </c>
      <c r="G3" s="28" t="s">
        <v>11</v>
      </c>
      <c r="H3" s="28" t="s">
        <v>12</v>
      </c>
      <c r="I3" s="28" t="s">
        <v>13</v>
      </c>
      <c r="J3" s="28" t="s">
        <v>14</v>
      </c>
      <c r="K3" s="28" t="s">
        <v>15</v>
      </c>
      <c r="L3" s="28" t="s">
        <v>16</v>
      </c>
      <c r="M3" s="28" t="s">
        <v>17</v>
      </c>
      <c r="N3" s="28" t="s">
        <v>18</v>
      </c>
      <c r="O3" s="84"/>
    </row>
    <row r="4" spans="1:15" ht="20.100000000000001" customHeight="1" x14ac:dyDescent="0.3">
      <c r="A4" s="28">
        <v>1</v>
      </c>
      <c r="B4" s="28" t="s">
        <v>64</v>
      </c>
      <c r="C4" s="28">
        <v>5</v>
      </c>
      <c r="D4" s="28">
        <v>7</v>
      </c>
      <c r="E4" s="28">
        <v>6</v>
      </c>
      <c r="F4" s="28">
        <v>4</v>
      </c>
      <c r="G4" s="28">
        <v>6</v>
      </c>
      <c r="H4" s="28">
        <v>6</v>
      </c>
      <c r="I4" s="28">
        <v>4</v>
      </c>
      <c r="J4" s="28">
        <v>5</v>
      </c>
      <c r="K4" s="28">
        <v>8</v>
      </c>
      <c r="L4" s="28">
        <v>6</v>
      </c>
      <c r="M4" s="28">
        <v>4</v>
      </c>
      <c r="N4" s="28">
        <v>6</v>
      </c>
      <c r="O4" s="28">
        <v>67</v>
      </c>
    </row>
    <row r="5" spans="1:15" ht="20.100000000000001" customHeight="1" x14ac:dyDescent="0.3">
      <c r="A5" s="28">
        <v>2</v>
      </c>
      <c r="B5" s="28" t="s">
        <v>65</v>
      </c>
      <c r="C5" s="28">
        <v>8</v>
      </c>
      <c r="D5" s="28">
        <v>4</v>
      </c>
      <c r="E5" s="28">
        <v>5</v>
      </c>
      <c r="F5" s="28">
        <v>5</v>
      </c>
      <c r="G5" s="28">
        <v>7</v>
      </c>
      <c r="H5" s="28">
        <v>5</v>
      </c>
      <c r="I5" s="28">
        <v>4</v>
      </c>
      <c r="J5" s="28">
        <v>6</v>
      </c>
      <c r="K5" s="28">
        <v>5</v>
      </c>
      <c r="L5" s="28">
        <v>8</v>
      </c>
      <c r="M5" s="28">
        <v>5</v>
      </c>
      <c r="N5" s="28">
        <v>5</v>
      </c>
      <c r="O5" s="28">
        <v>67</v>
      </c>
    </row>
    <row r="6" spans="1:15" ht="20.100000000000001" customHeight="1" x14ac:dyDescent="0.3">
      <c r="A6" s="28">
        <v>3</v>
      </c>
      <c r="B6" s="28" t="s">
        <v>66</v>
      </c>
      <c r="C6" s="28">
        <v>6</v>
      </c>
      <c r="D6" s="28">
        <v>8</v>
      </c>
      <c r="E6" s="28">
        <v>5</v>
      </c>
      <c r="F6" s="28">
        <v>4</v>
      </c>
      <c r="G6" s="28">
        <v>8</v>
      </c>
      <c r="H6" s="28">
        <v>4</v>
      </c>
      <c r="I6" s="28">
        <v>4</v>
      </c>
      <c r="J6" s="28">
        <v>5</v>
      </c>
      <c r="K6" s="28">
        <v>7</v>
      </c>
      <c r="L6" s="28">
        <v>6</v>
      </c>
      <c r="M6" s="28">
        <v>4</v>
      </c>
      <c r="N6" s="28">
        <v>5</v>
      </c>
      <c r="O6" s="28">
        <v>66</v>
      </c>
    </row>
    <row r="7" spans="1:15" ht="20.100000000000001" customHeight="1" x14ac:dyDescent="0.3">
      <c r="A7" s="28">
        <v>4</v>
      </c>
      <c r="B7" s="28" t="s">
        <v>67</v>
      </c>
      <c r="C7" s="28">
        <v>7</v>
      </c>
      <c r="D7" s="28">
        <v>6</v>
      </c>
      <c r="E7" s="28">
        <v>5</v>
      </c>
      <c r="F7" s="28">
        <v>4</v>
      </c>
      <c r="G7" s="28">
        <v>6</v>
      </c>
      <c r="H7" s="28">
        <v>5</v>
      </c>
      <c r="I7" s="28">
        <v>5</v>
      </c>
      <c r="J7" s="28">
        <v>5</v>
      </c>
      <c r="K7" s="28">
        <v>7</v>
      </c>
      <c r="L7" s="28">
        <v>6</v>
      </c>
      <c r="M7" s="28">
        <v>4</v>
      </c>
      <c r="N7" s="28">
        <v>4</v>
      </c>
      <c r="O7" s="28">
        <v>64</v>
      </c>
    </row>
    <row r="8" spans="1:15" ht="20.100000000000001" customHeight="1" x14ac:dyDescent="0.3">
      <c r="A8" s="28">
        <v>5</v>
      </c>
      <c r="B8" s="28" t="s">
        <v>68</v>
      </c>
      <c r="C8" s="28">
        <v>8</v>
      </c>
      <c r="D8" s="28">
        <v>4</v>
      </c>
      <c r="E8" s="28">
        <v>5</v>
      </c>
      <c r="F8" s="28">
        <v>5</v>
      </c>
      <c r="G8" s="28">
        <v>7</v>
      </c>
      <c r="H8" s="28">
        <v>5</v>
      </c>
      <c r="I8" s="28">
        <v>5</v>
      </c>
      <c r="J8" s="28">
        <v>5</v>
      </c>
      <c r="K8" s="28">
        <v>7</v>
      </c>
      <c r="L8" s="28">
        <v>8</v>
      </c>
      <c r="M8" s="28">
        <v>4</v>
      </c>
      <c r="N8" s="28">
        <v>6</v>
      </c>
      <c r="O8" s="28">
        <v>69</v>
      </c>
    </row>
    <row r="9" spans="1:15" ht="20.100000000000001" customHeight="1" x14ac:dyDescent="0.3">
      <c r="A9" s="28">
        <v>6</v>
      </c>
      <c r="B9" s="28" t="s">
        <v>69</v>
      </c>
      <c r="C9" s="28">
        <v>5</v>
      </c>
      <c r="D9" s="28">
        <v>7</v>
      </c>
      <c r="E9" s="28">
        <v>6</v>
      </c>
      <c r="F9" s="28">
        <v>4</v>
      </c>
      <c r="G9" s="28">
        <v>7</v>
      </c>
      <c r="H9" s="28">
        <v>6</v>
      </c>
      <c r="I9" s="28">
        <v>4</v>
      </c>
      <c r="J9" s="28">
        <v>5</v>
      </c>
      <c r="K9" s="28">
        <v>8</v>
      </c>
      <c r="L9" s="28">
        <v>6</v>
      </c>
      <c r="M9" s="28">
        <v>4</v>
      </c>
      <c r="N9" s="28">
        <v>6</v>
      </c>
      <c r="O9" s="28">
        <v>68</v>
      </c>
    </row>
    <row r="10" spans="1:15" ht="20.100000000000001" customHeight="1" x14ac:dyDescent="0.3">
      <c r="A10" s="28">
        <v>7</v>
      </c>
      <c r="B10" s="28" t="s">
        <v>70</v>
      </c>
      <c r="C10" s="28">
        <v>8</v>
      </c>
      <c r="D10" s="28">
        <v>4</v>
      </c>
      <c r="E10" s="28">
        <v>6</v>
      </c>
      <c r="F10" s="28">
        <v>4</v>
      </c>
      <c r="G10" s="28">
        <v>7</v>
      </c>
      <c r="H10" s="28">
        <v>6</v>
      </c>
      <c r="I10" s="28">
        <v>4</v>
      </c>
      <c r="J10" s="28">
        <v>6</v>
      </c>
      <c r="K10" s="28">
        <v>4</v>
      </c>
      <c r="L10" s="28">
        <v>9</v>
      </c>
      <c r="M10" s="28">
        <v>5</v>
      </c>
      <c r="N10" s="28">
        <v>5</v>
      </c>
      <c r="O10" s="28">
        <v>68</v>
      </c>
    </row>
    <row r="11" spans="1:15" ht="20.100000000000001" customHeight="1" x14ac:dyDescent="0.3">
      <c r="A11" s="28">
        <v>8</v>
      </c>
      <c r="B11" s="28" t="s">
        <v>71</v>
      </c>
      <c r="C11" s="28">
        <v>5</v>
      </c>
      <c r="D11" s="28">
        <v>7</v>
      </c>
      <c r="E11" s="28">
        <v>5</v>
      </c>
      <c r="F11" s="28">
        <v>4</v>
      </c>
      <c r="G11" s="28">
        <v>7</v>
      </c>
      <c r="H11" s="28">
        <v>5</v>
      </c>
      <c r="I11" s="28">
        <v>4</v>
      </c>
      <c r="J11" s="28">
        <v>6</v>
      </c>
      <c r="K11" s="28">
        <v>8</v>
      </c>
      <c r="L11" s="28">
        <v>6</v>
      </c>
      <c r="M11" s="28">
        <v>5</v>
      </c>
      <c r="N11" s="28">
        <v>5</v>
      </c>
      <c r="O11" s="28">
        <v>67</v>
      </c>
    </row>
    <row r="12" spans="1:15" ht="20.100000000000001" customHeight="1" x14ac:dyDescent="0.3">
      <c r="A12" s="28">
        <v>9</v>
      </c>
      <c r="B12" s="28" t="s">
        <v>72</v>
      </c>
      <c r="C12" s="28">
        <v>6</v>
      </c>
      <c r="D12" s="28">
        <v>7</v>
      </c>
      <c r="E12" s="28">
        <v>5</v>
      </c>
      <c r="F12" s="28">
        <v>4</v>
      </c>
      <c r="G12" s="28">
        <v>8</v>
      </c>
      <c r="H12" s="28">
        <v>4</v>
      </c>
      <c r="I12" s="28">
        <v>4</v>
      </c>
      <c r="J12" s="28">
        <v>5</v>
      </c>
      <c r="K12" s="28">
        <v>7</v>
      </c>
      <c r="L12" s="28">
        <v>6</v>
      </c>
      <c r="M12" s="28">
        <v>4</v>
      </c>
      <c r="N12" s="28">
        <v>5</v>
      </c>
      <c r="O12" s="28">
        <v>65</v>
      </c>
    </row>
    <row r="13" spans="1:15" ht="20.100000000000001" customHeight="1" x14ac:dyDescent="0.3">
      <c r="A13" s="28">
        <v>10</v>
      </c>
      <c r="B13" s="28" t="s">
        <v>73</v>
      </c>
      <c r="C13" s="28">
        <v>9</v>
      </c>
      <c r="D13" s="28">
        <v>4</v>
      </c>
      <c r="E13" s="28">
        <v>5</v>
      </c>
      <c r="F13" s="28">
        <v>5</v>
      </c>
      <c r="G13" s="28">
        <v>7</v>
      </c>
      <c r="H13" s="28">
        <v>5</v>
      </c>
      <c r="I13" s="28">
        <v>5</v>
      </c>
      <c r="J13" s="28">
        <v>5</v>
      </c>
      <c r="K13" s="28">
        <v>4</v>
      </c>
      <c r="L13" s="28">
        <v>9</v>
      </c>
      <c r="M13" s="28">
        <v>4</v>
      </c>
      <c r="N13" s="28">
        <v>6</v>
      </c>
      <c r="O13" s="28">
        <v>68</v>
      </c>
    </row>
    <row r="14" spans="1:15" ht="50.1" customHeight="1" x14ac:dyDescent="0.3">
      <c r="A14" s="82" t="s">
        <v>79</v>
      </c>
      <c r="B14" s="82"/>
      <c r="C14" s="82"/>
      <c r="D14" s="82"/>
      <c r="E14" s="82"/>
      <c r="F14" s="82"/>
      <c r="G14" s="82"/>
      <c r="H14" s="82"/>
      <c r="I14" s="82"/>
      <c r="J14" s="82"/>
      <c r="K14" s="82"/>
      <c r="L14" s="82"/>
      <c r="M14" s="82"/>
      <c r="N14" s="82"/>
      <c r="O14" s="82"/>
    </row>
    <row r="15" spans="1:15" ht="9.9499999999999993" customHeight="1" x14ac:dyDescent="0.3">
      <c r="A15" s="81"/>
      <c r="B15" s="81"/>
      <c r="C15" s="81"/>
      <c r="D15" s="81"/>
      <c r="E15" s="81"/>
      <c r="F15" s="81"/>
      <c r="G15" s="81"/>
      <c r="H15" s="81"/>
      <c r="I15" s="81"/>
      <c r="J15" s="81"/>
      <c r="K15" s="81"/>
      <c r="L15" s="81"/>
      <c r="M15" s="81"/>
      <c r="N15" s="81"/>
      <c r="O15" s="81"/>
    </row>
    <row r="16" spans="1:15" ht="20.100000000000001" customHeight="1" x14ac:dyDescent="0.3">
      <c r="A16" s="81" t="s">
        <v>74</v>
      </c>
      <c r="B16" s="81"/>
      <c r="C16" s="81"/>
      <c r="D16" s="81"/>
      <c r="E16" s="81"/>
      <c r="F16" s="81"/>
      <c r="G16" s="81"/>
      <c r="H16" s="81"/>
      <c r="I16" s="81"/>
      <c r="J16" s="81"/>
      <c r="K16" s="81"/>
      <c r="L16" s="81"/>
      <c r="M16" s="81"/>
      <c r="N16" s="81"/>
      <c r="O16" s="81"/>
    </row>
    <row r="17" spans="1:15" ht="20.100000000000001" customHeight="1" x14ac:dyDescent="0.3">
      <c r="A17" s="81" t="s">
        <v>80</v>
      </c>
      <c r="B17" s="81"/>
      <c r="C17" s="81"/>
      <c r="D17" s="81"/>
      <c r="E17" s="81"/>
      <c r="F17" s="81"/>
      <c r="G17" s="81"/>
      <c r="H17" s="81"/>
      <c r="I17" s="81"/>
      <c r="J17" s="81"/>
      <c r="K17" s="81"/>
      <c r="L17" s="81"/>
      <c r="M17" s="81"/>
      <c r="N17" s="81"/>
      <c r="O17" s="81"/>
    </row>
    <row r="18" spans="1:15" ht="20.100000000000001" customHeight="1" x14ac:dyDescent="0.3">
      <c r="A18" s="81" t="s">
        <v>81</v>
      </c>
      <c r="B18" s="81"/>
      <c r="C18" s="81"/>
      <c r="D18" s="81"/>
      <c r="E18" s="81"/>
      <c r="F18" s="81"/>
      <c r="G18" s="81"/>
      <c r="H18" s="81"/>
      <c r="I18" s="81"/>
      <c r="J18" s="81"/>
      <c r="K18" s="81"/>
      <c r="L18" s="81"/>
      <c r="M18" s="81"/>
      <c r="N18" s="81"/>
      <c r="O18" s="81"/>
    </row>
    <row r="19" spans="1:15" ht="20.100000000000001" customHeight="1" x14ac:dyDescent="0.3">
      <c r="A19" s="81" t="s">
        <v>82</v>
      </c>
      <c r="B19" s="81"/>
      <c r="C19" s="81"/>
      <c r="D19" s="81"/>
      <c r="E19" s="81"/>
      <c r="F19" s="81"/>
      <c r="G19" s="81"/>
      <c r="H19" s="81"/>
      <c r="I19" s="81"/>
      <c r="J19" s="81"/>
      <c r="K19" s="81"/>
      <c r="L19" s="81"/>
      <c r="M19" s="81"/>
      <c r="N19" s="81"/>
      <c r="O19" s="81"/>
    </row>
    <row r="20" spans="1:15" ht="20.100000000000001" customHeight="1" x14ac:dyDescent="0.3">
      <c r="A20" s="81" t="s">
        <v>83</v>
      </c>
      <c r="B20" s="81"/>
      <c r="C20" s="81"/>
      <c r="D20" s="81"/>
      <c r="E20" s="81"/>
      <c r="F20" s="81"/>
      <c r="G20" s="81"/>
      <c r="H20" s="81"/>
      <c r="I20" s="81"/>
      <c r="J20" s="81"/>
      <c r="K20" s="81"/>
      <c r="L20" s="81"/>
      <c r="M20" s="81"/>
      <c r="N20" s="81"/>
      <c r="O20" s="81"/>
    </row>
    <row r="21" spans="1:15" ht="20.100000000000001" customHeight="1" x14ac:dyDescent="0.3">
      <c r="A21" s="81" t="s">
        <v>84</v>
      </c>
      <c r="B21" s="81"/>
      <c r="C21" s="81"/>
      <c r="D21" s="81"/>
      <c r="E21" s="81"/>
      <c r="F21" s="81"/>
      <c r="G21" s="81"/>
      <c r="H21" s="81"/>
      <c r="I21" s="81"/>
      <c r="J21" s="81"/>
      <c r="K21" s="81"/>
      <c r="L21" s="81"/>
      <c r="M21" s="81"/>
      <c r="N21" s="81"/>
      <c r="O21" s="81"/>
    </row>
    <row r="22" spans="1:15" ht="20.100000000000001" customHeight="1" x14ac:dyDescent="0.3">
      <c r="A22" s="81" t="s">
        <v>85</v>
      </c>
      <c r="B22" s="81"/>
      <c r="C22" s="81"/>
      <c r="D22" s="81"/>
      <c r="E22" s="81"/>
      <c r="F22" s="81"/>
      <c r="G22" s="81"/>
      <c r="H22" s="81"/>
      <c r="I22" s="81"/>
      <c r="J22" s="81"/>
      <c r="K22" s="81"/>
      <c r="L22" s="81"/>
      <c r="M22" s="81"/>
      <c r="N22" s="81"/>
      <c r="O22" s="81"/>
    </row>
  </sheetData>
  <mergeCells count="13">
    <mergeCell ref="A14:O14"/>
    <mergeCell ref="A2:A3"/>
    <mergeCell ref="B2:B3"/>
    <mergeCell ref="C2:N2"/>
    <mergeCell ref="O2:O3"/>
    <mergeCell ref="A21:O21"/>
    <mergeCell ref="A22:O22"/>
    <mergeCell ref="A15:O15"/>
    <mergeCell ref="A16:O16"/>
    <mergeCell ref="A17:O17"/>
    <mergeCell ref="A18:O18"/>
    <mergeCell ref="A19:O19"/>
    <mergeCell ref="A20:O20"/>
  </mergeCells>
  <phoneticPr fontId="5" type="noConversion"/>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zoomScaleNormal="100" zoomScaleSheetLayoutView="115" workbookViewId="0">
      <selection activeCell="K13" sqref="K13"/>
    </sheetView>
  </sheetViews>
  <sheetFormatPr defaultRowHeight="24.95" customHeight="1" x14ac:dyDescent="0.3"/>
  <cols>
    <col min="1" max="3" width="9" style="32"/>
    <col min="4" max="16" width="6.625" style="32" customWidth="1"/>
    <col min="17" max="17" width="22.375" style="32" customWidth="1"/>
    <col min="18" max="16384" width="9" style="32"/>
  </cols>
  <sheetData>
    <row r="1" spans="1:17" s="33" customFormat="1" ht="39.950000000000003" customHeight="1" x14ac:dyDescent="0.3">
      <c r="A1" s="33" t="s">
        <v>75</v>
      </c>
    </row>
    <row r="3" spans="1:17" ht="24.95" customHeight="1" x14ac:dyDescent="0.3">
      <c r="A3" s="89" t="s">
        <v>59</v>
      </c>
      <c r="B3" s="89" t="s">
        <v>76</v>
      </c>
      <c r="C3" s="89" t="s">
        <v>97</v>
      </c>
      <c r="D3" s="89" t="s">
        <v>77</v>
      </c>
      <c r="E3" s="89"/>
      <c r="F3" s="89"/>
      <c r="G3" s="89"/>
      <c r="H3" s="89"/>
      <c r="I3" s="89"/>
      <c r="J3" s="89"/>
      <c r="K3" s="89"/>
      <c r="L3" s="89"/>
      <c r="M3" s="89"/>
      <c r="N3" s="89"/>
      <c r="O3" s="89"/>
      <c r="P3" s="89" t="s">
        <v>61</v>
      </c>
      <c r="Q3" s="89" t="s">
        <v>96</v>
      </c>
    </row>
    <row r="4" spans="1:17" ht="24.95" customHeight="1" x14ac:dyDescent="0.3">
      <c r="A4" s="89"/>
      <c r="B4" s="89"/>
      <c r="C4" s="89"/>
      <c r="D4" s="30" t="s">
        <v>62</v>
      </c>
      <c r="E4" s="30" t="s">
        <v>63</v>
      </c>
      <c r="F4" s="30" t="s">
        <v>9</v>
      </c>
      <c r="G4" s="30" t="s">
        <v>10</v>
      </c>
      <c r="H4" s="30" t="s">
        <v>11</v>
      </c>
      <c r="I4" s="30" t="s">
        <v>12</v>
      </c>
      <c r="J4" s="30" t="s">
        <v>13</v>
      </c>
      <c r="K4" s="30" t="s">
        <v>14</v>
      </c>
      <c r="L4" s="30" t="s">
        <v>15</v>
      </c>
      <c r="M4" s="30" t="s">
        <v>16</v>
      </c>
      <c r="N4" s="30" t="s">
        <v>17</v>
      </c>
      <c r="O4" s="30" t="s">
        <v>18</v>
      </c>
      <c r="P4" s="89"/>
      <c r="Q4" s="89"/>
    </row>
    <row r="5" spans="1:17" ht="24.95" customHeight="1" x14ac:dyDescent="0.3">
      <c r="A5" s="89">
        <v>84</v>
      </c>
      <c r="B5" s="89" t="s">
        <v>78</v>
      </c>
      <c r="C5" s="30">
        <v>2021</v>
      </c>
      <c r="D5" s="31">
        <v>0</v>
      </c>
      <c r="E5" s="31">
        <v>0</v>
      </c>
      <c r="F5" s="31">
        <v>0</v>
      </c>
      <c r="G5" s="31">
        <v>0</v>
      </c>
      <c r="H5" s="31">
        <v>0</v>
      </c>
      <c r="I5" s="31">
        <v>0</v>
      </c>
      <c r="J5" s="31">
        <v>0.6</v>
      </c>
      <c r="K5" s="31">
        <v>2.6</v>
      </c>
      <c r="L5" s="31">
        <v>0.1</v>
      </c>
      <c r="M5" s="31">
        <v>0</v>
      </c>
      <c r="N5" s="31">
        <v>0</v>
      </c>
      <c r="O5" s="31">
        <v>0</v>
      </c>
      <c r="P5" s="31">
        <f>SUM(D5:O5)</f>
        <v>3.3000000000000003</v>
      </c>
      <c r="Q5" s="30" t="s">
        <v>86</v>
      </c>
    </row>
    <row r="6" spans="1:17" ht="24.95" customHeight="1" x14ac:dyDescent="0.3">
      <c r="A6" s="89"/>
      <c r="B6" s="89"/>
      <c r="C6" s="30">
        <v>2021</v>
      </c>
      <c r="D6" s="31">
        <v>0</v>
      </c>
      <c r="E6" s="31">
        <v>0</v>
      </c>
      <c r="F6" s="31">
        <v>0</v>
      </c>
      <c r="G6" s="31">
        <v>0</v>
      </c>
      <c r="H6" s="31">
        <v>0</v>
      </c>
      <c r="I6" s="31">
        <v>0</v>
      </c>
      <c r="J6" s="31">
        <v>0.2</v>
      </c>
      <c r="K6" s="31">
        <v>0.2</v>
      </c>
      <c r="L6" s="31">
        <v>0</v>
      </c>
      <c r="M6" s="31">
        <v>0</v>
      </c>
      <c r="N6" s="31">
        <v>0</v>
      </c>
      <c r="O6" s="31">
        <v>0</v>
      </c>
      <c r="P6" s="31">
        <f t="shared" ref="P6:P11" si="0">SUM(D6:O6)</f>
        <v>0.4</v>
      </c>
      <c r="Q6" s="30" t="s">
        <v>87</v>
      </c>
    </row>
    <row r="7" spans="1:17" ht="24.95" customHeight="1" x14ac:dyDescent="0.3">
      <c r="A7" s="89"/>
      <c r="B7" s="89"/>
      <c r="C7" s="30">
        <v>2021</v>
      </c>
      <c r="D7" s="31">
        <v>0.1</v>
      </c>
      <c r="E7" s="31">
        <v>0</v>
      </c>
      <c r="F7" s="31">
        <v>0</v>
      </c>
      <c r="G7" s="31">
        <v>0</v>
      </c>
      <c r="H7" s="31">
        <v>0</v>
      </c>
      <c r="I7" s="31">
        <v>0</v>
      </c>
      <c r="J7" s="31">
        <v>0</v>
      </c>
      <c r="K7" s="31">
        <v>0</v>
      </c>
      <c r="L7" s="31">
        <v>0</v>
      </c>
      <c r="M7" s="31">
        <v>0</v>
      </c>
      <c r="N7" s="31">
        <v>0</v>
      </c>
      <c r="O7" s="31">
        <v>0</v>
      </c>
      <c r="P7" s="31">
        <f t="shared" si="0"/>
        <v>0.1</v>
      </c>
      <c r="Q7" s="30" t="s">
        <v>88</v>
      </c>
    </row>
    <row r="8" spans="1:17" ht="24.95" customHeight="1" x14ac:dyDescent="0.3">
      <c r="A8" s="89"/>
      <c r="B8" s="89"/>
      <c r="C8" s="30">
        <v>2021</v>
      </c>
      <c r="D8" s="31">
        <v>0.2</v>
      </c>
      <c r="E8" s="31">
        <v>0</v>
      </c>
      <c r="F8" s="31">
        <v>0</v>
      </c>
      <c r="G8" s="31">
        <v>0</v>
      </c>
      <c r="H8" s="31">
        <v>0</v>
      </c>
      <c r="I8" s="31">
        <v>0</v>
      </c>
      <c r="J8" s="31">
        <v>0</v>
      </c>
      <c r="K8" s="31">
        <v>0</v>
      </c>
      <c r="L8" s="31">
        <v>0</v>
      </c>
      <c r="M8" s="31">
        <v>0</v>
      </c>
      <c r="N8" s="31">
        <v>0</v>
      </c>
      <c r="O8" s="31">
        <v>0.2</v>
      </c>
      <c r="P8" s="31">
        <f t="shared" si="0"/>
        <v>0.4</v>
      </c>
      <c r="Q8" s="30" t="s">
        <v>89</v>
      </c>
    </row>
    <row r="9" spans="1:17" ht="24.95" customHeight="1" x14ac:dyDescent="0.3">
      <c r="A9" s="89"/>
      <c r="B9" s="89"/>
      <c r="C9" s="30">
        <v>2021</v>
      </c>
      <c r="D9" s="31">
        <v>0.3</v>
      </c>
      <c r="E9" s="31">
        <v>0</v>
      </c>
      <c r="F9" s="31">
        <v>0</v>
      </c>
      <c r="G9" s="31">
        <v>0</v>
      </c>
      <c r="H9" s="31">
        <v>0</v>
      </c>
      <c r="I9" s="31">
        <v>0</v>
      </c>
      <c r="J9" s="31">
        <v>0</v>
      </c>
      <c r="K9" s="31">
        <v>0</v>
      </c>
      <c r="L9" s="31">
        <v>0</v>
      </c>
      <c r="M9" s="31">
        <v>0</v>
      </c>
      <c r="N9" s="31">
        <v>0</v>
      </c>
      <c r="O9" s="31">
        <v>0.2</v>
      </c>
      <c r="P9" s="31">
        <f t="shared" si="0"/>
        <v>0.5</v>
      </c>
      <c r="Q9" s="30" t="s">
        <v>90</v>
      </c>
    </row>
    <row r="10" spans="1:17" ht="24.95" customHeight="1" x14ac:dyDescent="0.3">
      <c r="A10" s="89"/>
      <c r="B10" s="89"/>
      <c r="C10" s="30">
        <v>2021</v>
      </c>
      <c r="D10" s="31">
        <v>0</v>
      </c>
      <c r="E10" s="31">
        <v>0</v>
      </c>
      <c r="F10" s="31">
        <v>0</v>
      </c>
      <c r="G10" s="31">
        <v>0</v>
      </c>
      <c r="H10" s="31">
        <v>0</v>
      </c>
      <c r="I10" s="31">
        <v>0</v>
      </c>
      <c r="J10" s="31">
        <v>0</v>
      </c>
      <c r="K10" s="31">
        <v>0</v>
      </c>
      <c r="L10" s="31">
        <v>0</v>
      </c>
      <c r="M10" s="31">
        <v>0</v>
      </c>
      <c r="N10" s="31">
        <v>0</v>
      </c>
      <c r="O10" s="31">
        <v>0</v>
      </c>
      <c r="P10" s="31">
        <f t="shared" si="0"/>
        <v>0</v>
      </c>
      <c r="Q10" s="30" t="s">
        <v>91</v>
      </c>
    </row>
    <row r="11" spans="1:17" ht="24.95" customHeight="1" x14ac:dyDescent="0.3">
      <c r="A11" s="89"/>
      <c r="B11" s="89"/>
      <c r="C11" s="30">
        <v>2021</v>
      </c>
      <c r="D11" s="31">
        <v>2.9</v>
      </c>
      <c r="E11" s="31">
        <v>4.5</v>
      </c>
      <c r="F11" s="31">
        <v>4.9000000000000004</v>
      </c>
      <c r="G11" s="31">
        <v>6.2</v>
      </c>
      <c r="H11" s="31">
        <v>4.9000000000000004</v>
      </c>
      <c r="I11" s="31">
        <v>8.1999999999999993</v>
      </c>
      <c r="J11" s="31">
        <v>6.4</v>
      </c>
      <c r="K11" s="31">
        <v>8.8000000000000007</v>
      </c>
      <c r="L11" s="31">
        <v>6.1</v>
      </c>
      <c r="M11" s="31">
        <v>3.9</v>
      </c>
      <c r="N11" s="31">
        <v>4.5</v>
      </c>
      <c r="O11" s="31">
        <v>2.9</v>
      </c>
      <c r="P11" s="31">
        <f t="shared" si="0"/>
        <v>64.2</v>
      </c>
      <c r="Q11" s="30" t="s">
        <v>92</v>
      </c>
    </row>
    <row r="12" spans="1:17" ht="24.95" customHeight="1" x14ac:dyDescent="0.3">
      <c r="A12" s="89"/>
      <c r="B12" s="89"/>
      <c r="C12" s="30">
        <v>2021</v>
      </c>
      <c r="D12" s="31">
        <v>1.5</v>
      </c>
      <c r="E12" s="31">
        <v>2.5</v>
      </c>
      <c r="F12" s="31">
        <v>3.7</v>
      </c>
      <c r="G12" s="31">
        <v>5.2</v>
      </c>
      <c r="H12" s="31">
        <v>4.2</v>
      </c>
      <c r="I12" s="31">
        <v>6.4</v>
      </c>
      <c r="J12" s="31">
        <v>5.0999999999999996</v>
      </c>
      <c r="K12" s="31">
        <v>6.4</v>
      </c>
      <c r="L12" s="31">
        <v>5</v>
      </c>
      <c r="M12" s="31">
        <v>2.7</v>
      </c>
      <c r="N12" s="31">
        <v>2.9</v>
      </c>
      <c r="O12" s="31">
        <v>1.4</v>
      </c>
      <c r="P12" s="31">
        <v>47</v>
      </c>
      <c r="Q12" s="30" t="s">
        <v>93</v>
      </c>
    </row>
    <row r="13" spans="1:17" ht="24.95" customHeight="1" x14ac:dyDescent="0.3">
      <c r="A13" s="89"/>
      <c r="B13" s="89"/>
      <c r="C13" s="30">
        <v>2021</v>
      </c>
      <c r="D13" s="31">
        <v>0.5</v>
      </c>
      <c r="E13" s="31">
        <v>1.3</v>
      </c>
      <c r="F13" s="31">
        <v>2.4</v>
      </c>
      <c r="G13" s="31">
        <v>3.7</v>
      </c>
      <c r="H13" s="31">
        <v>2.7</v>
      </c>
      <c r="I13" s="31">
        <v>4.8</v>
      </c>
      <c r="J13" s="31">
        <v>3.1</v>
      </c>
      <c r="K13" s="31">
        <v>4.2</v>
      </c>
      <c r="L13" s="31">
        <v>2.2999999999999998</v>
      </c>
      <c r="M13" s="31">
        <v>1.8</v>
      </c>
      <c r="N13" s="31">
        <v>1.5</v>
      </c>
      <c r="O13" s="31">
        <v>0.9</v>
      </c>
      <c r="P13" s="31">
        <v>29.2</v>
      </c>
      <c r="Q13" s="30" t="s">
        <v>94</v>
      </c>
    </row>
    <row r="14" spans="1:17" ht="24.95" customHeight="1" x14ac:dyDescent="0.3">
      <c r="A14" s="89"/>
      <c r="B14" s="89"/>
      <c r="C14" s="31">
        <v>2021</v>
      </c>
      <c r="D14" s="31">
        <v>0.7</v>
      </c>
      <c r="E14" s="31">
        <v>0.4</v>
      </c>
      <c r="F14" s="31">
        <v>1.4</v>
      </c>
      <c r="G14" s="31">
        <v>1.5</v>
      </c>
      <c r="H14" s="31">
        <v>0.5</v>
      </c>
      <c r="I14" s="31">
        <v>0.4</v>
      </c>
      <c r="J14" s="31">
        <v>0.4</v>
      </c>
      <c r="K14" s="31">
        <v>1.7</v>
      </c>
      <c r="L14" s="31">
        <v>0.6</v>
      </c>
      <c r="M14" s="31">
        <v>1.2</v>
      </c>
      <c r="N14" s="31">
        <v>0.5</v>
      </c>
      <c r="O14" s="31">
        <v>1.1000000000000001</v>
      </c>
      <c r="P14" s="31">
        <f t="shared" ref="P14:P15" si="1">SUM(D14:O14)</f>
        <v>10.4</v>
      </c>
      <c r="Q14" s="31" t="s">
        <v>95</v>
      </c>
    </row>
    <row r="15" spans="1:17" ht="24.95" customHeight="1" x14ac:dyDescent="0.3">
      <c r="A15" s="89"/>
      <c r="B15" s="89"/>
      <c r="C15" s="34" t="s">
        <v>98</v>
      </c>
      <c r="D15" s="35">
        <f>SUM(D5:D14)</f>
        <v>6.2</v>
      </c>
      <c r="E15" s="35">
        <f t="shared" ref="E15" si="2">SUM(E5:E14)</f>
        <v>8.7000000000000011</v>
      </c>
      <c r="F15" s="35">
        <f t="shared" ref="F15" si="3">SUM(F5:F14)</f>
        <v>12.400000000000002</v>
      </c>
      <c r="G15" s="35">
        <f t="shared" ref="G15" si="4">SUM(G5:G14)</f>
        <v>16.600000000000001</v>
      </c>
      <c r="H15" s="35">
        <f t="shared" ref="H15" si="5">SUM(H5:H14)</f>
        <v>12.3</v>
      </c>
      <c r="I15" s="35">
        <f t="shared" ref="I15" si="6">SUM(I5:I14)</f>
        <v>19.799999999999997</v>
      </c>
      <c r="J15" s="35">
        <f t="shared" ref="J15" si="7">SUM(J5:J14)</f>
        <v>15.8</v>
      </c>
      <c r="K15" s="35">
        <f t="shared" ref="K15" si="8">SUM(K5:K14)</f>
        <v>23.9</v>
      </c>
      <c r="L15" s="35">
        <f t="shared" ref="L15" si="9">SUM(L5:L14)</f>
        <v>14.1</v>
      </c>
      <c r="M15" s="35">
        <f t="shared" ref="M15" si="10">SUM(M5:M14)</f>
        <v>9.6</v>
      </c>
      <c r="N15" s="35">
        <f t="shared" ref="N15" si="11">SUM(N5:N14)</f>
        <v>9.4</v>
      </c>
      <c r="O15" s="35">
        <f t="shared" ref="O15" si="12">SUM(O5:O14)</f>
        <v>6.6999999999999993</v>
      </c>
      <c r="P15" s="35">
        <f t="shared" si="1"/>
        <v>155.49999999999997</v>
      </c>
      <c r="Q15" s="34"/>
    </row>
    <row r="17" spans="1:17" s="36" customFormat="1" ht="24.95" customHeight="1" x14ac:dyDescent="0.3">
      <c r="A17" s="88" t="s">
        <v>59</v>
      </c>
      <c r="B17" s="88" t="s">
        <v>76</v>
      </c>
      <c r="C17" s="88" t="s">
        <v>97</v>
      </c>
      <c r="D17" s="88" t="s">
        <v>77</v>
      </c>
      <c r="E17" s="88"/>
      <c r="F17" s="88"/>
      <c r="G17" s="88"/>
      <c r="H17" s="88"/>
      <c r="I17" s="88"/>
      <c r="J17" s="88"/>
      <c r="K17" s="88"/>
      <c r="L17" s="88"/>
      <c r="M17" s="88"/>
      <c r="N17" s="88"/>
      <c r="O17" s="88"/>
      <c r="P17" s="88" t="s">
        <v>61</v>
      </c>
      <c r="Q17" s="88" t="s">
        <v>96</v>
      </c>
    </row>
    <row r="18" spans="1:17" s="36" customFormat="1" ht="24.95" customHeight="1" x14ac:dyDescent="0.3">
      <c r="A18" s="88"/>
      <c r="B18" s="88"/>
      <c r="C18" s="88"/>
      <c r="D18" s="37" t="s">
        <v>62</v>
      </c>
      <c r="E18" s="37" t="s">
        <v>63</v>
      </c>
      <c r="F18" s="37" t="s">
        <v>9</v>
      </c>
      <c r="G18" s="37" t="s">
        <v>10</v>
      </c>
      <c r="H18" s="37" t="s">
        <v>11</v>
      </c>
      <c r="I18" s="37" t="s">
        <v>12</v>
      </c>
      <c r="J18" s="37" t="s">
        <v>13</v>
      </c>
      <c r="K18" s="37" t="s">
        <v>14</v>
      </c>
      <c r="L18" s="37" t="s">
        <v>15</v>
      </c>
      <c r="M18" s="37" t="s">
        <v>16</v>
      </c>
      <c r="N18" s="37" t="s">
        <v>17</v>
      </c>
      <c r="O18" s="37" t="s">
        <v>18</v>
      </c>
      <c r="P18" s="88"/>
      <c r="Q18" s="88"/>
    </row>
    <row r="19" spans="1:17" s="36" customFormat="1" ht="24.95" customHeight="1" x14ac:dyDescent="0.3">
      <c r="A19" s="88">
        <v>85</v>
      </c>
      <c r="B19" s="88" t="s">
        <v>99</v>
      </c>
      <c r="C19" s="37">
        <v>2021</v>
      </c>
      <c r="D19" s="38">
        <v>0</v>
      </c>
      <c r="E19" s="38">
        <v>0</v>
      </c>
      <c r="F19" s="38">
        <v>0</v>
      </c>
      <c r="G19" s="38">
        <v>0</v>
      </c>
      <c r="H19" s="38">
        <v>0</v>
      </c>
      <c r="I19" s="38">
        <v>0.1</v>
      </c>
      <c r="J19" s="38">
        <v>5.2</v>
      </c>
      <c r="K19" s="38">
        <v>5.2</v>
      </c>
      <c r="L19" s="38">
        <v>0.2</v>
      </c>
      <c r="M19" s="38">
        <v>0</v>
      </c>
      <c r="N19" s="38">
        <v>0</v>
      </c>
      <c r="O19" s="38">
        <v>0</v>
      </c>
      <c r="P19" s="38">
        <f>SUM(D19:O19)</f>
        <v>10.7</v>
      </c>
      <c r="Q19" s="37" t="s">
        <v>86</v>
      </c>
    </row>
    <row r="20" spans="1:17" s="36" customFormat="1" ht="24.95" customHeight="1" x14ac:dyDescent="0.3">
      <c r="A20" s="88"/>
      <c r="B20" s="88"/>
      <c r="C20" s="37">
        <v>2021</v>
      </c>
      <c r="D20" s="38">
        <v>0</v>
      </c>
      <c r="E20" s="38">
        <v>0</v>
      </c>
      <c r="F20" s="38">
        <v>0</v>
      </c>
      <c r="G20" s="38">
        <v>0</v>
      </c>
      <c r="H20" s="38">
        <v>0</v>
      </c>
      <c r="I20" s="38">
        <v>0</v>
      </c>
      <c r="J20" s="38">
        <v>0.9</v>
      </c>
      <c r="K20" s="38">
        <v>0.7</v>
      </c>
      <c r="L20" s="38">
        <v>0</v>
      </c>
      <c r="M20" s="38">
        <v>0</v>
      </c>
      <c r="N20" s="38">
        <v>0</v>
      </c>
      <c r="O20" s="38">
        <v>0</v>
      </c>
      <c r="P20" s="38">
        <v>1.6</v>
      </c>
      <c r="Q20" s="37" t="s">
        <v>87</v>
      </c>
    </row>
    <row r="21" spans="1:17" s="36" customFormat="1" ht="24.95" customHeight="1" x14ac:dyDescent="0.3">
      <c r="A21" s="88"/>
      <c r="B21" s="88"/>
      <c r="C21" s="37">
        <v>2021</v>
      </c>
      <c r="D21" s="38">
        <v>0</v>
      </c>
      <c r="E21" s="38">
        <v>0.1</v>
      </c>
      <c r="F21" s="38">
        <v>0</v>
      </c>
      <c r="G21" s="38">
        <v>0</v>
      </c>
      <c r="H21" s="38">
        <v>0</v>
      </c>
      <c r="I21" s="38">
        <v>0</v>
      </c>
      <c r="J21" s="38">
        <v>0</v>
      </c>
      <c r="K21" s="38">
        <v>0</v>
      </c>
      <c r="L21" s="38">
        <v>0</v>
      </c>
      <c r="M21" s="38">
        <v>0</v>
      </c>
      <c r="N21" s="38">
        <v>0</v>
      </c>
      <c r="O21" s="38">
        <v>0</v>
      </c>
      <c r="P21" s="38">
        <f t="shared" ref="P21:P29" si="13">SUM(D21:O21)</f>
        <v>0.1</v>
      </c>
      <c r="Q21" s="37" t="s">
        <v>88</v>
      </c>
    </row>
    <row r="22" spans="1:17" s="36" customFormat="1" ht="24.95" customHeight="1" x14ac:dyDescent="0.3">
      <c r="A22" s="88"/>
      <c r="B22" s="88"/>
      <c r="C22" s="37">
        <v>2021</v>
      </c>
      <c r="D22" s="38">
        <v>0.2</v>
      </c>
      <c r="E22" s="38">
        <v>0.1</v>
      </c>
      <c r="F22" s="38">
        <v>0</v>
      </c>
      <c r="G22" s="38">
        <v>0</v>
      </c>
      <c r="H22" s="38">
        <v>0</v>
      </c>
      <c r="I22" s="38">
        <v>0</v>
      </c>
      <c r="J22" s="38">
        <v>0</v>
      </c>
      <c r="K22" s="38">
        <v>0</v>
      </c>
      <c r="L22" s="38">
        <v>0</v>
      </c>
      <c r="M22" s="38">
        <v>0</v>
      </c>
      <c r="N22" s="38">
        <v>0</v>
      </c>
      <c r="O22" s="38">
        <v>0</v>
      </c>
      <c r="P22" s="38">
        <f t="shared" si="13"/>
        <v>0.30000000000000004</v>
      </c>
      <c r="Q22" s="37" t="s">
        <v>89</v>
      </c>
    </row>
    <row r="23" spans="1:17" s="36" customFormat="1" ht="24.95" customHeight="1" x14ac:dyDescent="0.3">
      <c r="A23" s="88"/>
      <c r="B23" s="88"/>
      <c r="C23" s="37">
        <v>2021</v>
      </c>
      <c r="D23" s="38">
        <v>0.2</v>
      </c>
      <c r="E23" s="38">
        <v>0.2</v>
      </c>
      <c r="F23" s="38">
        <v>0</v>
      </c>
      <c r="G23" s="38">
        <v>0</v>
      </c>
      <c r="H23" s="38">
        <v>0</v>
      </c>
      <c r="I23" s="38">
        <v>0</v>
      </c>
      <c r="J23" s="38">
        <v>0</v>
      </c>
      <c r="K23" s="38">
        <v>0</v>
      </c>
      <c r="L23" s="38">
        <v>0</v>
      </c>
      <c r="M23" s="38">
        <v>0</v>
      </c>
      <c r="N23" s="38">
        <v>0</v>
      </c>
      <c r="O23" s="38">
        <v>0</v>
      </c>
      <c r="P23" s="38">
        <f t="shared" si="13"/>
        <v>0.4</v>
      </c>
      <c r="Q23" s="37" t="s">
        <v>90</v>
      </c>
    </row>
    <row r="24" spans="1:17" s="36" customFormat="1" ht="24.95" customHeight="1" x14ac:dyDescent="0.3">
      <c r="A24" s="88"/>
      <c r="B24" s="88"/>
      <c r="C24" s="37">
        <v>2021</v>
      </c>
      <c r="D24" s="38">
        <v>0</v>
      </c>
      <c r="E24" s="38">
        <v>0</v>
      </c>
      <c r="F24" s="38">
        <v>0</v>
      </c>
      <c r="G24" s="38">
        <v>0</v>
      </c>
      <c r="H24" s="38">
        <v>0</v>
      </c>
      <c r="I24" s="38">
        <v>0</v>
      </c>
      <c r="J24" s="38">
        <v>0</v>
      </c>
      <c r="K24" s="38">
        <v>0</v>
      </c>
      <c r="L24" s="38">
        <v>0</v>
      </c>
      <c r="M24" s="38">
        <v>0</v>
      </c>
      <c r="N24" s="38">
        <v>0</v>
      </c>
      <c r="O24" s="38">
        <v>0</v>
      </c>
      <c r="P24" s="38">
        <f t="shared" si="13"/>
        <v>0</v>
      </c>
      <c r="Q24" s="37" t="s">
        <v>91</v>
      </c>
    </row>
    <row r="25" spans="1:17" s="36" customFormat="1" ht="24.95" customHeight="1" x14ac:dyDescent="0.3">
      <c r="A25" s="88"/>
      <c r="B25" s="88"/>
      <c r="C25" s="37">
        <v>2021</v>
      </c>
      <c r="D25" s="38">
        <v>3</v>
      </c>
      <c r="E25" s="38">
        <v>3.8</v>
      </c>
      <c r="F25" s="38">
        <v>4.7</v>
      </c>
      <c r="G25" s="38">
        <v>5.4</v>
      </c>
      <c r="H25" s="38">
        <v>3.9</v>
      </c>
      <c r="I25" s="38">
        <v>6.3</v>
      </c>
      <c r="J25" s="38">
        <v>5.0999999999999996</v>
      </c>
      <c r="K25" s="38">
        <v>6.5</v>
      </c>
      <c r="L25" s="38">
        <v>5.0999999999999996</v>
      </c>
      <c r="M25" s="38">
        <v>3.7</v>
      </c>
      <c r="N25" s="38">
        <v>4.4000000000000004</v>
      </c>
      <c r="O25" s="38">
        <v>3.4</v>
      </c>
      <c r="P25" s="38">
        <f t="shared" si="13"/>
        <v>55.3</v>
      </c>
      <c r="Q25" s="37" t="s">
        <v>92</v>
      </c>
    </row>
    <row r="26" spans="1:17" s="36" customFormat="1" ht="24.95" customHeight="1" x14ac:dyDescent="0.3">
      <c r="A26" s="88"/>
      <c r="B26" s="88"/>
      <c r="C26" s="37">
        <v>2021</v>
      </c>
      <c r="D26" s="38">
        <v>1.8</v>
      </c>
      <c r="E26" s="38">
        <v>2.2000000000000002</v>
      </c>
      <c r="F26" s="38">
        <v>3.1</v>
      </c>
      <c r="G26" s="38">
        <v>3.5</v>
      </c>
      <c r="H26" s="38">
        <v>2.6</v>
      </c>
      <c r="I26" s="38">
        <v>4.9000000000000004</v>
      </c>
      <c r="J26" s="38">
        <v>3.8</v>
      </c>
      <c r="K26" s="38">
        <v>5.5</v>
      </c>
      <c r="L26" s="38">
        <v>3.8</v>
      </c>
      <c r="M26" s="38">
        <v>2.9</v>
      </c>
      <c r="N26" s="38">
        <v>2.8</v>
      </c>
      <c r="O26" s="38">
        <v>1.4</v>
      </c>
      <c r="P26" s="38">
        <f t="shared" si="13"/>
        <v>38.299999999999997</v>
      </c>
      <c r="Q26" s="37" t="s">
        <v>93</v>
      </c>
    </row>
    <row r="27" spans="1:17" s="36" customFormat="1" ht="24.95" customHeight="1" x14ac:dyDescent="0.3">
      <c r="A27" s="88"/>
      <c r="B27" s="88"/>
      <c r="C27" s="37">
        <v>2021</v>
      </c>
      <c r="D27" s="38">
        <v>0.9</v>
      </c>
      <c r="E27" s="38">
        <v>1.1000000000000001</v>
      </c>
      <c r="F27" s="38">
        <v>1.4</v>
      </c>
      <c r="G27" s="38">
        <v>1.4</v>
      </c>
      <c r="H27" s="38">
        <v>1.2</v>
      </c>
      <c r="I27" s="38">
        <v>3.1</v>
      </c>
      <c r="J27" s="38">
        <v>2.1</v>
      </c>
      <c r="K27" s="38">
        <v>3.3</v>
      </c>
      <c r="L27" s="38">
        <v>2.2999999999999998</v>
      </c>
      <c r="M27" s="38">
        <v>1.7</v>
      </c>
      <c r="N27" s="38">
        <v>1.4</v>
      </c>
      <c r="O27" s="38">
        <v>0.5</v>
      </c>
      <c r="P27" s="38">
        <f t="shared" si="13"/>
        <v>20.399999999999999</v>
      </c>
      <c r="Q27" s="37" t="s">
        <v>94</v>
      </c>
    </row>
    <row r="28" spans="1:17" s="36" customFormat="1" ht="24.95" customHeight="1" x14ac:dyDescent="0.3">
      <c r="A28" s="88"/>
      <c r="B28" s="88"/>
      <c r="C28" s="38">
        <v>2021</v>
      </c>
      <c r="D28" s="38">
        <v>6</v>
      </c>
      <c r="E28" s="38">
        <v>4.8</v>
      </c>
      <c r="F28" s="38">
        <v>5.3</v>
      </c>
      <c r="G28" s="38">
        <v>4.2</v>
      </c>
      <c r="H28" s="38">
        <v>1.9</v>
      </c>
      <c r="I28" s="38">
        <v>1.5</v>
      </c>
      <c r="J28" s="38">
        <v>3</v>
      </c>
      <c r="K28" s="38">
        <v>2.4</v>
      </c>
      <c r="L28" s="38">
        <v>0.7</v>
      </c>
      <c r="M28" s="38">
        <v>2.4</v>
      </c>
      <c r="N28" s="38">
        <v>4.8</v>
      </c>
      <c r="O28" s="38">
        <v>10.199999999999999</v>
      </c>
      <c r="P28" s="38">
        <f t="shared" si="13"/>
        <v>47.199999999999989</v>
      </c>
      <c r="Q28" s="38" t="s">
        <v>95</v>
      </c>
    </row>
    <row r="29" spans="1:17" s="41" customFormat="1" ht="24.95" customHeight="1" x14ac:dyDescent="0.3">
      <c r="A29" s="88"/>
      <c r="B29" s="88"/>
      <c r="C29" s="39" t="s">
        <v>98</v>
      </c>
      <c r="D29" s="40">
        <f>SUM(D19:D28)</f>
        <v>12.100000000000001</v>
      </c>
      <c r="E29" s="40">
        <f t="shared" ref="E29" si="14">SUM(E19:E28)</f>
        <v>12.3</v>
      </c>
      <c r="F29" s="40">
        <f t="shared" ref="F29" si="15">SUM(F19:F28)</f>
        <v>14.5</v>
      </c>
      <c r="G29" s="40">
        <f t="shared" ref="G29" si="16">SUM(G19:G28)</f>
        <v>14.5</v>
      </c>
      <c r="H29" s="40">
        <f t="shared" ref="H29" si="17">SUM(H19:H28)</f>
        <v>9.6</v>
      </c>
      <c r="I29" s="40">
        <f t="shared" ref="I29" si="18">SUM(I19:I28)</f>
        <v>15.9</v>
      </c>
      <c r="J29" s="40">
        <f t="shared" ref="J29" si="19">SUM(J19:J28)</f>
        <v>20.100000000000001</v>
      </c>
      <c r="K29" s="40">
        <f t="shared" ref="K29" si="20">SUM(K19:K28)</f>
        <v>23.599999999999998</v>
      </c>
      <c r="L29" s="40">
        <f t="shared" ref="L29" si="21">SUM(L19:L28)</f>
        <v>12.099999999999998</v>
      </c>
      <c r="M29" s="40">
        <f t="shared" ref="M29" si="22">SUM(M19:M28)</f>
        <v>10.7</v>
      </c>
      <c r="N29" s="40">
        <f t="shared" ref="N29" si="23">SUM(N19:N28)</f>
        <v>13.399999999999999</v>
      </c>
      <c r="O29" s="40">
        <f t="shared" ref="O29" si="24">SUM(O19:O28)</f>
        <v>15.5</v>
      </c>
      <c r="P29" s="40">
        <f t="shared" si="13"/>
        <v>174.29999999999998</v>
      </c>
      <c r="Q29" s="39"/>
    </row>
  </sheetData>
  <mergeCells count="16">
    <mergeCell ref="Q3:Q4"/>
    <mergeCell ref="A5:A15"/>
    <mergeCell ref="B5:B15"/>
    <mergeCell ref="A3:A4"/>
    <mergeCell ref="B3:B4"/>
    <mergeCell ref="C3:C4"/>
    <mergeCell ref="D3:O3"/>
    <mergeCell ref="P3:P4"/>
    <mergeCell ref="Q17:Q18"/>
    <mergeCell ref="A19:A29"/>
    <mergeCell ref="B19:B29"/>
    <mergeCell ref="A17:A18"/>
    <mergeCell ref="B17:B18"/>
    <mergeCell ref="C17:C18"/>
    <mergeCell ref="D17:O17"/>
    <mergeCell ref="P17:P18"/>
  </mergeCells>
  <phoneticPr fontId="5" type="noConversion"/>
  <pageMargins left="0.70866141732283472" right="0.51181102362204722" top="0.74803149606299213" bottom="0.74803149606299213" header="0.31496062992125984" footer="0.31496062992125984"/>
  <pageSetup paperSize="9" scale="90" orientation="landscape"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1</vt:i4>
      </vt:variant>
    </vt:vector>
  </HeadingPairs>
  <TitlesOfParts>
    <vt:vector size="4" baseType="lpstr">
      <vt:lpstr>공기산정</vt:lpstr>
      <vt:lpstr>별표1-공유일</vt:lpstr>
      <vt:lpstr>별표2-비작업일수</vt:lpstr>
      <vt:lpstr>공기산정!Print_Area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현무헌</dc:creator>
  <cp:lastModifiedBy>user</cp:lastModifiedBy>
  <cp:lastPrinted>2024-05-24T02:13:20Z</cp:lastPrinted>
  <dcterms:created xsi:type="dcterms:W3CDTF">2020-06-25T00:43:51Z</dcterms:created>
  <dcterms:modified xsi:type="dcterms:W3CDTF">2024-06-08T06:56:14Z</dcterms:modified>
</cp:coreProperties>
</file>