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3">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s>
  <sheetData>
    <row r="1">
      <c r="A1" s="134" t="inlineStr">
        <is>
          <t>선택명 (분류&gt;공종 (작업조건))</t>
        </is>
      </c>
      <c r="B1" s="134" t="inlineStr">
        <is>
          <t>수량 단위</t>
        </is>
      </c>
      <c r="C1" s="134" t="inlineStr">
        <is>
          <t>1일 작업량 (수량/일)</t>
        </is>
      </c>
      <c r="D1" s="134" t="inlineStr">
        <is>
          <t>원문 표기 (부록 4)</t>
        </is>
      </c>
    </row>
    <row r="2">
      <c r="A2" t="inlineStr">
        <is>
          <t>공통가설공사&gt;가설사무실</t>
        </is>
      </c>
      <c r="B2" t="inlineStr">
        <is>
          <t>개소</t>
        </is>
      </c>
      <c r="C2" s="135" t="n">
        <v>0.01298701298701299</v>
      </c>
      <c r="D2" t="inlineStr">
        <is>
          <t>77일/개소</t>
        </is>
      </c>
    </row>
    <row r="3">
      <c r="A3" t="inlineStr">
        <is>
          <t>공통가설공사&gt;가설울타리 (H형강지주 4m 이하)</t>
        </is>
      </c>
      <c r="B3" t="inlineStr">
        <is>
          <t>m</t>
        </is>
      </c>
      <c r="C3" s="135" t="n">
        <v>30</v>
      </c>
      <c r="D3" t="inlineStr">
        <is>
          <t>30m/일</t>
        </is>
      </c>
    </row>
    <row r="4">
      <c r="A4" t="inlineStr">
        <is>
          <t>공통가설공사&gt;가설방음벽 (H형강지주 4m 이하)</t>
        </is>
      </c>
      <c r="B4" t="inlineStr">
        <is>
          <t>m</t>
        </is>
      </c>
      <c r="C4" s="135" t="n">
        <v>30</v>
      </c>
      <c r="D4" t="inlineStr">
        <is>
          <t>30m/일</t>
        </is>
      </c>
    </row>
    <row r="5">
      <c r="A5" t="inlineStr">
        <is>
          <t>공통가설공사&gt;구조물 동바리 (시스템 동바리 30m 이하)</t>
        </is>
      </c>
      <c r="B5" t="inlineStr">
        <is>
          <t>㎥</t>
        </is>
      </c>
      <c r="C5" s="135" t="n">
        <v>82</v>
      </c>
      <c r="D5" t="inlineStr">
        <is>
          <t>82㎥/일</t>
        </is>
      </c>
    </row>
    <row r="6">
      <c r="A6" t="inlineStr">
        <is>
          <t>공통가설공사&gt;구조물 비계 (강관비계 30m 이하)</t>
        </is>
      </c>
      <c r="B6" t="inlineStr">
        <is>
          <t>㎡</t>
        </is>
      </c>
      <c r="C6" s="135" t="n">
        <v>102</v>
      </c>
      <c r="D6" t="inlineStr">
        <is>
          <t>102㎡/일</t>
        </is>
      </c>
    </row>
    <row r="7">
      <c r="A7" t="inlineStr">
        <is>
          <t>공통가설공사&gt;가설흙막이(진동파일해머-H파일) (파일 근입장 20m)</t>
        </is>
      </c>
      <c r="B7" t="inlineStr">
        <is>
          <t>본</t>
        </is>
      </c>
      <c r="C7" s="135" t="n">
        <v>8</v>
      </c>
      <c r="D7" t="inlineStr">
        <is>
          <t>8본/일</t>
        </is>
      </c>
    </row>
    <row r="8">
      <c r="A8" t="inlineStr">
        <is>
          <t>공통가설공사&gt;가설흙막이(진동파일해머-강널말뚝) (파일 근입장 20m)</t>
        </is>
      </c>
      <c r="B8" t="inlineStr">
        <is>
          <t>본</t>
        </is>
      </c>
      <c r="C8" s="135" t="n">
        <v>10</v>
      </c>
      <c r="D8" t="inlineStr">
        <is>
          <t>10본/일</t>
        </is>
      </c>
    </row>
    <row r="9">
      <c r="A9" t="inlineStr">
        <is>
          <t>공통가설공사&gt;가설흙막이(워터제트 병용-강널말뚝) (파일 근입장 20m)</t>
        </is>
      </c>
      <c r="B9" t="inlineStr">
        <is>
          <t>본</t>
        </is>
      </c>
      <c r="C9" s="135" t="n">
        <v>6</v>
      </c>
      <c r="D9" t="inlineStr">
        <is>
          <t>6본/일</t>
        </is>
      </c>
    </row>
    <row r="10">
      <c r="A10" t="inlineStr">
        <is>
          <t>공통가설공사&gt;가설흙막이(유압식 압입 인발기-강널말뚝) (파일 근입장 20m)</t>
        </is>
      </c>
      <c r="B10" t="inlineStr">
        <is>
          <t>본</t>
        </is>
      </c>
      <c r="C10" s="135" t="n">
        <v>8</v>
      </c>
      <c r="D10" t="inlineStr">
        <is>
          <t>8본/일</t>
        </is>
      </c>
    </row>
    <row r="11">
      <c r="A11" t="inlineStr">
        <is>
          <t>공통가설공사&gt;가설흙막이(말뚝박기용 천공/근입) (파일 근입장 20m)</t>
        </is>
      </c>
      <c r="B11" t="inlineStr">
        <is>
          <t>본</t>
        </is>
      </c>
      <c r="C11" s="135" t="n">
        <v>8</v>
      </c>
      <c r="D11" t="inlineStr">
        <is>
          <t>8본/일</t>
        </is>
      </c>
    </row>
    <row r="12">
      <c r="A12" t="inlineStr">
        <is>
          <t>토공사&gt;기존시설물 깨기 (아스콘 t=30㎝ 이상)</t>
        </is>
      </c>
      <c r="B12" t="inlineStr">
        <is>
          <t>㎥</t>
        </is>
      </c>
      <c r="C12" s="135" t="n">
        <v>54</v>
      </c>
      <c r="D12" t="inlineStr">
        <is>
          <t>54㎥/일</t>
        </is>
      </c>
    </row>
    <row r="13">
      <c r="A13" t="inlineStr">
        <is>
          <t>토공사&gt;벌목 (벌목 8m 이상)</t>
        </is>
      </c>
      <c r="B13" t="inlineStr">
        <is>
          <t>㎡</t>
        </is>
      </c>
      <c r="C13" s="135" t="n">
        <v>1375</v>
      </c>
      <c r="D13" t="inlineStr">
        <is>
          <t>1,375㎡/일</t>
        </is>
      </c>
    </row>
    <row r="14">
      <c r="A14" t="inlineStr">
        <is>
          <t>토공사&gt;벌개제근</t>
        </is>
      </c>
      <c r="B14" t="inlineStr">
        <is>
          <t>㎡</t>
        </is>
      </c>
      <c r="C14" s="135" t="n">
        <v>1110</v>
      </c>
      <c r="D14" t="inlineStr">
        <is>
          <t>1,110㎡/일</t>
        </is>
      </c>
    </row>
    <row r="15">
      <c r="A15" t="inlineStr">
        <is>
          <t>토공사&gt;표토제거 (답구간)</t>
        </is>
      </c>
      <c r="B15" t="inlineStr">
        <is>
          <t>㎡</t>
        </is>
      </c>
      <c r="C15" s="135" t="n">
        <v>1915</v>
      </c>
      <c r="D15" t="inlineStr">
        <is>
          <t>1,915㎡/일</t>
        </is>
      </c>
    </row>
    <row r="16">
      <c r="A16" t="inlineStr">
        <is>
          <t>토공사&gt;흙깎기-토사 (굴삭기 1.0㎥)</t>
        </is>
      </c>
      <c r="B16" t="inlineStr">
        <is>
          <t>㎥</t>
        </is>
      </c>
      <c r="C16" s="135" t="n">
        <v>520</v>
      </c>
      <c r="D16" t="inlineStr">
        <is>
          <t>520㎥/일</t>
        </is>
      </c>
    </row>
    <row r="17">
      <c r="A17" t="inlineStr">
        <is>
          <t>토공사&gt;흙깎기-리핑암 (리퍼 2본+불도저 32톤)</t>
        </is>
      </c>
      <c r="B17" t="inlineStr">
        <is>
          <t>㎥</t>
        </is>
      </c>
      <c r="C17" s="135" t="n">
        <v>367</v>
      </c>
      <c r="D17" t="inlineStr">
        <is>
          <t>367㎥/일</t>
        </is>
      </c>
    </row>
    <row r="18">
      <c r="A18" t="inlineStr">
        <is>
          <t>토공사&gt;흙깎기-발파암(브레이커) (연암, 보통암, 경암 평균)</t>
        </is>
      </c>
      <c r="B18" t="inlineStr">
        <is>
          <t>㎥</t>
        </is>
      </c>
      <c r="C18" s="135" t="n">
        <v>27</v>
      </c>
      <c r="D18" t="inlineStr">
        <is>
          <t>27㎥/일</t>
        </is>
      </c>
    </row>
    <row r="19">
      <c r="A19" t="inlineStr">
        <is>
          <t>토공사&gt;흙깎기-발파암(발파) (진동제어발파(소규모))</t>
        </is>
      </c>
      <c r="B19" t="inlineStr">
        <is>
          <t>㎥</t>
        </is>
      </c>
      <c r="C19" s="135" t="n">
        <v>83</v>
      </c>
      <c r="D19" t="inlineStr">
        <is>
          <t>83㎥/일</t>
        </is>
      </c>
    </row>
    <row r="20">
      <c r="A20" t="inlineStr">
        <is>
          <t>토공사&gt;터파기-토사 (굴삭기 0.7㎥, 자연터파기)</t>
        </is>
      </c>
      <c r="B20" t="inlineStr">
        <is>
          <t>㎥</t>
        </is>
      </c>
      <c r="C20" s="135" t="n">
        <v>349</v>
      </c>
      <c r="D20" t="inlineStr">
        <is>
          <t>349㎥/일</t>
        </is>
      </c>
    </row>
    <row r="21">
      <c r="A21" t="inlineStr">
        <is>
          <t>토공사&gt;터파기-리핑암 (브레이커 0.7㎥, 자연터파기)</t>
        </is>
      </c>
      <c r="B21" t="inlineStr">
        <is>
          <t>㎥</t>
        </is>
      </c>
      <c r="C21" s="135" t="n">
        <v>25</v>
      </c>
      <c r="D21" t="inlineStr">
        <is>
          <t>25㎥/일</t>
        </is>
      </c>
    </row>
    <row r="22">
      <c r="A22" t="inlineStr">
        <is>
          <t>토공사&gt;터파기-발파암 (브레이커 0.7㎥, 자연터파기)</t>
        </is>
      </c>
      <c r="B22" t="inlineStr">
        <is>
          <t>㎥</t>
        </is>
      </c>
      <c r="C22" s="135" t="n">
        <v>18</v>
      </c>
      <c r="D22" t="inlineStr">
        <is>
          <t>18㎥/일</t>
        </is>
      </c>
    </row>
    <row r="23">
      <c r="A23" t="inlineStr">
        <is>
          <t>토공사&gt;흙쌓기-노상 (모터그레이더 3.6㎥)</t>
        </is>
      </c>
      <c r="B23" t="inlineStr">
        <is>
          <t>㎥</t>
        </is>
      </c>
      <c r="C23" s="135" t="n">
        <v>745</v>
      </c>
      <c r="D23" t="inlineStr">
        <is>
          <t>745㎥/일</t>
        </is>
      </c>
    </row>
    <row r="24">
      <c r="A24" t="inlineStr">
        <is>
          <t>토공사&gt;흙쌓기-노체 (모터그레이더 3.6㎥)</t>
        </is>
      </c>
      <c r="B24" t="inlineStr">
        <is>
          <t>㎥</t>
        </is>
      </c>
      <c r="C24" s="135" t="n">
        <v>1118</v>
      </c>
      <c r="D24" t="inlineStr">
        <is>
          <t>1,118㎥/일</t>
        </is>
      </c>
    </row>
    <row r="25">
      <c r="A25" t="inlineStr">
        <is>
          <t>토공사&gt;흙쌓기-암쌓기 (불도저 32톤)</t>
        </is>
      </c>
      <c r="B25" t="inlineStr">
        <is>
          <t>㎥</t>
        </is>
      </c>
      <c r="C25" s="135" t="n">
        <v>647</v>
      </c>
      <c r="D25" t="inlineStr">
        <is>
          <t>647㎥/일</t>
        </is>
      </c>
    </row>
    <row r="26">
      <c r="A26" t="inlineStr">
        <is>
          <t>토공사&gt;흙쌓기-녹지대 (불도저 32톤)</t>
        </is>
      </c>
      <c r="B26" t="inlineStr">
        <is>
          <t>㎥</t>
        </is>
      </c>
      <c r="C26" s="135" t="n">
        <v>1231</v>
      </c>
      <c r="D26" t="inlineStr">
        <is>
          <t>1,231㎥/일</t>
        </is>
      </c>
    </row>
    <row r="27">
      <c r="A27" t="inlineStr">
        <is>
          <t>토공사&gt;흙쌓기-되메우기 (램머(80kg) 다짐)</t>
        </is>
      </c>
      <c r="B27" t="inlineStr">
        <is>
          <t>㎥</t>
        </is>
      </c>
      <c r="C27" s="135" t="n">
        <v>42</v>
      </c>
      <c r="D27" t="inlineStr">
        <is>
          <t>42㎥/일</t>
        </is>
      </c>
    </row>
    <row r="28">
      <c r="A28" t="inlineStr">
        <is>
          <t>토공사&gt;연약지반-매트부설(PP, PET)</t>
        </is>
      </c>
      <c r="B28" t="inlineStr">
        <is>
          <t>㎡</t>
        </is>
      </c>
      <c r="C28" s="135" t="n">
        <v>3571</v>
      </c>
      <c r="D28" t="inlineStr">
        <is>
          <t>3,571㎡/일</t>
        </is>
      </c>
    </row>
    <row r="29">
      <c r="A29" t="inlineStr">
        <is>
          <t>토공사&gt;연약지반-샌드매트 포설 (불도저(습지) 13톤)</t>
        </is>
      </c>
      <c r="B29" t="inlineStr">
        <is>
          <t>㎥</t>
        </is>
      </c>
      <c r="C29" s="135" t="n">
        <v>421</v>
      </c>
      <c r="D29" t="inlineStr">
        <is>
          <t>421㎥/일</t>
        </is>
      </c>
    </row>
    <row r="30">
      <c r="A30" t="inlineStr">
        <is>
          <t>토공사&gt;연약지반-플라스틱 보드 드레인(PBD) (PBD L=25m 이하)</t>
        </is>
      </c>
      <c r="B30" t="inlineStr">
        <is>
          <t>m</t>
        </is>
      </c>
      <c r="C30" s="135" t="n">
        <v>9396</v>
      </c>
      <c r="D30" t="inlineStr">
        <is>
          <t>9,396m/일</t>
        </is>
      </c>
    </row>
    <row r="31">
      <c r="A31" t="inlineStr">
        <is>
          <t>토공사&gt;연약지반-침하토, 과재쌓기 (과재쌓기, 모터그레이더)</t>
        </is>
      </c>
      <c r="B31" t="inlineStr">
        <is>
          <t>㎥</t>
        </is>
      </c>
      <c r="C31" s="135" t="n">
        <v>1597</v>
      </c>
      <c r="D31" t="inlineStr">
        <is>
          <t>1,597㎥/일</t>
        </is>
      </c>
    </row>
    <row r="32">
      <c r="A32" t="inlineStr">
        <is>
          <t>토공사&gt;연약지반-과재쌓기 제거 (불도저 19톤)</t>
        </is>
      </c>
      <c r="B32" t="inlineStr">
        <is>
          <t>㎥</t>
        </is>
      </c>
      <c r="C32" s="135" t="n">
        <v>383</v>
      </c>
      <c r="D32" t="inlineStr">
        <is>
          <t>383㎥/일</t>
        </is>
      </c>
    </row>
    <row r="33">
      <c r="A33" t="inlineStr">
        <is>
          <t>토공사&gt;연약지반-활동방지공(S.C.P) (모래다짐말뚝 L=25m (원문 표기: 모대다짐말뚝))</t>
        </is>
      </c>
      <c r="B33" t="inlineStr">
        <is>
          <t>본</t>
        </is>
      </c>
      <c r="C33" s="135" t="n">
        <v>14</v>
      </c>
      <c r="D33" t="inlineStr">
        <is>
          <t>14본/일</t>
        </is>
      </c>
    </row>
    <row r="34">
      <c r="A34" t="inlineStr">
        <is>
          <t>토공사&gt;연약지반-지반보강(고압분사주입공법) (직경 800mm, L=25m)</t>
        </is>
      </c>
      <c r="B34" t="inlineStr">
        <is>
          <t>본</t>
        </is>
      </c>
      <c r="C34" s="135" t="n">
        <v>2.2</v>
      </c>
      <c r="D34" t="inlineStr">
        <is>
          <t>2.2본/일</t>
        </is>
      </c>
    </row>
    <row r="35">
      <c r="A35" t="inlineStr">
        <is>
          <t>토공사&gt;비탈면 보호공 (평떼)</t>
        </is>
      </c>
      <c r="B35" t="inlineStr">
        <is>
          <t>㎡</t>
        </is>
      </c>
      <c r="C35" s="135" t="n">
        <v>505</v>
      </c>
      <c r="D35" t="inlineStr">
        <is>
          <t>505㎡/일</t>
        </is>
      </c>
    </row>
    <row r="36">
      <c r="A36" t="inlineStr">
        <is>
          <t>토공사&gt;비탈면 보강공 (천공/보강재-연암)</t>
        </is>
      </c>
      <c r="B36" t="inlineStr">
        <is>
          <t>m</t>
        </is>
      </c>
      <c r="C36" s="135" t="n">
        <v>64</v>
      </c>
      <c r="D36" t="inlineStr">
        <is>
          <t>64m/일</t>
        </is>
      </c>
    </row>
    <row r="37">
      <c r="A37" t="inlineStr">
        <is>
          <t>배수공사&gt;암거공-지중강판 (B=5m, L=15m)</t>
        </is>
      </c>
      <c r="B37" t="inlineStr">
        <is>
          <t>15m/1span</t>
        </is>
      </c>
      <c r="C37" s="135" t="n">
        <v>0.02380952380952381</v>
      </c>
      <c r="D37" t="inlineStr">
        <is>
          <t>42일/15m/1span</t>
        </is>
      </c>
    </row>
    <row r="38">
      <c r="A38" t="inlineStr">
        <is>
          <t>배수공사&gt;암거공-철근콘크리트 (B=3m, H=1.8m, L=15m)</t>
        </is>
      </c>
      <c r="B38" t="inlineStr">
        <is>
          <t>15m/1span</t>
        </is>
      </c>
      <c r="C38" s="135" t="n">
        <v>0.03703703703703703</v>
      </c>
      <c r="D38" t="inlineStr">
        <is>
          <t>27일/15m/1span</t>
        </is>
      </c>
    </row>
    <row r="39">
      <c r="A39" t="inlineStr">
        <is>
          <t>배수공사&gt;암거공-날개벽 (B=2.5m, H=2.4m, L=5m (옹벽식))</t>
        </is>
      </c>
      <c r="B39" t="inlineStr">
        <is>
          <t>개소</t>
        </is>
      </c>
      <c r="C39" s="135" t="n">
        <v>0.07692307692307693</v>
      </c>
      <c r="D39" t="inlineStr">
        <is>
          <t>13일/개소</t>
        </is>
      </c>
    </row>
    <row r="40">
      <c r="A40" t="inlineStr">
        <is>
          <t>배수공사&gt;배수관-흄관, V.R관 (직경 600mm, 고무링접합)</t>
        </is>
      </c>
      <c r="B40" t="inlineStr">
        <is>
          <t>m</t>
        </is>
      </c>
      <c r="C40" s="135" t="n">
        <v>43</v>
      </c>
      <c r="D40" t="inlineStr">
        <is>
          <t>43m/일</t>
        </is>
      </c>
    </row>
    <row r="41">
      <c r="A41" t="inlineStr">
        <is>
          <t>배수공사&gt;배수관-강관 (직경 800mm, 접합제외)</t>
        </is>
      </c>
      <c r="B41" t="inlineStr">
        <is>
          <t>m</t>
        </is>
      </c>
      <c r="C41" s="135" t="n">
        <v>38</v>
      </c>
      <c r="D41" t="inlineStr">
        <is>
          <t>38m/일</t>
        </is>
      </c>
    </row>
    <row r="42">
      <c r="A42" t="inlineStr">
        <is>
          <t>배수공사&gt;배수관-강관압입추진 (직경 800mm, 접합제외)</t>
        </is>
      </c>
      <c r="B42" t="inlineStr">
        <is>
          <t>m</t>
        </is>
      </c>
      <c r="C42" s="135" t="n">
        <v>3</v>
      </c>
      <c r="D42" t="inlineStr">
        <is>
          <t>3m/일</t>
        </is>
      </c>
    </row>
    <row r="43">
      <c r="A43" t="inlineStr">
        <is>
          <t>배수공사&gt;옹벽-콘크리트옹벽 (B=4m, H=5m, L=15m)</t>
        </is>
      </c>
      <c r="B43" t="inlineStr">
        <is>
          <t>15m/1span</t>
        </is>
      </c>
      <c r="C43" s="135" t="n">
        <v>0.04</v>
      </c>
      <c r="D43" t="inlineStr">
        <is>
          <t>25일/15m/1span</t>
        </is>
      </c>
    </row>
    <row r="44">
      <c r="A44" t="inlineStr">
        <is>
          <t>배수공사&gt;옹벽-보강토옹벽 (블록식, 뒤채움 제외)</t>
        </is>
      </c>
      <c r="B44" t="inlineStr">
        <is>
          <t>㎡</t>
        </is>
      </c>
      <c r="C44" s="135" t="n">
        <v>14</v>
      </c>
      <c r="D44" t="inlineStr">
        <is>
          <t>14㎡/일</t>
        </is>
      </c>
    </row>
    <row r="45">
      <c r="A45" t="inlineStr">
        <is>
          <t>배수공사&gt;측구공-L형측구 (B=0.9m, H=2.3m, L=20m)</t>
        </is>
      </c>
      <c r="B45" t="inlineStr">
        <is>
          <t>20m/1span</t>
        </is>
      </c>
      <c r="C45" s="135" t="n">
        <v>0.125</v>
      </c>
      <c r="D45" t="inlineStr">
        <is>
          <t>8일/20m/1span</t>
        </is>
      </c>
    </row>
    <row r="46">
      <c r="A46" t="inlineStr">
        <is>
          <t>배수공사&gt;측구공-U형측구 (B=1.08m, H=1.0m, L=20m)</t>
        </is>
      </c>
      <c r="B46" t="inlineStr">
        <is>
          <t>20m/1span</t>
        </is>
      </c>
      <c r="C46" s="135" t="n">
        <v>0.1111111111111111</v>
      </c>
      <c r="D46" t="inlineStr">
        <is>
          <t>9일/20m/1span</t>
        </is>
      </c>
    </row>
    <row r="47">
      <c r="A47" t="inlineStr">
        <is>
          <t>배수공사&gt;측구공-V형측구 (B=1.46m, H=0.8m, L=20m)</t>
        </is>
      </c>
      <c r="B47" t="inlineStr">
        <is>
          <t>20m/1span</t>
        </is>
      </c>
      <c r="C47" s="135" t="n">
        <v>0.125</v>
      </c>
      <c r="D47" t="inlineStr">
        <is>
          <t>8일/20m/1span</t>
        </is>
      </c>
    </row>
    <row r="48">
      <c r="A48" t="inlineStr">
        <is>
          <t>배수공사&gt;측구공-산마루 측구 (B=1.34m, H=1.15m, L=20m)</t>
        </is>
      </c>
      <c r="B48" t="inlineStr">
        <is>
          <t>20m/1span</t>
        </is>
      </c>
      <c r="C48" s="135" t="n">
        <v>0.125</v>
      </c>
      <c r="D48" t="inlineStr">
        <is>
          <t>8일/20m/1span</t>
        </is>
      </c>
    </row>
    <row r="49">
      <c r="A49" t="inlineStr">
        <is>
          <t>포장공사&gt;아스팔트포장 1단계-작업준비 (스틱 설치간격 10m)</t>
        </is>
      </c>
      <c r="B49" t="inlineStr">
        <is>
          <t>m</t>
        </is>
      </c>
      <c r="C49" s="135" t="n">
        <v>1900</v>
      </c>
      <c r="D49" t="inlineStr">
        <is>
          <t>1,900m/일</t>
        </is>
      </c>
    </row>
    <row r="50">
      <c r="A50" t="inlineStr">
        <is>
          <t>포장공사&gt;아스팔트포장 1단계-작업준비 (스틱 설치간격 6m)</t>
        </is>
      </c>
      <c r="B50" t="inlineStr">
        <is>
          <t>m</t>
        </is>
      </c>
      <c r="C50" s="135" t="n">
        <v>1600</v>
      </c>
      <c r="D50" t="inlineStr">
        <is>
          <t>1,600m/일</t>
        </is>
      </c>
    </row>
    <row r="51">
      <c r="A51" t="inlineStr">
        <is>
          <t>포장공사&gt;아스팔트포장 1단계-작업준비 인수인계/위치측량 (고정 5일)</t>
        </is>
      </c>
      <c r="B51" t="inlineStr">
        <is>
          <t>식</t>
        </is>
      </c>
      <c r="C51" s="135" t="n">
        <v>0.2</v>
      </c>
      <c r="D51" t="inlineStr">
        <is>
          <t>5일</t>
        </is>
      </c>
    </row>
    <row r="52">
      <c r="A52" t="inlineStr">
        <is>
          <t>포장공사&gt;아스팔트포장 1단계-동상방지층(선택) (대형 다짐장비, 본선 포설)</t>
        </is>
      </c>
      <c r="B52" t="inlineStr">
        <is>
          <t>㎥</t>
        </is>
      </c>
      <c r="C52" s="135" t="n">
        <v>600</v>
      </c>
      <c r="D52" t="inlineStr">
        <is>
          <t>600㎥/일</t>
        </is>
      </c>
    </row>
    <row r="53">
      <c r="A53" t="inlineStr">
        <is>
          <t>포장공사&gt;아스팔트포장 1단계-보조기층 (대형 다짐장비, 본선 포설)</t>
        </is>
      </c>
      <c r="B53" t="inlineStr">
        <is>
          <t>㎥</t>
        </is>
      </c>
      <c r="C53" s="135" t="n">
        <v>550</v>
      </c>
      <c r="D53" t="inlineStr">
        <is>
          <t>550㎥/일</t>
        </is>
      </c>
    </row>
    <row r="54">
      <c r="A54" t="inlineStr">
        <is>
          <t>포장공사&gt;아스팔트포장 2단계-작업준비 (스틱 설치간격 10m)</t>
        </is>
      </c>
      <c r="B54" t="inlineStr">
        <is>
          <t>m</t>
        </is>
      </c>
      <c r="C54" s="135" t="n">
        <v>1900</v>
      </c>
      <c r="D54" t="inlineStr">
        <is>
          <t>1,900m/일</t>
        </is>
      </c>
    </row>
    <row r="55">
      <c r="A55" t="inlineStr">
        <is>
          <t>포장공사&gt;아스팔트포장 2단계-작업준비 (스틱 설치간격 6m)</t>
        </is>
      </c>
      <c r="B55" t="inlineStr">
        <is>
          <t>m</t>
        </is>
      </c>
      <c r="C55" s="135" t="n">
        <v>1600</v>
      </c>
      <c r="D55" t="inlineStr">
        <is>
          <t>1,600m/일</t>
        </is>
      </c>
    </row>
    <row r="56">
      <c r="A56" t="inlineStr">
        <is>
          <t>포장공사&gt;아스팔트포장 2단계-작업준비 자재발주/유도선 (고정 3일)</t>
        </is>
      </c>
      <c r="B56" t="inlineStr">
        <is>
          <t>식</t>
        </is>
      </c>
      <c r="C56" s="135" t="n">
        <v>0.3333333333333333</v>
      </c>
      <c r="D56" t="inlineStr">
        <is>
          <t>3일</t>
        </is>
      </c>
    </row>
    <row r="57">
      <c r="A57" t="inlineStr">
        <is>
          <t>포장공사&gt;아스팔트포장 2단계-택코팅 (역청재 살포)</t>
        </is>
      </c>
      <c r="B57" t="inlineStr">
        <is>
          <t>㎡</t>
        </is>
      </c>
      <c r="C57" s="135" t="n">
        <v>20000</v>
      </c>
      <c r="D57" t="inlineStr">
        <is>
          <t>20,000㎡/일</t>
        </is>
      </c>
    </row>
    <row r="58">
      <c r="A58" t="inlineStr">
        <is>
          <t>포장공사&gt;아스팔트포장 2단계-프라임코팅 (역청재 살포 (양생 2일 별도 계상))</t>
        </is>
      </c>
      <c r="B58" t="inlineStr">
        <is>
          <t>㎡</t>
        </is>
      </c>
      <c r="C58" s="135" t="n">
        <v>20000</v>
      </c>
      <c r="D58" t="inlineStr">
        <is>
          <t>20,000㎡/일</t>
        </is>
      </c>
    </row>
    <row r="59">
      <c r="A59" t="inlineStr">
        <is>
          <t>포장공사&gt;아스팔트포장 2단계-기층 (시공폭 3m 이상, 두께 5-7㎝)</t>
        </is>
      </c>
      <c r="B59" t="inlineStr">
        <is>
          <t>㎡</t>
        </is>
      </c>
      <c r="C59" s="135" t="n">
        <v>4900</v>
      </c>
      <c r="D59" t="inlineStr">
        <is>
          <t>4,900㎡/일</t>
        </is>
      </c>
    </row>
    <row r="60">
      <c r="A60" t="inlineStr">
        <is>
          <t>포장공사&gt;아스팔트포장 2단계-기층 (시공폭 3m 이상, 두께 8-10㎝)</t>
        </is>
      </c>
      <c r="B60" t="inlineStr">
        <is>
          <t>㎡</t>
        </is>
      </c>
      <c r="C60" s="135" t="n">
        <v>4500</v>
      </c>
      <c r="D60" t="inlineStr">
        <is>
          <t>4,500㎡/일</t>
        </is>
      </c>
    </row>
    <row r="61">
      <c r="A61" t="inlineStr">
        <is>
          <t>포장공사&gt;아스팔트포장 2단계-중간층/표층 (시공폭 3m 이상, 5-7㎝)</t>
        </is>
      </c>
      <c r="B61" t="inlineStr">
        <is>
          <t>㎡</t>
        </is>
      </c>
      <c r="C61" s="135" t="n">
        <v>4800</v>
      </c>
      <c r="D61" t="inlineStr">
        <is>
          <t>4,800㎡/일</t>
        </is>
      </c>
    </row>
    <row r="62">
      <c r="A62" t="inlineStr">
        <is>
          <t>포장공사&gt;아스팔트포장-부대공사 (차선도색, 안전시설 (준공 전))</t>
        </is>
      </c>
      <c r="B62" t="inlineStr">
        <is>
          <t>km</t>
        </is>
      </c>
      <c r="C62" s="135" t="n">
        <v>0.3333333333333333</v>
      </c>
      <c r="D62" t="inlineStr">
        <is>
          <t>3일/km</t>
        </is>
      </c>
    </row>
    <row r="63">
      <c r="A63" t="inlineStr">
        <is>
          <t>포장공사&gt;콘크리트포장 1단계-작업준비 (스틱 설치간격 10m)</t>
        </is>
      </c>
      <c r="B63" t="inlineStr">
        <is>
          <t>m</t>
        </is>
      </c>
      <c r="C63" s="135" t="n">
        <v>1900</v>
      </c>
      <c r="D63" t="inlineStr">
        <is>
          <t>1,900m/일</t>
        </is>
      </c>
    </row>
    <row r="64">
      <c r="A64" t="inlineStr">
        <is>
          <t>포장공사&gt;콘크리트포장 1단계-작업준비 (스틱 설치간격 6m)</t>
        </is>
      </c>
      <c r="B64" t="inlineStr">
        <is>
          <t>m</t>
        </is>
      </c>
      <c r="C64" s="135" t="n">
        <v>1600</v>
      </c>
      <c r="D64" t="inlineStr">
        <is>
          <t>1,600m/일</t>
        </is>
      </c>
    </row>
    <row r="65">
      <c r="A65" t="inlineStr">
        <is>
          <t>포장공사&gt;콘크리트포장 1단계-작업준비 인수인계/위치측량 (고정 5일)</t>
        </is>
      </c>
      <c r="B65" t="inlineStr">
        <is>
          <t>식</t>
        </is>
      </c>
      <c r="C65" s="135" t="n">
        <v>0.2</v>
      </c>
      <c r="D65" t="inlineStr">
        <is>
          <t>5일</t>
        </is>
      </c>
    </row>
    <row r="66">
      <c r="A66" t="inlineStr">
        <is>
          <t>포장공사&gt;콘크리트포장 1단계-동상방지층(선택) (대형 다짐장비, 본선 포설)</t>
        </is>
      </c>
      <c r="B66" t="inlineStr">
        <is>
          <t>㎥</t>
        </is>
      </c>
      <c r="C66" s="135" t="n">
        <v>600</v>
      </c>
      <c r="D66" t="inlineStr">
        <is>
          <t>600㎥/일</t>
        </is>
      </c>
    </row>
    <row r="67">
      <c r="A67" t="inlineStr">
        <is>
          <t>포장공사&gt;콘크리트포장 1단계-린콘크리트 (린 콘크리트 기층 포설)</t>
        </is>
      </c>
      <c r="B67" t="inlineStr">
        <is>
          <t>㎥</t>
        </is>
      </c>
      <c r="C67" s="135" t="n">
        <v>550</v>
      </c>
      <c r="D67" t="inlineStr">
        <is>
          <t>550㎥/일</t>
        </is>
      </c>
    </row>
    <row r="68">
      <c r="A68" t="inlineStr">
        <is>
          <t>포장공사&gt;콘크리트포장 2단계-작업준비 (스틱 설치간격 10m)</t>
        </is>
      </c>
      <c r="B68" t="inlineStr">
        <is>
          <t>m</t>
        </is>
      </c>
      <c r="C68" s="135" t="n">
        <v>1900</v>
      </c>
      <c r="D68" t="inlineStr">
        <is>
          <t>1,900m/일</t>
        </is>
      </c>
    </row>
    <row r="69">
      <c r="A69" t="inlineStr">
        <is>
          <t>포장공사&gt;콘크리트포장 2단계-작업준비 (스틱 설치간격 6m)</t>
        </is>
      </c>
      <c r="B69" t="inlineStr">
        <is>
          <t>m</t>
        </is>
      </c>
      <c r="C69" s="135" t="n">
        <v>1600</v>
      </c>
      <c r="D69" t="inlineStr">
        <is>
          <t>1,600m/일</t>
        </is>
      </c>
    </row>
    <row r="70">
      <c r="A70" t="inlineStr">
        <is>
          <t>포장공사&gt;콘크리트포장 2단계-작업준비 자재발주/유도선 (고정 3일)</t>
        </is>
      </c>
      <c r="B70" t="inlineStr">
        <is>
          <t>식</t>
        </is>
      </c>
      <c r="C70" s="135" t="n">
        <v>0.3333333333333333</v>
      </c>
      <c r="D70" t="inlineStr">
        <is>
          <t>3일</t>
        </is>
      </c>
    </row>
    <row r="71">
      <c r="A71" t="inlineStr">
        <is>
          <t>포장공사&gt;콘크리트포장 2단계-콘크리트표층 (일반구간 1차로 (교량구간 별도))</t>
        </is>
      </c>
      <c r="B71" t="inlineStr">
        <is>
          <t>㎥</t>
        </is>
      </c>
      <c r="C71" s="135" t="n">
        <v>300</v>
      </c>
      <c r="D71" t="inlineStr">
        <is>
          <t>300㎥/일</t>
        </is>
      </c>
    </row>
    <row r="72">
      <c r="A72" t="inlineStr">
        <is>
          <t>포장공사&gt;콘크리트포장 2단계-콘크리트표층 (일반구간 2차로 (교량구간 별도))</t>
        </is>
      </c>
      <c r="B72" t="inlineStr">
        <is>
          <t>㎥</t>
        </is>
      </c>
      <c r="C72" s="135" t="n">
        <v>700</v>
      </c>
      <c r="D72" t="inlineStr">
        <is>
          <t>700㎥/일</t>
        </is>
      </c>
    </row>
    <row r="73">
      <c r="A73" t="inlineStr">
        <is>
          <t>포장공사&gt;콘크리트포장 2단계-포장절단 및 줄눈설치 (표층 포설기간에 추가)</t>
        </is>
      </c>
      <c r="B73" t="inlineStr">
        <is>
          <t>식</t>
        </is>
      </c>
      <c r="C73" s="135" t="n">
        <v>0.3333333333333333</v>
      </c>
      <c r="D73" t="inlineStr">
        <is>
          <t>3일</t>
        </is>
      </c>
    </row>
    <row r="74">
      <c r="A74" t="inlineStr">
        <is>
          <t>포장공사&gt;콘크리트포장-부대공사 (차선도색, 안전시설 (준공 전))</t>
        </is>
      </c>
      <c r="B74" t="inlineStr">
        <is>
          <t>km</t>
        </is>
      </c>
      <c r="C74" s="135" t="n">
        <v>0.3333333333333333</v>
      </c>
      <c r="D74" t="inlineStr">
        <is>
          <t>3일/km</t>
        </is>
      </c>
    </row>
    <row r="75">
      <c r="A75" t="inlineStr">
        <is>
          <t>교량공사&gt;기초공-직접기초</t>
        </is>
      </c>
      <c r="B75" t="inlineStr">
        <is>
          <t>개소</t>
        </is>
      </c>
      <c r="C75" s="135" t="n">
        <v>0.05555555555555555</v>
      </c>
      <c r="D75" t="inlineStr">
        <is>
          <t>18일/개소</t>
        </is>
      </c>
    </row>
    <row r="76">
      <c r="A76" t="inlineStr">
        <is>
          <t>교량공사&gt;기초공-말뚝기초 (SDA)</t>
        </is>
      </c>
      <c r="B76" t="inlineStr">
        <is>
          <t>본</t>
        </is>
      </c>
      <c r="C76" s="135" t="n">
        <v>10</v>
      </c>
      <c r="D76" t="inlineStr">
        <is>
          <t>10본/일</t>
        </is>
      </c>
    </row>
    <row r="77">
      <c r="A77" t="inlineStr">
        <is>
          <t>교량공사&gt;하부공-교대 벽체 (1Lot=2.5m)</t>
        </is>
      </c>
      <c r="B77" t="inlineStr">
        <is>
          <t>Lot</t>
        </is>
      </c>
      <c r="C77" s="135" t="n">
        <v>0.1</v>
      </c>
      <c r="D77" t="inlineStr">
        <is>
          <t>10일/1Lot</t>
        </is>
      </c>
    </row>
    <row r="78">
      <c r="A78" t="inlineStr">
        <is>
          <t>교량공사&gt;하부공-교각 기둥 (1Lot=3.0m)</t>
        </is>
      </c>
      <c r="B78" t="inlineStr">
        <is>
          <t>Lot</t>
        </is>
      </c>
      <c r="C78" s="135" t="n">
        <v>0.1428571428571428</v>
      </c>
      <c r="D78" t="inlineStr">
        <is>
          <t>7일/1Lot</t>
        </is>
      </c>
    </row>
    <row r="79">
      <c r="A79" t="inlineStr">
        <is>
          <t>교량공사&gt;하부공-교각 코핑</t>
        </is>
      </c>
      <c r="B79" t="inlineStr">
        <is>
          <t>개소</t>
        </is>
      </c>
      <c r="C79" s="135" t="n">
        <v>0.05</v>
      </c>
      <c r="D79" t="inlineStr">
        <is>
          <t>20일/개소</t>
        </is>
      </c>
    </row>
    <row r="80">
      <c r="A80" t="inlineStr">
        <is>
          <t>교량공사&gt;하부공-부지조성 (토공사(부지 조성 및 평탄화))</t>
        </is>
      </c>
      <c r="B80" t="inlineStr">
        <is>
          <t>식</t>
        </is>
      </c>
      <c r="C80" s="135" t="n">
        <v>0.1</v>
      </c>
      <c r="D80" t="inlineStr">
        <is>
          <t>10일</t>
        </is>
      </c>
    </row>
    <row r="81">
      <c r="A81" t="inlineStr">
        <is>
          <t>교량공사&gt;상부공-거더 제작</t>
        </is>
      </c>
      <c r="B81" t="inlineStr">
        <is>
          <t>본</t>
        </is>
      </c>
      <c r="C81" s="135" t="n">
        <v>0.05555555555555555</v>
      </c>
      <c r="D81" t="inlineStr">
        <is>
          <t>18일/본</t>
        </is>
      </c>
    </row>
    <row r="82">
      <c r="A82" t="inlineStr">
        <is>
          <t>교량공사&gt;상부공-거더 운반 및 거치</t>
        </is>
      </c>
      <c r="B82" t="inlineStr">
        <is>
          <t>본</t>
        </is>
      </c>
      <c r="C82" s="135" t="n">
        <v>2</v>
      </c>
      <c r="D82" t="inlineStr">
        <is>
          <t>2본/일</t>
        </is>
      </c>
    </row>
    <row r="83">
      <c r="A83" t="inlineStr">
        <is>
          <t>교량공사&gt;상부공-상부슬래브 (1경간 기준 (2경간이면 40일))</t>
        </is>
      </c>
      <c r="B83" t="inlineStr">
        <is>
          <t>경간</t>
        </is>
      </c>
      <c r="C83" s="135" t="n">
        <v>0.04</v>
      </c>
      <c r="D83" t="inlineStr">
        <is>
          <t>25일/1경간</t>
        </is>
      </c>
    </row>
    <row r="84">
      <c r="A84" t="inlineStr">
        <is>
          <t>교량공사&gt;상부공-교면포장(LMC) 포설</t>
        </is>
      </c>
      <c r="B84" t="inlineStr">
        <is>
          <t>㎡</t>
        </is>
      </c>
      <c r="C84" s="135" t="n">
        <v>200</v>
      </c>
      <c r="D84" t="inlineStr">
        <is>
          <t>200㎡/일</t>
        </is>
      </c>
    </row>
    <row r="85">
      <c r="A85" t="inlineStr">
        <is>
          <t>교량공사&gt;상부공-교면포장(LMC) 마무리</t>
        </is>
      </c>
      <c r="B85" t="inlineStr">
        <is>
          <t>경간</t>
        </is>
      </c>
      <c r="C85" s="135" t="n">
        <v>0.125</v>
      </c>
      <c r="D85" t="inlineStr">
        <is>
          <t>8일/경간</t>
        </is>
      </c>
    </row>
    <row r="86">
      <c r="A86" t="inlineStr">
        <is>
          <t>교량공사&gt;교량부대공사 (교량난간+배수시설+방음벽 등)</t>
        </is>
      </c>
      <c r="B86" t="inlineStr">
        <is>
          <t>교량</t>
        </is>
      </c>
      <c r="C86" s="135" t="n">
        <v>0.06666666666666667</v>
      </c>
      <c r="D86" t="inlineStr">
        <is>
          <t>15일/교량</t>
        </is>
      </c>
    </row>
    <row r="87">
      <c r="A87" t="inlineStr">
        <is>
          <t>터널공사&gt;갱구부 보강-시점부</t>
        </is>
      </c>
      <c r="B87" t="inlineStr">
        <is>
          <t>개소</t>
        </is>
      </c>
      <c r="C87" s="135" t="n">
        <v>0.04</v>
      </c>
      <c r="D87" t="inlineStr">
        <is>
          <t>25일/개소</t>
        </is>
      </c>
    </row>
    <row r="88">
      <c r="A88" t="inlineStr">
        <is>
          <t>터널공사&gt;갱구부 보강-종점부</t>
        </is>
      </c>
      <c r="B88" t="inlineStr">
        <is>
          <t>개소</t>
        </is>
      </c>
      <c r="C88" s="135" t="n">
        <v>0.04</v>
      </c>
      <c r="D88" t="inlineStr">
        <is>
          <t>25일/개소</t>
        </is>
      </c>
    </row>
    <row r="89">
      <c r="A89" t="inlineStr">
        <is>
          <t>터널공사&gt;굴착 및 보강-P-1</t>
        </is>
      </c>
      <c r="B89" t="inlineStr">
        <is>
          <t>m</t>
        </is>
      </c>
      <c r="C89" s="135" t="n">
        <v>4.3</v>
      </c>
      <c r="D89" t="inlineStr">
        <is>
          <t>4.3m/일</t>
        </is>
      </c>
    </row>
    <row r="90">
      <c r="A90" t="inlineStr">
        <is>
          <t>터널공사&gt;굴착 및 보강-P-2</t>
        </is>
      </c>
      <c r="B90" t="inlineStr">
        <is>
          <t>m</t>
        </is>
      </c>
      <c r="C90" s="135" t="n">
        <v>4.1</v>
      </c>
      <c r="D90" t="inlineStr">
        <is>
          <t>4.1m/일</t>
        </is>
      </c>
    </row>
    <row r="91">
      <c r="A91" t="inlineStr">
        <is>
          <t>터널공사&gt;굴착 및 보강-P-3</t>
        </is>
      </c>
      <c r="B91" t="inlineStr">
        <is>
          <t>m</t>
        </is>
      </c>
      <c r="C91" s="135" t="n">
        <v>2.9</v>
      </c>
      <c r="D91" t="inlineStr">
        <is>
          <t>2.9m/일</t>
        </is>
      </c>
    </row>
    <row r="92">
      <c r="A92" t="inlineStr">
        <is>
          <t>터널공사&gt;굴착 및 보강-P-4 상반</t>
        </is>
      </c>
      <c r="B92" t="inlineStr">
        <is>
          <t>m</t>
        </is>
      </c>
      <c r="C92" s="135" t="n">
        <v>2.6</v>
      </c>
      <c r="D92" t="inlineStr">
        <is>
          <t>2.6m/일</t>
        </is>
      </c>
    </row>
    <row r="93">
      <c r="A93" t="inlineStr">
        <is>
          <t>터널공사&gt;굴착 및 보강-P-4 하반</t>
        </is>
      </c>
      <c r="B93" t="inlineStr">
        <is>
          <t>m</t>
        </is>
      </c>
      <c r="C93" s="135" t="n">
        <v>7.1</v>
      </c>
      <c r="D93" t="inlineStr">
        <is>
          <t>7.1m/일</t>
        </is>
      </c>
    </row>
    <row r="94">
      <c r="A94" t="inlineStr">
        <is>
          <t>터널공사&gt;굴착 및 보강-P-5 상반</t>
        </is>
      </c>
      <c r="B94" t="inlineStr">
        <is>
          <t>m</t>
        </is>
      </c>
      <c r="C94" s="135" t="n">
        <v>2.2</v>
      </c>
      <c r="D94" t="inlineStr">
        <is>
          <t>2.2m/일</t>
        </is>
      </c>
    </row>
    <row r="95">
      <c r="A95" t="inlineStr">
        <is>
          <t>터널공사&gt;굴착 및 보강-P-5 하반</t>
        </is>
      </c>
      <c r="B95" t="inlineStr">
        <is>
          <t>m</t>
        </is>
      </c>
      <c r="C95" s="135" t="n">
        <v>3.6</v>
      </c>
      <c r="D95" t="inlineStr">
        <is>
          <t>3.6m/일</t>
        </is>
      </c>
    </row>
    <row r="96">
      <c r="A96" t="inlineStr">
        <is>
          <t>터널공사&gt;굴착 및 보강-P-6 상반</t>
        </is>
      </c>
      <c r="B96" t="inlineStr">
        <is>
          <t>m</t>
        </is>
      </c>
      <c r="C96" s="135" t="n">
        <v>2.2</v>
      </c>
      <c r="D96" t="inlineStr">
        <is>
          <t>2.2m/일</t>
        </is>
      </c>
    </row>
    <row r="97">
      <c r="A97" t="inlineStr">
        <is>
          <t>터널공사&gt;굴착 및 보강-P-6 하반</t>
        </is>
      </c>
      <c r="B97" t="inlineStr">
        <is>
          <t>m</t>
        </is>
      </c>
      <c r="C97" s="135" t="n">
        <v>2.9</v>
      </c>
      <c r="D97" t="inlineStr">
        <is>
          <t>2.9m/일</t>
        </is>
      </c>
    </row>
    <row r="98">
      <c r="A98" t="inlineStr">
        <is>
          <t>터널공사&gt;보조공법-강관보강 그라우팅</t>
        </is>
      </c>
      <c r="B98" t="inlineStr">
        <is>
          <t>개소</t>
        </is>
      </c>
      <c r="C98" s="135" t="n">
        <v>0.3333333333333333</v>
      </c>
      <c r="D98" t="inlineStr">
        <is>
          <t>3일/개소</t>
        </is>
      </c>
    </row>
    <row r="99">
      <c r="A99" t="inlineStr">
        <is>
          <t>터널공사&gt;보조공법-차수 그라우팅</t>
        </is>
      </c>
      <c r="B99" t="inlineStr">
        <is>
          <t>개소</t>
        </is>
      </c>
      <c r="C99" s="135" t="n">
        <v>0.2</v>
      </c>
      <c r="D99" t="inlineStr">
        <is>
          <t>5일/개소</t>
        </is>
      </c>
    </row>
    <row r="100">
      <c r="A100" t="inlineStr">
        <is>
          <t>터널공사&gt;후속공종-방수</t>
        </is>
      </c>
      <c r="B100" t="inlineStr">
        <is>
          <t>m</t>
        </is>
      </c>
      <c r="C100" s="135" t="n">
        <v>50</v>
      </c>
      <c r="D100" t="inlineStr">
        <is>
          <t>50m/일</t>
        </is>
      </c>
    </row>
    <row r="101">
      <c r="A101" t="inlineStr">
        <is>
          <t>터널공사&gt;후속공종-배수공동구</t>
        </is>
      </c>
      <c r="B101" t="inlineStr">
        <is>
          <t>m</t>
        </is>
      </c>
      <c r="C101" s="135" t="n">
        <v>8.333333333333334</v>
      </c>
      <c r="D101" t="inlineStr">
        <is>
          <t>25m/3일</t>
        </is>
      </c>
    </row>
    <row r="102">
      <c r="A102" t="inlineStr">
        <is>
          <t>터널공사&gt;후속공종-라이닝 콘크리트</t>
        </is>
      </c>
      <c r="B102" t="inlineStr">
        <is>
          <t>m</t>
        </is>
      </c>
      <c r="C102" s="135" t="n">
        <v>3.333333333333333</v>
      </c>
      <c r="D102" t="inlineStr">
        <is>
          <t>10m/3일</t>
        </is>
      </c>
    </row>
    <row r="103">
      <c r="A103" t="inlineStr">
        <is>
          <t>터널공사&gt;후속공종-갱문조성</t>
        </is>
      </c>
      <c r="B103" t="inlineStr">
        <is>
          <t>개소</t>
        </is>
      </c>
      <c r="C103" s="135" t="n">
        <v>0.04</v>
      </c>
      <c r="D103" t="inlineStr">
        <is>
          <t>25일/개소</t>
        </is>
      </c>
    </row>
    <row r="104">
      <c r="A104" t="inlineStr">
        <is>
          <t>부대공사&gt;중앙분리대 (H=1.27m)</t>
        </is>
      </c>
      <c r="B104" t="inlineStr">
        <is>
          <t>m</t>
        </is>
      </c>
      <c r="C104" s="135" t="n">
        <v>300</v>
      </c>
      <c r="D104" t="inlineStr">
        <is>
          <t>300m/일</t>
        </is>
      </c>
    </row>
    <row r="105">
      <c r="A105" t="inlineStr">
        <is>
          <t>부대공사&gt;가드레일 (판설치(2W), 지주간격 2m)</t>
        </is>
      </c>
      <c r="B105" t="inlineStr">
        <is>
          <t>개</t>
        </is>
      </c>
      <c r="C105" s="135" t="n">
        <v>130</v>
      </c>
      <c r="D105" t="inlineStr">
        <is>
          <t>130개/일</t>
        </is>
      </c>
    </row>
    <row r="106">
      <c r="A106" t="inlineStr">
        <is>
          <t>부대공사&gt;방음벽 (H=7.0m 이하)</t>
        </is>
      </c>
      <c r="B106" t="inlineStr">
        <is>
          <t>m</t>
        </is>
      </c>
      <c r="C106" s="135" t="n">
        <v>19</v>
      </c>
      <c r="D106" t="inlineStr">
        <is>
          <t>19m/일</t>
        </is>
      </c>
    </row>
    <row r="107">
      <c r="A107" t="inlineStr">
        <is>
          <t>부대공사&gt;표지판 (교통안전표지판)</t>
        </is>
      </c>
      <c r="B107" t="inlineStr">
        <is>
          <t>개소</t>
        </is>
      </c>
      <c r="C107" s="135" t="n">
        <v>5</v>
      </c>
      <c r="D107" t="inlineStr">
        <is>
          <t>5개소/일</t>
        </is>
      </c>
    </row>
    <row r="108">
      <c r="A108" t="inlineStr">
        <is>
          <t>부대공사&gt;VMS</t>
        </is>
      </c>
      <c r="B108" t="inlineStr">
        <is>
          <t>개소</t>
        </is>
      </c>
      <c r="C108" s="135" t="n">
        <v>1</v>
      </c>
      <c r="D108" t="inlineStr">
        <is>
          <t>1개소/일</t>
        </is>
      </c>
    </row>
    <row r="109">
      <c r="A109" t="inlineStr">
        <is>
          <t>부대공사&gt;낙석방지책 (L=300m, H=3m, 간격 3m)</t>
        </is>
      </c>
      <c r="B109" t="inlineStr">
        <is>
          <t>m</t>
        </is>
      </c>
      <c r="C109" s="135" t="n">
        <v>32</v>
      </c>
      <c r="D109" t="inlineStr">
        <is>
          <t>32m/일</t>
        </is>
      </c>
    </row>
    <row r="110">
      <c r="A110" t="inlineStr">
        <is>
          <t>부대공사&gt;낙석방지망 (기계작업)</t>
        </is>
      </c>
      <c r="B110" t="inlineStr">
        <is>
          <t>㎡</t>
        </is>
      </c>
      <c r="C110" s="135" t="n">
        <v>85</v>
      </c>
      <c r="D110" t="inlineStr">
        <is>
          <t>85㎡/일</t>
        </is>
      </c>
    </row>
    <row r="111">
      <c r="A111" t="inlineStr">
        <is>
          <t>부대공사&gt;시선유도표지 (가드레일용)</t>
        </is>
      </c>
      <c r="B111" t="inlineStr">
        <is>
          <t>개</t>
        </is>
      </c>
      <c r="C111" s="135" t="n">
        <v>150</v>
      </c>
      <c r="D111" t="inlineStr">
        <is>
          <t>150개/일</t>
        </is>
      </c>
    </row>
    <row r="112">
      <c r="A112" t="inlineStr">
        <is>
          <t>부대공사&gt;분리대병</t>
        </is>
      </c>
      <c r="B112" t="inlineStr">
        <is>
          <t>개</t>
        </is>
      </c>
      <c r="C112" s="135" t="n">
        <v>70</v>
      </c>
      <c r="D112" t="inlineStr">
        <is>
          <t>70개/일</t>
        </is>
      </c>
    </row>
    <row r="113">
      <c r="A113" t="inlineStr">
        <is>
          <t>부대공사&gt;방초매트</t>
        </is>
      </c>
      <c r="B113" t="inlineStr">
        <is>
          <t>m</t>
        </is>
      </c>
      <c r="C113" s="135" t="n">
        <v>600</v>
      </c>
      <c r="D113" t="inlineStr">
        <is>
          <t>600m/일</t>
        </is>
      </c>
    </row>
    <row r="114">
      <c r="A114" t="inlineStr">
        <is>
          <t>부대공사&gt;비점오염저감시설 (전처리조 5m×2m, 침투도랑 30m)</t>
        </is>
      </c>
      <c r="B114" t="inlineStr">
        <is>
          <t>개소</t>
        </is>
      </c>
      <c r="C114" s="135" t="n">
        <v>0.05</v>
      </c>
      <c r="D114" t="inlineStr">
        <is>
          <t>20일/개소</t>
        </is>
      </c>
    </row>
    <row r="115">
      <c r="A115" t="inlineStr">
        <is>
          <t>부대공사&gt;비탈면점검시설 (L=30m, B=1m, H=20m 이하)</t>
        </is>
      </c>
      <c r="B115" t="inlineStr">
        <is>
          <t>㎡</t>
        </is>
      </c>
      <c r="C115" s="135" t="n">
        <v>90</v>
      </c>
      <c r="D115" t="inlineStr">
        <is>
          <t>90㎡/일</t>
        </is>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포장공사&gt;아스팔트포장 2단계-기층 (시공폭 3m 이상, 두께 5-7㎝)</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A8" t="inlineStr">
        <is>
          <t>포장공사&gt;아스팔트포장 2단계-중간층/표층 (시공폭 3m 이상, 5-7㎝)</t>
        </is>
      </c>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7" t="inlineStr">
        <is>
          <t>1일 작업량에 의한 공사기간 산정 (가이드라인 제2장)</t>
        </is>
      </c>
    </row>
    <row r="2" ht="48"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1" t="n">
        <v>1</v>
      </c>
      <c r="B12" s="141" t="inlineStr">
        <is>
          <t>혹서기：체감온도 33°C 이상</t>
        </is>
      </c>
      <c r="C12" s="139" t="inlineStr">
        <is>
          <t>O</t>
        </is>
      </c>
      <c r="D12" s="141">
        <f>SUMIFS(기상자료!$F$2:$F$1236,기상자료!$A$2:$A$1236,INDEX(지점목록!$C$2:$C$96,MATCH($B$4,지점목록!$A$2:$A$96,0)),기상자료!$D$2:$D$1236,$A12)</f>
        <v/>
      </c>
      <c r="E12" s="141">
        <f>SUMIFS(기상자료!$G$2:$G$1236,기상자료!$A$2:$A$1236,INDEX(지점목록!$C$2:$C$96,MATCH($B$4,지점목록!$A$2:$A$96,0)),기상자료!$D$2:$D$1236,$A12)</f>
        <v/>
      </c>
      <c r="F12" s="141">
        <f>SUMIFS(기상자료!$H$2:$H$1236,기상자료!$A$2:$A$1236,INDEX(지점목록!$C$2:$C$96,MATCH($B$4,지점목록!$A$2:$A$96,0)),기상자료!$D$2:$D$1236,$A12)</f>
        <v/>
      </c>
      <c r="G12" s="141">
        <f>SUMIFS(기상자료!$I$2:$I$1236,기상자료!$A$2:$A$1236,INDEX(지점목록!$C$2:$C$96,MATCH($B$4,지점목록!$A$2:$A$96,0)),기상자료!$D$2:$D$1236,$A12)</f>
        <v/>
      </c>
      <c r="H12" s="141">
        <f>SUMIFS(기상자료!$J$2:$J$1236,기상자료!$A$2:$A$1236,INDEX(지점목록!$C$2:$C$96,MATCH($B$4,지점목록!$A$2:$A$96,0)),기상자료!$D$2:$D$1236,$A12)</f>
        <v/>
      </c>
      <c r="I12" s="141">
        <f>SUMIFS(기상자료!$K$2:$K$1236,기상자료!$A$2:$A$1236,INDEX(지점목록!$C$2:$C$96,MATCH($B$4,지점목록!$A$2:$A$96,0)),기상자료!$D$2:$D$1236,$A12)</f>
        <v/>
      </c>
      <c r="J12" s="141">
        <f>SUMIFS(기상자료!$L$2:$L$1236,기상자료!$A$2:$A$1236,INDEX(지점목록!$C$2:$C$96,MATCH($B$4,지점목록!$A$2:$A$96,0)),기상자료!$D$2:$D$1236,$A12)</f>
        <v/>
      </c>
      <c r="K12" s="141">
        <f>SUMIFS(기상자료!$M$2:$M$1236,기상자료!$A$2:$A$1236,INDEX(지점목록!$C$2:$C$96,MATCH($B$4,지점목록!$A$2:$A$96,0)),기상자료!$D$2:$D$1236,$A12)</f>
        <v/>
      </c>
      <c r="L12" s="141">
        <f>SUMIFS(기상자료!$N$2:$N$1236,기상자료!$A$2:$A$1236,INDEX(지점목록!$C$2:$C$96,MATCH($B$4,지점목록!$A$2:$A$96,0)),기상자료!$D$2:$D$1236,$A12)</f>
        <v/>
      </c>
      <c r="M12" s="141">
        <f>SUMIFS(기상자료!$O$2:$O$1236,기상자료!$A$2:$A$1236,INDEX(지점목록!$C$2:$C$96,MATCH($B$4,지점목록!$A$2:$A$96,0)),기상자료!$D$2:$D$1236,$A12)</f>
        <v/>
      </c>
      <c r="N12" s="141">
        <f>SUMIFS(기상자료!$P$2:$P$1236,기상자료!$A$2:$A$1236,INDEX(지점목록!$C$2:$C$96,MATCH($B$4,지점목록!$A$2:$A$96,0)),기상자료!$D$2:$D$1236,$A12)</f>
        <v/>
      </c>
      <c r="O12" s="141">
        <f>SUMIFS(기상자료!$Q$2:$Q$1236,기상자료!$A$2:$A$1236,INDEX(지점목록!$C$2:$C$96,MATCH($B$4,지점목록!$A$2:$A$96,0)),기상자료!$D$2:$D$1236,$A12)</f>
        <v/>
      </c>
      <c r="P12" s="141">
        <f>SUM(D12:O12)</f>
        <v/>
      </c>
    </row>
    <row r="13">
      <c r="A13" s="141" t="n">
        <v>2</v>
      </c>
      <c r="B13" s="141" t="inlineStr">
        <is>
          <t>혹서기：체감온도 35°C 이상</t>
        </is>
      </c>
      <c r="C13" s="139" t="inlineStr">
        <is>
          <t>X</t>
        </is>
      </c>
      <c r="D13" s="141">
        <f>SUMIFS(기상자료!$F$2:$F$1236,기상자료!$A$2:$A$1236,INDEX(지점목록!$C$2:$C$96,MATCH($B$4,지점목록!$A$2:$A$96,0)),기상자료!$D$2:$D$1236,$A13)</f>
        <v/>
      </c>
      <c r="E13" s="141">
        <f>SUMIFS(기상자료!$G$2:$G$1236,기상자료!$A$2:$A$1236,INDEX(지점목록!$C$2:$C$96,MATCH($B$4,지점목록!$A$2:$A$96,0)),기상자료!$D$2:$D$1236,$A13)</f>
        <v/>
      </c>
      <c r="F13" s="141">
        <f>SUMIFS(기상자료!$H$2:$H$1236,기상자료!$A$2:$A$1236,INDEX(지점목록!$C$2:$C$96,MATCH($B$4,지점목록!$A$2:$A$96,0)),기상자료!$D$2:$D$1236,$A13)</f>
        <v/>
      </c>
      <c r="G13" s="141">
        <f>SUMIFS(기상자료!$I$2:$I$1236,기상자료!$A$2:$A$1236,INDEX(지점목록!$C$2:$C$96,MATCH($B$4,지점목록!$A$2:$A$96,0)),기상자료!$D$2:$D$1236,$A13)</f>
        <v/>
      </c>
      <c r="H13" s="141">
        <f>SUMIFS(기상자료!$J$2:$J$1236,기상자료!$A$2:$A$1236,INDEX(지점목록!$C$2:$C$96,MATCH($B$4,지점목록!$A$2:$A$96,0)),기상자료!$D$2:$D$1236,$A13)</f>
        <v/>
      </c>
      <c r="I13" s="141">
        <f>SUMIFS(기상자료!$K$2:$K$1236,기상자료!$A$2:$A$1236,INDEX(지점목록!$C$2:$C$96,MATCH($B$4,지점목록!$A$2:$A$96,0)),기상자료!$D$2:$D$1236,$A13)</f>
        <v/>
      </c>
      <c r="J13" s="141">
        <f>SUMIFS(기상자료!$L$2:$L$1236,기상자료!$A$2:$A$1236,INDEX(지점목록!$C$2:$C$96,MATCH($B$4,지점목록!$A$2:$A$96,0)),기상자료!$D$2:$D$1236,$A13)</f>
        <v/>
      </c>
      <c r="K13" s="141">
        <f>SUMIFS(기상자료!$M$2:$M$1236,기상자료!$A$2:$A$1236,INDEX(지점목록!$C$2:$C$96,MATCH($B$4,지점목록!$A$2:$A$96,0)),기상자료!$D$2:$D$1236,$A13)</f>
        <v/>
      </c>
      <c r="L13" s="141">
        <f>SUMIFS(기상자료!$N$2:$N$1236,기상자료!$A$2:$A$1236,INDEX(지점목록!$C$2:$C$96,MATCH($B$4,지점목록!$A$2:$A$96,0)),기상자료!$D$2:$D$1236,$A13)</f>
        <v/>
      </c>
      <c r="M13" s="141">
        <f>SUMIFS(기상자료!$O$2:$O$1236,기상자료!$A$2:$A$1236,INDEX(지점목록!$C$2:$C$96,MATCH($B$4,지점목록!$A$2:$A$96,0)),기상자료!$D$2:$D$1236,$A13)</f>
        <v/>
      </c>
      <c r="N13" s="141">
        <f>SUMIFS(기상자료!$P$2:$P$1236,기상자료!$A$2:$A$1236,INDEX(지점목록!$C$2:$C$96,MATCH($B$4,지점목록!$A$2:$A$96,0)),기상자료!$D$2:$D$1236,$A13)</f>
        <v/>
      </c>
      <c r="O13" s="141">
        <f>SUMIFS(기상자료!$Q$2:$Q$1236,기상자료!$A$2:$A$1236,INDEX(지점목록!$C$2:$C$96,MATCH($B$4,지점목록!$A$2:$A$96,0)),기상자료!$D$2:$D$1236,$A13)</f>
        <v/>
      </c>
      <c r="P13" s="141">
        <f>SUM(D13:O13)</f>
        <v/>
      </c>
    </row>
    <row r="14">
      <c r="A14" s="141" t="n">
        <v>3</v>
      </c>
      <c r="B14" s="141" t="inlineStr">
        <is>
          <t>혹서기：일최고온도 33°C 이상</t>
        </is>
      </c>
      <c r="C14" s="139" t="inlineStr">
        <is>
          <t>X</t>
        </is>
      </c>
      <c r="D14" s="141">
        <f>SUMIFS(기상자료!$F$2:$F$1236,기상자료!$A$2:$A$1236,INDEX(지점목록!$C$2:$C$96,MATCH($B$4,지점목록!$A$2:$A$96,0)),기상자료!$D$2:$D$1236,$A14)</f>
        <v/>
      </c>
      <c r="E14" s="141">
        <f>SUMIFS(기상자료!$G$2:$G$1236,기상자료!$A$2:$A$1236,INDEX(지점목록!$C$2:$C$96,MATCH($B$4,지점목록!$A$2:$A$96,0)),기상자료!$D$2:$D$1236,$A14)</f>
        <v/>
      </c>
      <c r="F14" s="141">
        <f>SUMIFS(기상자료!$H$2:$H$1236,기상자료!$A$2:$A$1236,INDEX(지점목록!$C$2:$C$96,MATCH($B$4,지점목록!$A$2:$A$96,0)),기상자료!$D$2:$D$1236,$A14)</f>
        <v/>
      </c>
      <c r="G14" s="141">
        <f>SUMIFS(기상자료!$I$2:$I$1236,기상자료!$A$2:$A$1236,INDEX(지점목록!$C$2:$C$96,MATCH($B$4,지점목록!$A$2:$A$96,0)),기상자료!$D$2:$D$1236,$A14)</f>
        <v/>
      </c>
      <c r="H14" s="141">
        <f>SUMIFS(기상자료!$J$2:$J$1236,기상자료!$A$2:$A$1236,INDEX(지점목록!$C$2:$C$96,MATCH($B$4,지점목록!$A$2:$A$96,0)),기상자료!$D$2:$D$1236,$A14)</f>
        <v/>
      </c>
      <c r="I14" s="141">
        <f>SUMIFS(기상자료!$K$2:$K$1236,기상자료!$A$2:$A$1236,INDEX(지점목록!$C$2:$C$96,MATCH($B$4,지점목록!$A$2:$A$96,0)),기상자료!$D$2:$D$1236,$A14)</f>
        <v/>
      </c>
      <c r="J14" s="141">
        <f>SUMIFS(기상자료!$L$2:$L$1236,기상자료!$A$2:$A$1236,INDEX(지점목록!$C$2:$C$96,MATCH($B$4,지점목록!$A$2:$A$96,0)),기상자료!$D$2:$D$1236,$A14)</f>
        <v/>
      </c>
      <c r="K14" s="141">
        <f>SUMIFS(기상자료!$M$2:$M$1236,기상자료!$A$2:$A$1236,INDEX(지점목록!$C$2:$C$96,MATCH($B$4,지점목록!$A$2:$A$96,0)),기상자료!$D$2:$D$1236,$A14)</f>
        <v/>
      </c>
      <c r="L14" s="141">
        <f>SUMIFS(기상자료!$N$2:$N$1236,기상자료!$A$2:$A$1236,INDEX(지점목록!$C$2:$C$96,MATCH($B$4,지점목록!$A$2:$A$96,0)),기상자료!$D$2:$D$1236,$A14)</f>
        <v/>
      </c>
      <c r="M14" s="141">
        <f>SUMIFS(기상자료!$O$2:$O$1236,기상자료!$A$2:$A$1236,INDEX(지점목록!$C$2:$C$96,MATCH($B$4,지점목록!$A$2:$A$96,0)),기상자료!$D$2:$D$1236,$A14)</f>
        <v/>
      </c>
      <c r="N14" s="141">
        <f>SUMIFS(기상자료!$P$2:$P$1236,기상자료!$A$2:$A$1236,INDEX(지점목록!$C$2:$C$96,MATCH($B$4,지점목록!$A$2:$A$96,0)),기상자료!$D$2:$D$1236,$A14)</f>
        <v/>
      </c>
      <c r="O14" s="141">
        <f>SUMIFS(기상자료!$Q$2:$Q$1236,기상자료!$A$2:$A$1236,INDEX(지점목록!$C$2:$C$96,MATCH($B$4,지점목록!$A$2:$A$96,0)),기상자료!$D$2:$D$1236,$A14)</f>
        <v/>
      </c>
      <c r="P14" s="141">
        <f>SUM(D14:O14)</f>
        <v/>
      </c>
    </row>
    <row r="15">
      <c r="A15" s="141" t="n">
        <v>4</v>
      </c>
      <c r="B15" s="141" t="inlineStr">
        <is>
          <t>혹서기：일최고온도 35°C 이상</t>
        </is>
      </c>
      <c r="C15" s="139" t="inlineStr">
        <is>
          <t>X</t>
        </is>
      </c>
      <c r="D15" s="141">
        <f>SUMIFS(기상자료!$F$2:$F$1236,기상자료!$A$2:$A$1236,INDEX(지점목록!$C$2:$C$96,MATCH($B$4,지점목록!$A$2:$A$96,0)),기상자료!$D$2:$D$1236,$A15)</f>
        <v/>
      </c>
      <c r="E15" s="141">
        <f>SUMIFS(기상자료!$G$2:$G$1236,기상자료!$A$2:$A$1236,INDEX(지점목록!$C$2:$C$96,MATCH($B$4,지점목록!$A$2:$A$96,0)),기상자료!$D$2:$D$1236,$A15)</f>
        <v/>
      </c>
      <c r="F15" s="141">
        <f>SUMIFS(기상자료!$H$2:$H$1236,기상자료!$A$2:$A$1236,INDEX(지점목록!$C$2:$C$96,MATCH($B$4,지점목록!$A$2:$A$96,0)),기상자료!$D$2:$D$1236,$A15)</f>
        <v/>
      </c>
      <c r="G15" s="141">
        <f>SUMIFS(기상자료!$I$2:$I$1236,기상자료!$A$2:$A$1236,INDEX(지점목록!$C$2:$C$96,MATCH($B$4,지점목록!$A$2:$A$96,0)),기상자료!$D$2:$D$1236,$A15)</f>
        <v/>
      </c>
      <c r="H15" s="141">
        <f>SUMIFS(기상자료!$J$2:$J$1236,기상자료!$A$2:$A$1236,INDEX(지점목록!$C$2:$C$96,MATCH($B$4,지점목록!$A$2:$A$96,0)),기상자료!$D$2:$D$1236,$A15)</f>
        <v/>
      </c>
      <c r="I15" s="141">
        <f>SUMIFS(기상자료!$K$2:$K$1236,기상자료!$A$2:$A$1236,INDEX(지점목록!$C$2:$C$96,MATCH($B$4,지점목록!$A$2:$A$96,0)),기상자료!$D$2:$D$1236,$A15)</f>
        <v/>
      </c>
      <c r="J15" s="141">
        <f>SUMIFS(기상자료!$L$2:$L$1236,기상자료!$A$2:$A$1236,INDEX(지점목록!$C$2:$C$96,MATCH($B$4,지점목록!$A$2:$A$96,0)),기상자료!$D$2:$D$1236,$A15)</f>
        <v/>
      </c>
      <c r="K15" s="141">
        <f>SUMIFS(기상자료!$M$2:$M$1236,기상자료!$A$2:$A$1236,INDEX(지점목록!$C$2:$C$96,MATCH($B$4,지점목록!$A$2:$A$96,0)),기상자료!$D$2:$D$1236,$A15)</f>
        <v/>
      </c>
      <c r="L15" s="141">
        <f>SUMIFS(기상자료!$N$2:$N$1236,기상자료!$A$2:$A$1236,INDEX(지점목록!$C$2:$C$96,MATCH($B$4,지점목록!$A$2:$A$96,0)),기상자료!$D$2:$D$1236,$A15)</f>
        <v/>
      </c>
      <c r="M15" s="141">
        <f>SUMIFS(기상자료!$O$2:$O$1236,기상자료!$A$2:$A$1236,INDEX(지점목록!$C$2:$C$96,MATCH($B$4,지점목록!$A$2:$A$96,0)),기상자료!$D$2:$D$1236,$A15)</f>
        <v/>
      </c>
      <c r="N15" s="141">
        <f>SUMIFS(기상자료!$P$2:$P$1236,기상자료!$A$2:$A$1236,INDEX(지점목록!$C$2:$C$96,MATCH($B$4,지점목록!$A$2:$A$96,0)),기상자료!$D$2:$D$1236,$A15)</f>
        <v/>
      </c>
      <c r="O15" s="141">
        <f>SUMIFS(기상자료!$Q$2:$Q$1236,기상자료!$A$2:$A$1236,INDEX(지점목록!$C$2:$C$96,MATCH($B$4,지점목록!$A$2:$A$96,0)),기상자료!$D$2:$D$1236,$A15)</f>
        <v/>
      </c>
      <c r="P15" s="141">
        <f>SUM(D15:O15)</f>
        <v/>
      </c>
    </row>
    <row r="16">
      <c r="A16" s="141" t="n">
        <v>5</v>
      </c>
      <c r="B16" s="141" t="inlineStr">
        <is>
          <t>동절기：일최고기온 0°C 이하</t>
        </is>
      </c>
      <c r="C16" s="139" t="inlineStr">
        <is>
          <t>O</t>
        </is>
      </c>
      <c r="D16" s="141">
        <f>SUMIFS(기상자료!$F$2:$F$1236,기상자료!$A$2:$A$1236,INDEX(지점목록!$C$2:$C$96,MATCH($B$4,지점목록!$A$2:$A$96,0)),기상자료!$D$2:$D$1236,$A16)</f>
        <v/>
      </c>
      <c r="E16" s="141">
        <f>SUMIFS(기상자료!$G$2:$G$1236,기상자료!$A$2:$A$1236,INDEX(지점목록!$C$2:$C$96,MATCH($B$4,지점목록!$A$2:$A$96,0)),기상자료!$D$2:$D$1236,$A16)</f>
        <v/>
      </c>
      <c r="F16" s="141">
        <f>SUMIFS(기상자료!$H$2:$H$1236,기상자료!$A$2:$A$1236,INDEX(지점목록!$C$2:$C$96,MATCH($B$4,지점목록!$A$2:$A$96,0)),기상자료!$D$2:$D$1236,$A16)</f>
        <v/>
      </c>
      <c r="G16" s="141">
        <f>SUMIFS(기상자료!$I$2:$I$1236,기상자료!$A$2:$A$1236,INDEX(지점목록!$C$2:$C$96,MATCH($B$4,지점목록!$A$2:$A$96,0)),기상자료!$D$2:$D$1236,$A16)</f>
        <v/>
      </c>
      <c r="H16" s="141">
        <f>SUMIFS(기상자료!$J$2:$J$1236,기상자료!$A$2:$A$1236,INDEX(지점목록!$C$2:$C$96,MATCH($B$4,지점목록!$A$2:$A$96,0)),기상자료!$D$2:$D$1236,$A16)</f>
        <v/>
      </c>
      <c r="I16" s="141">
        <f>SUMIFS(기상자료!$K$2:$K$1236,기상자료!$A$2:$A$1236,INDEX(지점목록!$C$2:$C$96,MATCH($B$4,지점목록!$A$2:$A$96,0)),기상자료!$D$2:$D$1236,$A16)</f>
        <v/>
      </c>
      <c r="J16" s="141">
        <f>SUMIFS(기상자료!$L$2:$L$1236,기상자료!$A$2:$A$1236,INDEX(지점목록!$C$2:$C$96,MATCH($B$4,지점목록!$A$2:$A$96,0)),기상자료!$D$2:$D$1236,$A16)</f>
        <v/>
      </c>
      <c r="K16" s="141">
        <f>SUMIFS(기상자료!$M$2:$M$1236,기상자료!$A$2:$A$1236,INDEX(지점목록!$C$2:$C$96,MATCH($B$4,지점목록!$A$2:$A$96,0)),기상자료!$D$2:$D$1236,$A16)</f>
        <v/>
      </c>
      <c r="L16" s="141">
        <f>SUMIFS(기상자료!$N$2:$N$1236,기상자료!$A$2:$A$1236,INDEX(지점목록!$C$2:$C$96,MATCH($B$4,지점목록!$A$2:$A$96,0)),기상자료!$D$2:$D$1236,$A16)</f>
        <v/>
      </c>
      <c r="M16" s="141">
        <f>SUMIFS(기상자료!$O$2:$O$1236,기상자료!$A$2:$A$1236,INDEX(지점목록!$C$2:$C$96,MATCH($B$4,지점목록!$A$2:$A$96,0)),기상자료!$D$2:$D$1236,$A16)</f>
        <v/>
      </c>
      <c r="N16" s="141">
        <f>SUMIFS(기상자료!$P$2:$P$1236,기상자료!$A$2:$A$1236,INDEX(지점목록!$C$2:$C$96,MATCH($B$4,지점목록!$A$2:$A$96,0)),기상자료!$D$2:$D$1236,$A16)</f>
        <v/>
      </c>
      <c r="O16" s="141">
        <f>SUMIFS(기상자료!$Q$2:$Q$1236,기상자료!$A$2:$A$1236,INDEX(지점목록!$C$2:$C$96,MATCH($B$4,지점목록!$A$2:$A$96,0)),기상자료!$D$2:$D$1236,$A16)</f>
        <v/>
      </c>
      <c r="P16" s="141">
        <f>SUM(D16:O16)</f>
        <v/>
      </c>
    </row>
    <row r="17">
      <c r="A17" s="141" t="n">
        <v>6</v>
      </c>
      <c r="B17" s="141" t="inlineStr">
        <is>
          <t>동절기：일최심신적설 5㎝ 이상</t>
        </is>
      </c>
      <c r="C17" s="139" t="inlineStr">
        <is>
          <t>O</t>
        </is>
      </c>
      <c r="D17" s="141">
        <f>SUMIFS(기상자료!$F$2:$F$1236,기상자료!$A$2:$A$1236,INDEX(지점목록!$C$2:$C$96,MATCH($B$4,지점목록!$A$2:$A$96,0)),기상자료!$D$2:$D$1236,$A17)</f>
        <v/>
      </c>
      <c r="E17" s="141">
        <f>SUMIFS(기상자료!$G$2:$G$1236,기상자료!$A$2:$A$1236,INDEX(지점목록!$C$2:$C$96,MATCH($B$4,지점목록!$A$2:$A$96,0)),기상자료!$D$2:$D$1236,$A17)</f>
        <v/>
      </c>
      <c r="F17" s="141">
        <f>SUMIFS(기상자료!$H$2:$H$1236,기상자료!$A$2:$A$1236,INDEX(지점목록!$C$2:$C$96,MATCH($B$4,지점목록!$A$2:$A$96,0)),기상자료!$D$2:$D$1236,$A17)</f>
        <v/>
      </c>
      <c r="G17" s="141">
        <f>SUMIFS(기상자료!$I$2:$I$1236,기상자료!$A$2:$A$1236,INDEX(지점목록!$C$2:$C$96,MATCH($B$4,지점목록!$A$2:$A$96,0)),기상자료!$D$2:$D$1236,$A17)</f>
        <v/>
      </c>
      <c r="H17" s="141">
        <f>SUMIFS(기상자료!$J$2:$J$1236,기상자료!$A$2:$A$1236,INDEX(지점목록!$C$2:$C$96,MATCH($B$4,지점목록!$A$2:$A$96,0)),기상자료!$D$2:$D$1236,$A17)</f>
        <v/>
      </c>
      <c r="I17" s="141">
        <f>SUMIFS(기상자료!$K$2:$K$1236,기상자료!$A$2:$A$1236,INDEX(지점목록!$C$2:$C$96,MATCH($B$4,지점목록!$A$2:$A$96,0)),기상자료!$D$2:$D$1236,$A17)</f>
        <v/>
      </c>
      <c r="J17" s="141">
        <f>SUMIFS(기상자료!$L$2:$L$1236,기상자료!$A$2:$A$1236,INDEX(지점목록!$C$2:$C$96,MATCH($B$4,지점목록!$A$2:$A$96,0)),기상자료!$D$2:$D$1236,$A17)</f>
        <v/>
      </c>
      <c r="K17" s="141">
        <f>SUMIFS(기상자료!$M$2:$M$1236,기상자료!$A$2:$A$1236,INDEX(지점목록!$C$2:$C$96,MATCH($B$4,지점목록!$A$2:$A$96,0)),기상자료!$D$2:$D$1236,$A17)</f>
        <v/>
      </c>
      <c r="L17" s="141">
        <f>SUMIFS(기상자료!$N$2:$N$1236,기상자료!$A$2:$A$1236,INDEX(지점목록!$C$2:$C$96,MATCH($B$4,지점목록!$A$2:$A$96,0)),기상자료!$D$2:$D$1236,$A17)</f>
        <v/>
      </c>
      <c r="M17" s="141">
        <f>SUMIFS(기상자료!$O$2:$O$1236,기상자료!$A$2:$A$1236,INDEX(지점목록!$C$2:$C$96,MATCH($B$4,지점목록!$A$2:$A$96,0)),기상자료!$D$2:$D$1236,$A17)</f>
        <v/>
      </c>
      <c r="N17" s="141">
        <f>SUMIFS(기상자료!$P$2:$P$1236,기상자료!$A$2:$A$1236,INDEX(지점목록!$C$2:$C$96,MATCH($B$4,지점목록!$A$2:$A$96,0)),기상자료!$D$2:$D$1236,$A17)</f>
        <v/>
      </c>
      <c r="O17" s="141">
        <f>SUMIFS(기상자료!$Q$2:$Q$1236,기상자료!$A$2:$A$1236,INDEX(지점목록!$C$2:$C$96,MATCH($B$4,지점목록!$A$2:$A$96,0)),기상자료!$D$2:$D$1236,$A17)</f>
        <v/>
      </c>
      <c r="P17" s="141">
        <f>SUM(D17:O17)</f>
        <v/>
      </c>
    </row>
    <row r="18">
      <c r="A18" s="141" t="n">
        <v>7</v>
      </c>
      <c r="B18" s="141" t="inlineStr">
        <is>
          <t>동절기：일최고기온 0°C 이하 이거나 일최심신적설 5㎝ 이상</t>
        </is>
      </c>
      <c r="C18" s="139" t="inlineStr">
        <is>
          <t>X</t>
        </is>
      </c>
      <c r="D18" s="141">
        <f>SUMIFS(기상자료!$F$2:$F$1236,기상자료!$A$2:$A$1236,INDEX(지점목록!$C$2:$C$96,MATCH($B$4,지점목록!$A$2:$A$96,0)),기상자료!$D$2:$D$1236,$A18)</f>
        <v/>
      </c>
      <c r="E18" s="141">
        <f>SUMIFS(기상자료!$G$2:$G$1236,기상자료!$A$2:$A$1236,INDEX(지점목록!$C$2:$C$96,MATCH($B$4,지점목록!$A$2:$A$96,0)),기상자료!$D$2:$D$1236,$A18)</f>
        <v/>
      </c>
      <c r="F18" s="141">
        <f>SUMIFS(기상자료!$H$2:$H$1236,기상자료!$A$2:$A$1236,INDEX(지점목록!$C$2:$C$96,MATCH($B$4,지점목록!$A$2:$A$96,0)),기상자료!$D$2:$D$1236,$A18)</f>
        <v/>
      </c>
      <c r="G18" s="141">
        <f>SUMIFS(기상자료!$I$2:$I$1236,기상자료!$A$2:$A$1236,INDEX(지점목록!$C$2:$C$96,MATCH($B$4,지점목록!$A$2:$A$96,0)),기상자료!$D$2:$D$1236,$A18)</f>
        <v/>
      </c>
      <c r="H18" s="141">
        <f>SUMIFS(기상자료!$J$2:$J$1236,기상자료!$A$2:$A$1236,INDEX(지점목록!$C$2:$C$96,MATCH($B$4,지점목록!$A$2:$A$96,0)),기상자료!$D$2:$D$1236,$A18)</f>
        <v/>
      </c>
      <c r="I18" s="141">
        <f>SUMIFS(기상자료!$K$2:$K$1236,기상자료!$A$2:$A$1236,INDEX(지점목록!$C$2:$C$96,MATCH($B$4,지점목록!$A$2:$A$96,0)),기상자료!$D$2:$D$1236,$A18)</f>
        <v/>
      </c>
      <c r="J18" s="141">
        <f>SUMIFS(기상자료!$L$2:$L$1236,기상자료!$A$2:$A$1236,INDEX(지점목록!$C$2:$C$96,MATCH($B$4,지점목록!$A$2:$A$96,0)),기상자료!$D$2:$D$1236,$A18)</f>
        <v/>
      </c>
      <c r="K18" s="141">
        <f>SUMIFS(기상자료!$M$2:$M$1236,기상자료!$A$2:$A$1236,INDEX(지점목록!$C$2:$C$96,MATCH($B$4,지점목록!$A$2:$A$96,0)),기상자료!$D$2:$D$1236,$A18)</f>
        <v/>
      </c>
      <c r="L18" s="141">
        <f>SUMIFS(기상자료!$N$2:$N$1236,기상자료!$A$2:$A$1236,INDEX(지점목록!$C$2:$C$96,MATCH($B$4,지점목록!$A$2:$A$96,0)),기상자료!$D$2:$D$1236,$A18)</f>
        <v/>
      </c>
      <c r="M18" s="141">
        <f>SUMIFS(기상자료!$O$2:$O$1236,기상자료!$A$2:$A$1236,INDEX(지점목록!$C$2:$C$96,MATCH($B$4,지점목록!$A$2:$A$96,0)),기상자료!$D$2:$D$1236,$A18)</f>
        <v/>
      </c>
      <c r="N18" s="141">
        <f>SUMIFS(기상자료!$P$2:$P$1236,기상자료!$A$2:$A$1236,INDEX(지점목록!$C$2:$C$96,MATCH($B$4,지점목록!$A$2:$A$96,0)),기상자료!$D$2:$D$1236,$A18)</f>
        <v/>
      </c>
      <c r="O18" s="141">
        <f>SUMIFS(기상자료!$Q$2:$Q$1236,기상자료!$A$2:$A$1236,INDEX(지점목록!$C$2:$C$96,MATCH($B$4,지점목록!$A$2:$A$96,0)),기상자료!$D$2:$D$1236,$A18)</f>
        <v/>
      </c>
      <c r="P18" s="141">
        <f>SUM(D18:O18)</f>
        <v/>
      </c>
    </row>
    <row r="19">
      <c r="A19" s="141" t="n">
        <v>8</v>
      </c>
      <c r="B19" s="141" t="inlineStr">
        <is>
          <t>동절기：일최저기온 -12°C 이하</t>
        </is>
      </c>
      <c r="C19" s="139" t="inlineStr">
        <is>
          <t>X</t>
        </is>
      </c>
      <c r="D19" s="141">
        <f>SUMIFS(기상자료!$F$2:$F$1236,기상자료!$A$2:$A$1236,INDEX(지점목록!$C$2:$C$96,MATCH($B$4,지점목록!$A$2:$A$96,0)),기상자료!$D$2:$D$1236,$A19)</f>
        <v/>
      </c>
      <c r="E19" s="141">
        <f>SUMIFS(기상자료!$G$2:$G$1236,기상자료!$A$2:$A$1236,INDEX(지점목록!$C$2:$C$96,MATCH($B$4,지점목록!$A$2:$A$96,0)),기상자료!$D$2:$D$1236,$A19)</f>
        <v/>
      </c>
      <c r="F19" s="141">
        <f>SUMIFS(기상자료!$H$2:$H$1236,기상자료!$A$2:$A$1236,INDEX(지점목록!$C$2:$C$96,MATCH($B$4,지점목록!$A$2:$A$96,0)),기상자료!$D$2:$D$1236,$A19)</f>
        <v/>
      </c>
      <c r="G19" s="141">
        <f>SUMIFS(기상자료!$I$2:$I$1236,기상자료!$A$2:$A$1236,INDEX(지점목록!$C$2:$C$96,MATCH($B$4,지점목록!$A$2:$A$96,0)),기상자료!$D$2:$D$1236,$A19)</f>
        <v/>
      </c>
      <c r="H19" s="141">
        <f>SUMIFS(기상자료!$J$2:$J$1236,기상자료!$A$2:$A$1236,INDEX(지점목록!$C$2:$C$96,MATCH($B$4,지점목록!$A$2:$A$96,0)),기상자료!$D$2:$D$1236,$A19)</f>
        <v/>
      </c>
      <c r="I19" s="141">
        <f>SUMIFS(기상자료!$K$2:$K$1236,기상자료!$A$2:$A$1236,INDEX(지점목록!$C$2:$C$96,MATCH($B$4,지점목록!$A$2:$A$96,0)),기상자료!$D$2:$D$1236,$A19)</f>
        <v/>
      </c>
      <c r="J19" s="141">
        <f>SUMIFS(기상자료!$L$2:$L$1236,기상자료!$A$2:$A$1236,INDEX(지점목록!$C$2:$C$96,MATCH($B$4,지점목록!$A$2:$A$96,0)),기상자료!$D$2:$D$1236,$A19)</f>
        <v/>
      </c>
      <c r="K19" s="141">
        <f>SUMIFS(기상자료!$M$2:$M$1236,기상자료!$A$2:$A$1236,INDEX(지점목록!$C$2:$C$96,MATCH($B$4,지점목록!$A$2:$A$96,0)),기상자료!$D$2:$D$1236,$A19)</f>
        <v/>
      </c>
      <c r="L19" s="141">
        <f>SUMIFS(기상자료!$N$2:$N$1236,기상자료!$A$2:$A$1236,INDEX(지점목록!$C$2:$C$96,MATCH($B$4,지점목록!$A$2:$A$96,0)),기상자료!$D$2:$D$1236,$A19)</f>
        <v/>
      </c>
      <c r="M19" s="141">
        <f>SUMIFS(기상자료!$O$2:$O$1236,기상자료!$A$2:$A$1236,INDEX(지점목록!$C$2:$C$96,MATCH($B$4,지점목록!$A$2:$A$96,0)),기상자료!$D$2:$D$1236,$A19)</f>
        <v/>
      </c>
      <c r="N19" s="141">
        <f>SUMIFS(기상자료!$P$2:$P$1236,기상자료!$A$2:$A$1236,INDEX(지점목록!$C$2:$C$96,MATCH($B$4,지점목록!$A$2:$A$96,0)),기상자료!$D$2:$D$1236,$A19)</f>
        <v/>
      </c>
      <c r="O19" s="141">
        <f>SUMIFS(기상자료!$Q$2:$Q$1236,기상자료!$A$2:$A$1236,INDEX(지점목록!$C$2:$C$96,MATCH($B$4,지점목록!$A$2:$A$96,0)),기상자료!$D$2:$D$1236,$A19)</f>
        <v/>
      </c>
      <c r="P19" s="141">
        <f>SUM(D19:O19)</f>
        <v/>
      </c>
    </row>
    <row r="20">
      <c r="A20" s="141" t="n">
        <v>9</v>
      </c>
      <c r="B20" s="141" t="inlineStr">
        <is>
          <t>일강수량：3㎜ 이상</t>
        </is>
      </c>
      <c r="C20" s="139" t="inlineStr">
        <is>
          <t>O</t>
        </is>
      </c>
      <c r="D20" s="141">
        <f>SUMIFS(기상자료!$F$2:$F$1236,기상자료!$A$2:$A$1236,INDEX(지점목록!$C$2:$C$96,MATCH($B$4,지점목록!$A$2:$A$96,0)),기상자료!$D$2:$D$1236,$A20)</f>
        <v/>
      </c>
      <c r="E20" s="141">
        <f>SUMIFS(기상자료!$G$2:$G$1236,기상자료!$A$2:$A$1236,INDEX(지점목록!$C$2:$C$96,MATCH($B$4,지점목록!$A$2:$A$96,0)),기상자료!$D$2:$D$1236,$A20)</f>
        <v/>
      </c>
      <c r="F20" s="141">
        <f>SUMIFS(기상자료!$H$2:$H$1236,기상자료!$A$2:$A$1236,INDEX(지점목록!$C$2:$C$96,MATCH($B$4,지점목록!$A$2:$A$96,0)),기상자료!$D$2:$D$1236,$A20)</f>
        <v/>
      </c>
      <c r="G20" s="141">
        <f>SUMIFS(기상자료!$I$2:$I$1236,기상자료!$A$2:$A$1236,INDEX(지점목록!$C$2:$C$96,MATCH($B$4,지점목록!$A$2:$A$96,0)),기상자료!$D$2:$D$1236,$A20)</f>
        <v/>
      </c>
      <c r="H20" s="141">
        <f>SUMIFS(기상자료!$J$2:$J$1236,기상자료!$A$2:$A$1236,INDEX(지점목록!$C$2:$C$96,MATCH($B$4,지점목록!$A$2:$A$96,0)),기상자료!$D$2:$D$1236,$A20)</f>
        <v/>
      </c>
      <c r="I20" s="141">
        <f>SUMIFS(기상자료!$K$2:$K$1236,기상자료!$A$2:$A$1236,INDEX(지점목록!$C$2:$C$96,MATCH($B$4,지점목록!$A$2:$A$96,0)),기상자료!$D$2:$D$1236,$A20)</f>
        <v/>
      </c>
      <c r="J20" s="141">
        <f>SUMIFS(기상자료!$L$2:$L$1236,기상자료!$A$2:$A$1236,INDEX(지점목록!$C$2:$C$96,MATCH($B$4,지점목록!$A$2:$A$96,0)),기상자료!$D$2:$D$1236,$A20)</f>
        <v/>
      </c>
      <c r="K20" s="141">
        <f>SUMIFS(기상자료!$M$2:$M$1236,기상자료!$A$2:$A$1236,INDEX(지점목록!$C$2:$C$96,MATCH($B$4,지점목록!$A$2:$A$96,0)),기상자료!$D$2:$D$1236,$A20)</f>
        <v/>
      </c>
      <c r="L20" s="141">
        <f>SUMIFS(기상자료!$N$2:$N$1236,기상자료!$A$2:$A$1236,INDEX(지점목록!$C$2:$C$96,MATCH($B$4,지점목록!$A$2:$A$96,0)),기상자료!$D$2:$D$1236,$A20)</f>
        <v/>
      </c>
      <c r="M20" s="141">
        <f>SUMIFS(기상자료!$O$2:$O$1236,기상자료!$A$2:$A$1236,INDEX(지점목록!$C$2:$C$96,MATCH($B$4,지점목록!$A$2:$A$96,0)),기상자료!$D$2:$D$1236,$A20)</f>
        <v/>
      </c>
      <c r="N20" s="141">
        <f>SUMIFS(기상자료!$P$2:$P$1236,기상자료!$A$2:$A$1236,INDEX(지점목록!$C$2:$C$96,MATCH($B$4,지점목록!$A$2:$A$96,0)),기상자료!$D$2:$D$1236,$A20)</f>
        <v/>
      </c>
      <c r="O20" s="141">
        <f>SUMIFS(기상자료!$Q$2:$Q$1236,기상자료!$A$2:$A$1236,INDEX(지점목록!$C$2:$C$96,MATCH($B$4,지점목록!$A$2:$A$96,0)),기상자료!$D$2:$D$1236,$A20)</f>
        <v/>
      </c>
      <c r="P20" s="141">
        <f>SUM(D20:O20)</f>
        <v/>
      </c>
    </row>
    <row r="21">
      <c r="A21" s="141" t="n">
        <v>10</v>
      </c>
      <c r="B21" s="141" t="inlineStr">
        <is>
          <t>일강수량：5㎜ 이상</t>
        </is>
      </c>
      <c r="C21" s="139" t="inlineStr">
        <is>
          <t>X</t>
        </is>
      </c>
      <c r="D21" s="141">
        <f>SUMIFS(기상자료!$F$2:$F$1236,기상자료!$A$2:$A$1236,INDEX(지점목록!$C$2:$C$96,MATCH($B$4,지점목록!$A$2:$A$96,0)),기상자료!$D$2:$D$1236,$A21)</f>
        <v/>
      </c>
      <c r="E21" s="141">
        <f>SUMIFS(기상자료!$G$2:$G$1236,기상자료!$A$2:$A$1236,INDEX(지점목록!$C$2:$C$96,MATCH($B$4,지점목록!$A$2:$A$96,0)),기상자료!$D$2:$D$1236,$A21)</f>
        <v/>
      </c>
      <c r="F21" s="141">
        <f>SUMIFS(기상자료!$H$2:$H$1236,기상자료!$A$2:$A$1236,INDEX(지점목록!$C$2:$C$96,MATCH($B$4,지점목록!$A$2:$A$96,0)),기상자료!$D$2:$D$1236,$A21)</f>
        <v/>
      </c>
      <c r="G21" s="141">
        <f>SUMIFS(기상자료!$I$2:$I$1236,기상자료!$A$2:$A$1236,INDEX(지점목록!$C$2:$C$96,MATCH($B$4,지점목록!$A$2:$A$96,0)),기상자료!$D$2:$D$1236,$A21)</f>
        <v/>
      </c>
      <c r="H21" s="141">
        <f>SUMIFS(기상자료!$J$2:$J$1236,기상자료!$A$2:$A$1236,INDEX(지점목록!$C$2:$C$96,MATCH($B$4,지점목록!$A$2:$A$96,0)),기상자료!$D$2:$D$1236,$A21)</f>
        <v/>
      </c>
      <c r="I21" s="141">
        <f>SUMIFS(기상자료!$K$2:$K$1236,기상자료!$A$2:$A$1236,INDEX(지점목록!$C$2:$C$96,MATCH($B$4,지점목록!$A$2:$A$96,0)),기상자료!$D$2:$D$1236,$A21)</f>
        <v/>
      </c>
      <c r="J21" s="141">
        <f>SUMIFS(기상자료!$L$2:$L$1236,기상자료!$A$2:$A$1236,INDEX(지점목록!$C$2:$C$96,MATCH($B$4,지점목록!$A$2:$A$96,0)),기상자료!$D$2:$D$1236,$A21)</f>
        <v/>
      </c>
      <c r="K21" s="141">
        <f>SUMIFS(기상자료!$M$2:$M$1236,기상자료!$A$2:$A$1236,INDEX(지점목록!$C$2:$C$96,MATCH($B$4,지점목록!$A$2:$A$96,0)),기상자료!$D$2:$D$1236,$A21)</f>
        <v/>
      </c>
      <c r="L21" s="141">
        <f>SUMIFS(기상자료!$N$2:$N$1236,기상자료!$A$2:$A$1236,INDEX(지점목록!$C$2:$C$96,MATCH($B$4,지점목록!$A$2:$A$96,0)),기상자료!$D$2:$D$1236,$A21)</f>
        <v/>
      </c>
      <c r="M21" s="141">
        <f>SUMIFS(기상자료!$O$2:$O$1236,기상자료!$A$2:$A$1236,INDEX(지점목록!$C$2:$C$96,MATCH($B$4,지점목록!$A$2:$A$96,0)),기상자료!$D$2:$D$1236,$A21)</f>
        <v/>
      </c>
      <c r="N21" s="141">
        <f>SUMIFS(기상자료!$P$2:$P$1236,기상자료!$A$2:$A$1236,INDEX(지점목록!$C$2:$C$96,MATCH($B$4,지점목록!$A$2:$A$96,0)),기상자료!$D$2:$D$1236,$A21)</f>
        <v/>
      </c>
      <c r="O21" s="141">
        <f>SUMIFS(기상자료!$Q$2:$Q$1236,기상자료!$A$2:$A$1236,INDEX(지점목록!$C$2:$C$96,MATCH($B$4,지점목록!$A$2:$A$96,0)),기상자료!$D$2:$D$1236,$A21)</f>
        <v/>
      </c>
      <c r="P21" s="141">
        <f>SUM(D21:O21)</f>
        <v/>
      </c>
    </row>
    <row r="22">
      <c r="A22" s="141" t="n">
        <v>11</v>
      </c>
      <c r="B22" s="141" t="inlineStr">
        <is>
          <t>일강수량：10㎜ 이상</t>
        </is>
      </c>
      <c r="C22" s="139" t="inlineStr">
        <is>
          <t>X</t>
        </is>
      </c>
      <c r="D22" s="141">
        <f>SUMIFS(기상자료!$F$2:$F$1236,기상자료!$A$2:$A$1236,INDEX(지점목록!$C$2:$C$96,MATCH($B$4,지점목록!$A$2:$A$96,0)),기상자료!$D$2:$D$1236,$A22)</f>
        <v/>
      </c>
      <c r="E22" s="141">
        <f>SUMIFS(기상자료!$G$2:$G$1236,기상자료!$A$2:$A$1236,INDEX(지점목록!$C$2:$C$96,MATCH($B$4,지점목록!$A$2:$A$96,0)),기상자료!$D$2:$D$1236,$A22)</f>
        <v/>
      </c>
      <c r="F22" s="141">
        <f>SUMIFS(기상자료!$H$2:$H$1236,기상자료!$A$2:$A$1236,INDEX(지점목록!$C$2:$C$96,MATCH($B$4,지점목록!$A$2:$A$96,0)),기상자료!$D$2:$D$1236,$A22)</f>
        <v/>
      </c>
      <c r="G22" s="141">
        <f>SUMIFS(기상자료!$I$2:$I$1236,기상자료!$A$2:$A$1236,INDEX(지점목록!$C$2:$C$96,MATCH($B$4,지점목록!$A$2:$A$96,0)),기상자료!$D$2:$D$1236,$A22)</f>
        <v/>
      </c>
      <c r="H22" s="141">
        <f>SUMIFS(기상자료!$J$2:$J$1236,기상자료!$A$2:$A$1236,INDEX(지점목록!$C$2:$C$96,MATCH($B$4,지점목록!$A$2:$A$96,0)),기상자료!$D$2:$D$1236,$A22)</f>
        <v/>
      </c>
      <c r="I22" s="141">
        <f>SUMIFS(기상자료!$K$2:$K$1236,기상자료!$A$2:$A$1236,INDEX(지점목록!$C$2:$C$96,MATCH($B$4,지점목록!$A$2:$A$96,0)),기상자료!$D$2:$D$1236,$A22)</f>
        <v/>
      </c>
      <c r="J22" s="141">
        <f>SUMIFS(기상자료!$L$2:$L$1236,기상자료!$A$2:$A$1236,INDEX(지점목록!$C$2:$C$96,MATCH($B$4,지점목록!$A$2:$A$96,0)),기상자료!$D$2:$D$1236,$A22)</f>
        <v/>
      </c>
      <c r="K22" s="141">
        <f>SUMIFS(기상자료!$M$2:$M$1236,기상자료!$A$2:$A$1236,INDEX(지점목록!$C$2:$C$96,MATCH($B$4,지점목록!$A$2:$A$96,0)),기상자료!$D$2:$D$1236,$A22)</f>
        <v/>
      </c>
      <c r="L22" s="141">
        <f>SUMIFS(기상자료!$N$2:$N$1236,기상자료!$A$2:$A$1236,INDEX(지점목록!$C$2:$C$96,MATCH($B$4,지점목록!$A$2:$A$96,0)),기상자료!$D$2:$D$1236,$A22)</f>
        <v/>
      </c>
      <c r="M22" s="141">
        <f>SUMIFS(기상자료!$O$2:$O$1236,기상자료!$A$2:$A$1236,INDEX(지점목록!$C$2:$C$96,MATCH($B$4,지점목록!$A$2:$A$96,0)),기상자료!$D$2:$D$1236,$A22)</f>
        <v/>
      </c>
      <c r="N22" s="141">
        <f>SUMIFS(기상자료!$P$2:$P$1236,기상자료!$A$2:$A$1236,INDEX(지점목록!$C$2:$C$96,MATCH($B$4,지점목록!$A$2:$A$96,0)),기상자료!$D$2:$D$1236,$A22)</f>
        <v/>
      </c>
      <c r="O22" s="141">
        <f>SUMIFS(기상자료!$Q$2:$Q$1236,기상자료!$A$2:$A$1236,INDEX(지점목록!$C$2:$C$96,MATCH($B$4,지점목록!$A$2:$A$96,0)),기상자료!$D$2:$D$1236,$A22)</f>
        <v/>
      </c>
      <c r="P22" s="141">
        <f>SUM(D22:O22)</f>
        <v/>
      </c>
    </row>
    <row r="23">
      <c r="A23" s="141" t="n">
        <v>12</v>
      </c>
      <c r="B23" s="141" t="inlineStr">
        <is>
          <t>일강수량：20㎜ 이상</t>
        </is>
      </c>
      <c r="C23" s="139" t="inlineStr">
        <is>
          <t>X</t>
        </is>
      </c>
      <c r="D23" s="141">
        <f>SUMIFS(기상자료!$F$2:$F$1236,기상자료!$A$2:$A$1236,INDEX(지점목록!$C$2:$C$96,MATCH($B$4,지점목록!$A$2:$A$96,0)),기상자료!$D$2:$D$1236,$A23)</f>
        <v/>
      </c>
      <c r="E23" s="141">
        <f>SUMIFS(기상자료!$G$2:$G$1236,기상자료!$A$2:$A$1236,INDEX(지점목록!$C$2:$C$96,MATCH($B$4,지점목록!$A$2:$A$96,0)),기상자료!$D$2:$D$1236,$A23)</f>
        <v/>
      </c>
      <c r="F23" s="141">
        <f>SUMIFS(기상자료!$H$2:$H$1236,기상자료!$A$2:$A$1236,INDEX(지점목록!$C$2:$C$96,MATCH($B$4,지점목록!$A$2:$A$96,0)),기상자료!$D$2:$D$1236,$A23)</f>
        <v/>
      </c>
      <c r="G23" s="141">
        <f>SUMIFS(기상자료!$I$2:$I$1236,기상자료!$A$2:$A$1236,INDEX(지점목록!$C$2:$C$96,MATCH($B$4,지점목록!$A$2:$A$96,0)),기상자료!$D$2:$D$1236,$A23)</f>
        <v/>
      </c>
      <c r="H23" s="141">
        <f>SUMIFS(기상자료!$J$2:$J$1236,기상자료!$A$2:$A$1236,INDEX(지점목록!$C$2:$C$96,MATCH($B$4,지점목록!$A$2:$A$96,0)),기상자료!$D$2:$D$1236,$A23)</f>
        <v/>
      </c>
      <c r="I23" s="141">
        <f>SUMIFS(기상자료!$K$2:$K$1236,기상자료!$A$2:$A$1236,INDEX(지점목록!$C$2:$C$96,MATCH($B$4,지점목록!$A$2:$A$96,0)),기상자료!$D$2:$D$1236,$A23)</f>
        <v/>
      </c>
      <c r="J23" s="141">
        <f>SUMIFS(기상자료!$L$2:$L$1236,기상자료!$A$2:$A$1236,INDEX(지점목록!$C$2:$C$96,MATCH($B$4,지점목록!$A$2:$A$96,0)),기상자료!$D$2:$D$1236,$A23)</f>
        <v/>
      </c>
      <c r="K23" s="141">
        <f>SUMIFS(기상자료!$M$2:$M$1236,기상자료!$A$2:$A$1236,INDEX(지점목록!$C$2:$C$96,MATCH($B$4,지점목록!$A$2:$A$96,0)),기상자료!$D$2:$D$1236,$A23)</f>
        <v/>
      </c>
      <c r="L23" s="141">
        <f>SUMIFS(기상자료!$N$2:$N$1236,기상자료!$A$2:$A$1236,INDEX(지점목록!$C$2:$C$96,MATCH($B$4,지점목록!$A$2:$A$96,0)),기상자료!$D$2:$D$1236,$A23)</f>
        <v/>
      </c>
      <c r="M23" s="141">
        <f>SUMIFS(기상자료!$O$2:$O$1236,기상자료!$A$2:$A$1236,INDEX(지점목록!$C$2:$C$96,MATCH($B$4,지점목록!$A$2:$A$96,0)),기상자료!$D$2:$D$1236,$A23)</f>
        <v/>
      </c>
      <c r="N23" s="141">
        <f>SUMIFS(기상자료!$P$2:$P$1236,기상자료!$A$2:$A$1236,INDEX(지점목록!$C$2:$C$96,MATCH($B$4,지점목록!$A$2:$A$96,0)),기상자료!$D$2:$D$1236,$A23)</f>
        <v/>
      </c>
      <c r="O23" s="141">
        <f>SUMIFS(기상자료!$Q$2:$Q$1236,기상자료!$A$2:$A$1236,INDEX(지점목록!$C$2:$C$96,MATCH($B$4,지점목록!$A$2:$A$96,0)),기상자료!$D$2:$D$1236,$A23)</f>
        <v/>
      </c>
      <c r="P23" s="141">
        <f>SUM(D23:O23)</f>
        <v/>
      </c>
    </row>
    <row r="24">
      <c r="A24" s="141" t="n">
        <v>13</v>
      </c>
      <c r="B24" s="141" t="inlineStr">
        <is>
          <t>일최대순간풍속：15m/s 이상</t>
        </is>
      </c>
      <c r="C24" s="139" t="inlineStr">
        <is>
          <t>O</t>
        </is>
      </c>
      <c r="D24" s="141">
        <f>SUMIFS(기상자료!$F$2:$F$1236,기상자료!$A$2:$A$1236,INDEX(지점목록!$C$2:$C$96,MATCH($B$4,지점목록!$A$2:$A$96,0)),기상자료!$D$2:$D$1236,$A24)</f>
        <v/>
      </c>
      <c r="E24" s="141">
        <f>SUMIFS(기상자료!$G$2:$G$1236,기상자료!$A$2:$A$1236,INDEX(지점목록!$C$2:$C$96,MATCH($B$4,지점목록!$A$2:$A$96,0)),기상자료!$D$2:$D$1236,$A24)</f>
        <v/>
      </c>
      <c r="F24" s="141">
        <f>SUMIFS(기상자료!$H$2:$H$1236,기상자료!$A$2:$A$1236,INDEX(지점목록!$C$2:$C$96,MATCH($B$4,지점목록!$A$2:$A$96,0)),기상자료!$D$2:$D$1236,$A24)</f>
        <v/>
      </c>
      <c r="G24" s="141">
        <f>SUMIFS(기상자료!$I$2:$I$1236,기상자료!$A$2:$A$1236,INDEX(지점목록!$C$2:$C$96,MATCH($B$4,지점목록!$A$2:$A$96,0)),기상자료!$D$2:$D$1236,$A24)</f>
        <v/>
      </c>
      <c r="H24" s="141">
        <f>SUMIFS(기상자료!$J$2:$J$1236,기상자료!$A$2:$A$1236,INDEX(지점목록!$C$2:$C$96,MATCH($B$4,지점목록!$A$2:$A$96,0)),기상자료!$D$2:$D$1236,$A24)</f>
        <v/>
      </c>
      <c r="I24" s="141">
        <f>SUMIFS(기상자료!$K$2:$K$1236,기상자료!$A$2:$A$1236,INDEX(지점목록!$C$2:$C$96,MATCH($B$4,지점목록!$A$2:$A$96,0)),기상자료!$D$2:$D$1236,$A24)</f>
        <v/>
      </c>
      <c r="J24" s="141">
        <f>SUMIFS(기상자료!$L$2:$L$1236,기상자료!$A$2:$A$1236,INDEX(지점목록!$C$2:$C$96,MATCH($B$4,지점목록!$A$2:$A$96,0)),기상자료!$D$2:$D$1236,$A24)</f>
        <v/>
      </c>
      <c r="K24" s="141">
        <f>SUMIFS(기상자료!$M$2:$M$1236,기상자료!$A$2:$A$1236,INDEX(지점목록!$C$2:$C$96,MATCH($B$4,지점목록!$A$2:$A$96,0)),기상자료!$D$2:$D$1236,$A24)</f>
        <v/>
      </c>
      <c r="L24" s="141">
        <f>SUMIFS(기상자료!$N$2:$N$1236,기상자료!$A$2:$A$1236,INDEX(지점목록!$C$2:$C$96,MATCH($B$4,지점목록!$A$2:$A$96,0)),기상자료!$D$2:$D$1236,$A24)</f>
        <v/>
      </c>
      <c r="M24" s="141">
        <f>SUMIFS(기상자료!$O$2:$O$1236,기상자료!$A$2:$A$1236,INDEX(지점목록!$C$2:$C$96,MATCH($B$4,지점목록!$A$2:$A$96,0)),기상자료!$D$2:$D$1236,$A24)</f>
        <v/>
      </c>
      <c r="N24" s="141">
        <f>SUMIFS(기상자료!$P$2:$P$1236,기상자료!$A$2:$A$1236,INDEX(지점목록!$C$2:$C$96,MATCH($B$4,지점목록!$A$2:$A$96,0)),기상자료!$D$2:$D$1236,$A24)</f>
        <v/>
      </c>
      <c r="O24" s="141">
        <f>SUMIFS(기상자료!$Q$2:$Q$1236,기상자료!$A$2:$A$1236,INDEX(지점목록!$C$2:$C$96,MATCH($B$4,지점목록!$A$2:$A$96,0)),기상자료!$D$2:$D$1236,$A24)</f>
        <v/>
      </c>
      <c r="P24" s="141">
        <f>SUM(D24:O24)</f>
        <v/>
      </c>
    </row>
    <row r="25">
      <c r="B25" s="131" t="inlineStr">
        <is>
          <t>적용 조건 합계 (A: 기후여건)</t>
        </is>
      </c>
      <c r="D25" s="142">
        <f>SUMPRODUCT(($C$12:$C$24="O")*D12:D24)</f>
        <v/>
      </c>
      <c r="E25" s="142">
        <f>SUMPRODUCT(($C$12:$C$24="O")*E12:E24)</f>
        <v/>
      </c>
      <c r="F25" s="142">
        <f>SUMPRODUCT(($C$12:$C$24="O")*F12:F24)</f>
        <v/>
      </c>
      <c r="G25" s="142">
        <f>SUMPRODUCT(($C$12:$C$24="O")*G12:G24)</f>
        <v/>
      </c>
      <c r="H25" s="142">
        <f>SUMPRODUCT(($C$12:$C$24="O")*H12:H24)</f>
        <v/>
      </c>
      <c r="I25" s="142">
        <f>SUMPRODUCT(($C$12:$C$24="O")*I12:I24)</f>
        <v/>
      </c>
      <c r="J25" s="142">
        <f>SUMPRODUCT(($C$12:$C$24="O")*J12:J24)</f>
        <v/>
      </c>
      <c r="K25" s="142">
        <f>SUMPRODUCT(($C$12:$C$24="O")*K12:K24)</f>
        <v/>
      </c>
      <c r="L25" s="142">
        <f>SUMPRODUCT(($C$12:$C$24="O")*L12:L24)</f>
        <v/>
      </c>
      <c r="M25" s="142">
        <f>SUMPRODUCT(($C$12:$C$24="O")*M12:M24)</f>
        <v/>
      </c>
      <c r="N25" s="142">
        <f>SUMPRODUCT(($C$12:$C$24="O")*N12:N24)</f>
        <v/>
      </c>
      <c r="O25" s="142">
        <f>SUMPRODUCT(($C$12:$C$24="O")*O12:O24)</f>
        <v/>
      </c>
      <c r="P25">
        <f>SUM(D25:O25)</f>
        <v/>
      </c>
    </row>
    <row r="27">
      <c r="A27" s="131" t="inlineStr">
        <is>
          <t>▼ 공종별 작업량 입력 (주공정=Y인 공종만 공사기간에 합산, 위에서 아래 순서로 이어서 시공)</t>
        </is>
      </c>
      <c r="F27" t="inlineStr">
        <is>
          <t>※ 공종 삭제=칸 지우기, 추가=빈 줄에서 목록 선택. 1일 작업량은 덮어써서 수정 가능.</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9">
        <f>IFERROR(INDEX(공종프리셋!$A$2:$F$16,1,MATCH($B$9,공종프리셋!$A$1:$F$1,0))&amp;"","")</f>
        <v/>
      </c>
      <c r="B29" s="139" t="n"/>
      <c r="C29" s="139">
        <f>IFERROR(INDEX('1일작업량(토목)'!$B$2:$B$115,MATCH($A29,'1일작업량(토목)'!$A$2:$A$115,0)),"")</f>
        <v/>
      </c>
      <c r="D29" s="139">
        <f>IFERROR(INDEX('1일작업량(토목)'!$C$2:$C$115,MATCH($A29,'1일작업량(토목)'!$A$2:$A$115,0)),"")</f>
        <v/>
      </c>
      <c r="E29" s="139">
        <f>IF(A29="","","Y")</f>
        <v/>
      </c>
      <c r="F29" s="141">
        <f>IF(AND(ISNUMBER(B29),ISNUMBER(D29),N(D29)&gt;0),ROUNDUP(ROUND(B29/D29,6),0),"")</f>
        <v/>
      </c>
      <c r="G29" s="141">
        <f>IF(F29="","",N(G28)+IF(E29="Y",F29,0))</f>
        <v/>
      </c>
      <c r="H29" s="141">
        <f>IF(G29="","",IF(G29=0,0,IF(G29&gt;INDEX($K$58:$K$117,60)+INDEX($J$58:$J$117,60),"기간초과",INDEX($L$58:$L$117,MATCH(G29,$K$58:$K$117,1))+(G29-INDEX($K$58:$K$117,MATCH(G29,$K$58:$K$117,1)))*INDEX($D$58:$D$117,MATCH(G29,$K$58:$K$117,1))/INDEX($J$58:$J$117,MATCH(G29,$K$58:$K$117,1)))))</f>
        <v/>
      </c>
      <c r="I29" s="141">
        <f>IF(F29="","",IF(E29="Y",IF(ISNUMBER(H29),ROUND(H29-N(H28),1),"기간초과"),"-"))</f>
        <v/>
      </c>
      <c r="J29" s="141">
        <f>IF(ISNUMBER(I29),ROUND(I29-F29,1),"")</f>
        <v/>
      </c>
    </row>
    <row r="30">
      <c r="A30" s="139">
        <f>IFERROR(INDEX(공종프리셋!$A$2:$F$16,2,MATCH($B$9,공종프리셋!$A$1:$F$1,0))&amp;"","")</f>
        <v/>
      </c>
      <c r="B30" s="139" t="n"/>
      <c r="C30" s="139">
        <f>IFERROR(INDEX('1일작업량(토목)'!$B$2:$B$115,MATCH($A30,'1일작업량(토목)'!$A$2:$A$115,0)),"")</f>
        <v/>
      </c>
      <c r="D30" s="139">
        <f>IFERROR(INDEX('1일작업량(토목)'!$C$2:$C$115,MATCH($A30,'1일작업량(토목)'!$A$2:$A$115,0)),"")</f>
        <v/>
      </c>
      <c r="E30" s="139">
        <f>IF(A30="","","Y")</f>
        <v/>
      </c>
      <c r="F30" s="141">
        <f>IF(AND(ISNUMBER(B30),ISNUMBER(D30),N(D30)&gt;0),ROUNDUP(ROUND(B30/D30,6),0),"")</f>
        <v/>
      </c>
      <c r="G30" s="141">
        <f>IF(F30="","",N(G29)+IF(E30="Y",F30,0))</f>
        <v/>
      </c>
      <c r="H30" s="141">
        <f>IF(G30="","",IF(G30=0,0,IF(G30&gt;INDEX($K$58:$K$117,60)+INDEX($J$58:$J$117,60),"기간초과",INDEX($L$58:$L$117,MATCH(G30,$K$58:$K$117,1))+(G30-INDEX($K$58:$K$117,MATCH(G30,$K$58:$K$117,1)))*INDEX($D$58:$D$117,MATCH(G30,$K$58:$K$117,1))/INDEX($J$58:$J$117,MATCH(G30,$K$58:$K$117,1)))))</f>
        <v/>
      </c>
      <c r="I30" s="141">
        <f>IF(F30="","",IF(E30="Y",IF(ISNUMBER(H30),ROUND(H30-N(H29),1),"기간초과"),"-"))</f>
        <v/>
      </c>
      <c r="J30" s="141">
        <f>IF(ISNUMBER(I30),ROUND(I30-F30,1),"")</f>
        <v/>
      </c>
    </row>
    <row r="31">
      <c r="A31" s="139">
        <f>IFERROR(INDEX(공종프리셋!$A$2:$F$16,3,MATCH($B$9,공종프리셋!$A$1:$F$1,0))&amp;"","")</f>
        <v/>
      </c>
      <c r="B31" s="139" t="n"/>
      <c r="C31" s="139">
        <f>IFERROR(INDEX('1일작업량(토목)'!$B$2:$B$115,MATCH($A31,'1일작업량(토목)'!$A$2:$A$115,0)),"")</f>
        <v/>
      </c>
      <c r="D31" s="139">
        <f>IFERROR(INDEX('1일작업량(토목)'!$C$2:$C$115,MATCH($A31,'1일작업량(토목)'!$A$2:$A$115,0)),"")</f>
        <v/>
      </c>
      <c r="E31" s="139">
        <f>IF(A31="","","Y")</f>
        <v/>
      </c>
      <c r="F31" s="141">
        <f>IF(AND(ISNUMBER(B31),ISNUMBER(D31),N(D31)&gt;0),ROUNDUP(ROUND(B31/D31,6),0),"")</f>
        <v/>
      </c>
      <c r="G31" s="141">
        <f>IF(F31="","",N(G30)+IF(E31="Y",F31,0))</f>
        <v/>
      </c>
      <c r="H31" s="141">
        <f>IF(G31="","",IF(G31=0,0,IF(G31&gt;INDEX($K$58:$K$117,60)+INDEX($J$58:$J$117,60),"기간초과",INDEX($L$58:$L$117,MATCH(G31,$K$58:$K$117,1))+(G31-INDEX($K$58:$K$117,MATCH(G31,$K$58:$K$117,1)))*INDEX($D$58:$D$117,MATCH(G31,$K$58:$K$117,1))/INDEX($J$58:$J$117,MATCH(G31,$K$58:$K$117,1)))))</f>
        <v/>
      </c>
      <c r="I31" s="141">
        <f>IF(F31="","",IF(E31="Y",IF(ISNUMBER(H31),ROUND(H31-N(H30),1),"기간초과"),"-"))</f>
        <v/>
      </c>
      <c r="J31" s="141">
        <f>IF(ISNUMBER(I31),ROUND(I31-F31,1),"")</f>
        <v/>
      </c>
    </row>
    <row r="32">
      <c r="A32" s="139">
        <f>IFERROR(INDEX(공종프리셋!$A$2:$F$16,4,MATCH($B$9,공종프리셋!$A$1:$F$1,0))&amp;"","")</f>
        <v/>
      </c>
      <c r="B32" s="139" t="n"/>
      <c r="C32" s="139">
        <f>IFERROR(INDEX('1일작업량(토목)'!$B$2:$B$115,MATCH($A32,'1일작업량(토목)'!$A$2:$A$115,0)),"")</f>
        <v/>
      </c>
      <c r="D32" s="139">
        <f>IFERROR(INDEX('1일작업량(토목)'!$C$2:$C$115,MATCH($A32,'1일작업량(토목)'!$A$2:$A$115,0)),"")</f>
        <v/>
      </c>
      <c r="E32" s="139">
        <f>IF(A32="","","Y")</f>
        <v/>
      </c>
      <c r="F32" s="141">
        <f>IF(AND(ISNUMBER(B32),ISNUMBER(D32),N(D32)&gt;0),ROUNDUP(ROUND(B32/D32,6),0),"")</f>
        <v/>
      </c>
      <c r="G32" s="141">
        <f>IF(F32="","",N(G31)+IF(E32="Y",F32,0))</f>
        <v/>
      </c>
      <c r="H32" s="141">
        <f>IF(G32="","",IF(G32=0,0,IF(G32&gt;INDEX($K$58:$K$117,60)+INDEX($J$58:$J$117,60),"기간초과",INDEX($L$58:$L$117,MATCH(G32,$K$58:$K$117,1))+(G32-INDEX($K$58:$K$117,MATCH(G32,$K$58:$K$117,1)))*INDEX($D$58:$D$117,MATCH(G32,$K$58:$K$117,1))/INDEX($J$58:$J$117,MATCH(G32,$K$58:$K$117,1)))))</f>
        <v/>
      </c>
      <c r="I32" s="141">
        <f>IF(F32="","",IF(E32="Y",IF(ISNUMBER(H32),ROUND(H32-N(H31),1),"기간초과"),"-"))</f>
        <v/>
      </c>
      <c r="J32" s="141">
        <f>IF(ISNUMBER(I32),ROUND(I32-F32,1),"")</f>
        <v/>
      </c>
    </row>
    <row r="33">
      <c r="A33" s="139">
        <f>IFERROR(INDEX(공종프리셋!$A$2:$F$16,5,MATCH($B$9,공종프리셋!$A$1:$F$1,0))&amp;"","")</f>
        <v/>
      </c>
      <c r="B33" s="139" t="n"/>
      <c r="C33" s="139">
        <f>IFERROR(INDEX('1일작업량(토목)'!$B$2:$B$115,MATCH($A33,'1일작업량(토목)'!$A$2:$A$115,0)),"")</f>
        <v/>
      </c>
      <c r="D33" s="139">
        <f>IFERROR(INDEX('1일작업량(토목)'!$C$2:$C$115,MATCH($A33,'1일작업량(토목)'!$A$2:$A$115,0)),"")</f>
        <v/>
      </c>
      <c r="E33" s="139">
        <f>IF(A33="","","Y")</f>
        <v/>
      </c>
      <c r="F33" s="141">
        <f>IF(AND(ISNUMBER(B33),ISNUMBER(D33),N(D33)&gt;0),ROUNDUP(ROUND(B33/D33,6),0),"")</f>
        <v/>
      </c>
      <c r="G33" s="141">
        <f>IF(F33="","",N(G32)+IF(E33="Y",F33,0))</f>
        <v/>
      </c>
      <c r="H33" s="141">
        <f>IF(G33="","",IF(G33=0,0,IF(G33&gt;INDEX($K$58:$K$117,60)+INDEX($J$58:$J$117,60),"기간초과",INDEX($L$58:$L$117,MATCH(G33,$K$58:$K$117,1))+(G33-INDEX($K$58:$K$117,MATCH(G33,$K$58:$K$117,1)))*INDEX($D$58:$D$117,MATCH(G33,$K$58:$K$117,1))/INDEX($J$58:$J$117,MATCH(G33,$K$58:$K$117,1)))))</f>
        <v/>
      </c>
      <c r="I33" s="141">
        <f>IF(F33="","",IF(E33="Y",IF(ISNUMBER(H33),ROUND(H33-N(H32),1),"기간초과"),"-"))</f>
        <v/>
      </c>
      <c r="J33" s="141">
        <f>IF(ISNUMBER(I33),ROUND(I33-F33,1),"")</f>
        <v/>
      </c>
    </row>
    <row r="34">
      <c r="A34" s="139">
        <f>IFERROR(INDEX(공종프리셋!$A$2:$F$16,6,MATCH($B$9,공종프리셋!$A$1:$F$1,0))&amp;"","")</f>
        <v/>
      </c>
      <c r="B34" s="139" t="n"/>
      <c r="C34" s="139">
        <f>IFERROR(INDEX('1일작업량(토목)'!$B$2:$B$115,MATCH($A34,'1일작업량(토목)'!$A$2:$A$115,0)),"")</f>
        <v/>
      </c>
      <c r="D34" s="139">
        <f>IFERROR(INDEX('1일작업량(토목)'!$C$2:$C$115,MATCH($A34,'1일작업량(토목)'!$A$2:$A$115,0)),"")</f>
        <v/>
      </c>
      <c r="E34" s="139">
        <f>IF(A34="","","Y")</f>
        <v/>
      </c>
      <c r="F34" s="141">
        <f>IF(AND(ISNUMBER(B34),ISNUMBER(D34),N(D34)&gt;0),ROUNDUP(ROUND(B34/D34,6),0),"")</f>
        <v/>
      </c>
      <c r="G34" s="141">
        <f>IF(F34="","",N(G33)+IF(E34="Y",F34,0))</f>
        <v/>
      </c>
      <c r="H34" s="141">
        <f>IF(G34="","",IF(G34=0,0,IF(G34&gt;INDEX($K$58:$K$117,60)+INDEX($J$58:$J$117,60),"기간초과",INDEX($L$58:$L$117,MATCH(G34,$K$58:$K$117,1))+(G34-INDEX($K$58:$K$117,MATCH(G34,$K$58:$K$117,1)))*INDEX($D$58:$D$117,MATCH(G34,$K$58:$K$117,1))/INDEX($J$58:$J$117,MATCH(G34,$K$58:$K$117,1)))))</f>
        <v/>
      </c>
      <c r="I34" s="141">
        <f>IF(F34="","",IF(E34="Y",IF(ISNUMBER(H34),ROUND(H34-N(H33),1),"기간초과"),"-"))</f>
        <v/>
      </c>
      <c r="J34" s="141">
        <f>IF(ISNUMBER(I34),ROUND(I34-F34,1),"")</f>
        <v/>
      </c>
    </row>
    <row r="35">
      <c r="A35" s="139">
        <f>IFERROR(INDEX(공종프리셋!$A$2:$F$16,7,MATCH($B$9,공종프리셋!$A$1:$F$1,0))&amp;"","")</f>
        <v/>
      </c>
      <c r="B35" s="139" t="n"/>
      <c r="C35" s="139">
        <f>IFERROR(INDEX('1일작업량(토목)'!$B$2:$B$115,MATCH($A35,'1일작업량(토목)'!$A$2:$A$115,0)),"")</f>
        <v/>
      </c>
      <c r="D35" s="139">
        <f>IFERROR(INDEX('1일작업량(토목)'!$C$2:$C$115,MATCH($A35,'1일작업량(토목)'!$A$2:$A$115,0)),"")</f>
        <v/>
      </c>
      <c r="E35" s="139">
        <f>IF(A35="","","Y")</f>
        <v/>
      </c>
      <c r="F35" s="141">
        <f>IF(AND(ISNUMBER(B35),ISNUMBER(D35),N(D35)&gt;0),ROUNDUP(ROUND(B35/D35,6),0),"")</f>
        <v/>
      </c>
      <c r="G35" s="141">
        <f>IF(F35="","",N(G34)+IF(E35="Y",F35,0))</f>
        <v/>
      </c>
      <c r="H35" s="141">
        <f>IF(G35="","",IF(G35=0,0,IF(G35&gt;INDEX($K$58:$K$117,60)+INDEX($J$58:$J$117,60),"기간초과",INDEX($L$58:$L$117,MATCH(G35,$K$58:$K$117,1))+(G35-INDEX($K$58:$K$117,MATCH(G35,$K$58:$K$117,1)))*INDEX($D$58:$D$117,MATCH(G35,$K$58:$K$117,1))/INDEX($J$58:$J$117,MATCH(G35,$K$58:$K$117,1)))))</f>
        <v/>
      </c>
      <c r="I35" s="141">
        <f>IF(F35="","",IF(E35="Y",IF(ISNUMBER(H35),ROUND(H35-N(H34),1),"기간초과"),"-"))</f>
        <v/>
      </c>
      <c r="J35" s="141">
        <f>IF(ISNUMBER(I35),ROUND(I35-F35,1),"")</f>
        <v/>
      </c>
    </row>
    <row r="36">
      <c r="A36" s="139">
        <f>IFERROR(INDEX(공종프리셋!$A$2:$F$16,8,MATCH($B$9,공종프리셋!$A$1:$F$1,0))&amp;"","")</f>
        <v/>
      </c>
      <c r="B36" s="139" t="n"/>
      <c r="C36" s="139">
        <f>IFERROR(INDEX('1일작업량(토목)'!$B$2:$B$115,MATCH($A36,'1일작업량(토목)'!$A$2:$A$115,0)),"")</f>
        <v/>
      </c>
      <c r="D36" s="139">
        <f>IFERROR(INDEX('1일작업량(토목)'!$C$2:$C$115,MATCH($A36,'1일작업량(토목)'!$A$2:$A$115,0)),"")</f>
        <v/>
      </c>
      <c r="E36" s="139">
        <f>IF(A36="","","Y")</f>
        <v/>
      </c>
      <c r="F36" s="141">
        <f>IF(AND(ISNUMBER(B36),ISNUMBER(D36),N(D36)&gt;0),ROUNDUP(ROUND(B36/D36,6),0),"")</f>
        <v/>
      </c>
      <c r="G36" s="141">
        <f>IF(F36="","",N(G35)+IF(E36="Y",F36,0))</f>
        <v/>
      </c>
      <c r="H36" s="141">
        <f>IF(G36="","",IF(G36=0,0,IF(G36&gt;INDEX($K$58:$K$117,60)+INDEX($J$58:$J$117,60),"기간초과",INDEX($L$58:$L$117,MATCH(G36,$K$58:$K$117,1))+(G36-INDEX($K$58:$K$117,MATCH(G36,$K$58:$K$117,1)))*INDEX($D$58:$D$117,MATCH(G36,$K$58:$K$117,1))/INDEX($J$58:$J$117,MATCH(G36,$K$58:$K$117,1)))))</f>
        <v/>
      </c>
      <c r="I36" s="141">
        <f>IF(F36="","",IF(E36="Y",IF(ISNUMBER(H36),ROUND(H36-N(H35),1),"기간초과"),"-"))</f>
        <v/>
      </c>
      <c r="J36" s="141">
        <f>IF(ISNUMBER(I36),ROUND(I36-F36,1),"")</f>
        <v/>
      </c>
    </row>
    <row r="37">
      <c r="A37" s="139">
        <f>IFERROR(INDEX(공종프리셋!$A$2:$F$16,9,MATCH($B$9,공종프리셋!$A$1:$F$1,0))&amp;"","")</f>
        <v/>
      </c>
      <c r="B37" s="139" t="n"/>
      <c r="C37" s="139">
        <f>IFERROR(INDEX('1일작업량(토목)'!$B$2:$B$115,MATCH($A37,'1일작업량(토목)'!$A$2:$A$115,0)),"")</f>
        <v/>
      </c>
      <c r="D37" s="139">
        <f>IFERROR(INDEX('1일작업량(토목)'!$C$2:$C$115,MATCH($A37,'1일작업량(토목)'!$A$2:$A$115,0)),"")</f>
        <v/>
      </c>
      <c r="E37" s="139">
        <f>IF(A37="","","Y")</f>
        <v/>
      </c>
      <c r="F37" s="141">
        <f>IF(AND(ISNUMBER(B37),ISNUMBER(D37),N(D37)&gt;0),ROUNDUP(ROUND(B37/D37,6),0),"")</f>
        <v/>
      </c>
      <c r="G37" s="141">
        <f>IF(F37="","",N(G36)+IF(E37="Y",F37,0))</f>
        <v/>
      </c>
      <c r="H37" s="141">
        <f>IF(G37="","",IF(G37=0,0,IF(G37&gt;INDEX($K$58:$K$117,60)+INDEX($J$58:$J$117,60),"기간초과",INDEX($L$58:$L$117,MATCH(G37,$K$58:$K$117,1))+(G37-INDEX($K$58:$K$117,MATCH(G37,$K$58:$K$117,1)))*INDEX($D$58:$D$117,MATCH(G37,$K$58:$K$117,1))/INDEX($J$58:$J$117,MATCH(G37,$K$58:$K$117,1)))))</f>
        <v/>
      </c>
      <c r="I37" s="141">
        <f>IF(F37="","",IF(E37="Y",IF(ISNUMBER(H37),ROUND(H37-N(H36),1),"기간초과"),"-"))</f>
        <v/>
      </c>
      <c r="J37" s="141">
        <f>IF(ISNUMBER(I37),ROUND(I37-F37,1),"")</f>
        <v/>
      </c>
    </row>
    <row r="38">
      <c r="A38" s="139">
        <f>IFERROR(INDEX(공종프리셋!$A$2:$F$16,10,MATCH($B$9,공종프리셋!$A$1:$F$1,0))&amp;"","")</f>
        <v/>
      </c>
      <c r="B38" s="139" t="n"/>
      <c r="C38" s="139">
        <f>IFERROR(INDEX('1일작업량(토목)'!$B$2:$B$115,MATCH($A38,'1일작업량(토목)'!$A$2:$A$115,0)),"")</f>
        <v/>
      </c>
      <c r="D38" s="139">
        <f>IFERROR(INDEX('1일작업량(토목)'!$C$2:$C$115,MATCH($A38,'1일작업량(토목)'!$A$2:$A$115,0)),"")</f>
        <v/>
      </c>
      <c r="E38" s="139">
        <f>IF(A38="","","Y")</f>
        <v/>
      </c>
      <c r="F38" s="141">
        <f>IF(AND(ISNUMBER(B38),ISNUMBER(D38),N(D38)&gt;0),ROUNDUP(ROUND(B38/D38,6),0),"")</f>
        <v/>
      </c>
      <c r="G38" s="141">
        <f>IF(F38="","",N(G37)+IF(E38="Y",F38,0))</f>
        <v/>
      </c>
      <c r="H38" s="141">
        <f>IF(G38="","",IF(G38=0,0,IF(G38&gt;INDEX($K$58:$K$117,60)+INDEX($J$58:$J$117,60),"기간초과",INDEX($L$58:$L$117,MATCH(G38,$K$58:$K$117,1))+(G38-INDEX($K$58:$K$117,MATCH(G38,$K$58:$K$117,1)))*INDEX($D$58:$D$117,MATCH(G38,$K$58:$K$117,1))/INDEX($J$58:$J$117,MATCH(G38,$K$58:$K$117,1)))))</f>
        <v/>
      </c>
      <c r="I38" s="141">
        <f>IF(F38="","",IF(E38="Y",IF(ISNUMBER(H38),ROUND(H38-N(H37),1),"기간초과"),"-"))</f>
        <v/>
      </c>
      <c r="J38" s="141">
        <f>IF(ISNUMBER(I38),ROUND(I38-F38,1),"")</f>
        <v/>
      </c>
    </row>
    <row r="39">
      <c r="A39" s="139">
        <f>IFERROR(INDEX(공종프리셋!$A$2:$F$16,11,MATCH($B$9,공종프리셋!$A$1:$F$1,0))&amp;"","")</f>
        <v/>
      </c>
      <c r="B39" s="139" t="n"/>
      <c r="C39" s="139">
        <f>IFERROR(INDEX('1일작업량(토목)'!$B$2:$B$115,MATCH($A39,'1일작업량(토목)'!$A$2:$A$115,0)),"")</f>
        <v/>
      </c>
      <c r="D39" s="139">
        <f>IFERROR(INDEX('1일작업량(토목)'!$C$2:$C$115,MATCH($A39,'1일작업량(토목)'!$A$2:$A$115,0)),"")</f>
        <v/>
      </c>
      <c r="E39" s="139">
        <f>IF(A39="","","Y")</f>
        <v/>
      </c>
      <c r="F39" s="141">
        <f>IF(AND(ISNUMBER(B39),ISNUMBER(D39),N(D39)&gt;0),ROUNDUP(ROUND(B39/D39,6),0),"")</f>
        <v/>
      </c>
      <c r="G39" s="141">
        <f>IF(F39="","",N(G38)+IF(E39="Y",F39,0))</f>
        <v/>
      </c>
      <c r="H39" s="141">
        <f>IF(G39="","",IF(G39=0,0,IF(G39&gt;INDEX($K$58:$K$117,60)+INDEX($J$58:$J$117,60),"기간초과",INDEX($L$58:$L$117,MATCH(G39,$K$58:$K$117,1))+(G39-INDEX($K$58:$K$117,MATCH(G39,$K$58:$K$117,1)))*INDEX($D$58:$D$117,MATCH(G39,$K$58:$K$117,1))/INDEX($J$58:$J$117,MATCH(G39,$K$58:$K$117,1)))))</f>
        <v/>
      </c>
      <c r="I39" s="141">
        <f>IF(F39="","",IF(E39="Y",IF(ISNUMBER(H39),ROUND(H39-N(H38),1),"기간초과"),"-"))</f>
        <v/>
      </c>
      <c r="J39" s="141">
        <f>IF(ISNUMBER(I39),ROUND(I39-F39,1),"")</f>
        <v/>
      </c>
    </row>
    <row r="40">
      <c r="A40" s="139">
        <f>IFERROR(INDEX(공종프리셋!$A$2:$F$16,12,MATCH($B$9,공종프리셋!$A$1:$F$1,0))&amp;"","")</f>
        <v/>
      </c>
      <c r="B40" s="139" t="n"/>
      <c r="C40" s="139">
        <f>IFERROR(INDEX('1일작업량(토목)'!$B$2:$B$115,MATCH($A40,'1일작업량(토목)'!$A$2:$A$115,0)),"")</f>
        <v/>
      </c>
      <c r="D40" s="139">
        <f>IFERROR(INDEX('1일작업량(토목)'!$C$2:$C$115,MATCH($A40,'1일작업량(토목)'!$A$2:$A$115,0)),"")</f>
        <v/>
      </c>
      <c r="E40" s="139">
        <f>IF(A40="","","Y")</f>
        <v/>
      </c>
      <c r="F40" s="141">
        <f>IF(AND(ISNUMBER(B40),ISNUMBER(D40),N(D40)&gt;0),ROUNDUP(ROUND(B40/D40,6),0),"")</f>
        <v/>
      </c>
      <c r="G40" s="141">
        <f>IF(F40="","",N(G39)+IF(E40="Y",F40,0))</f>
        <v/>
      </c>
      <c r="H40" s="141">
        <f>IF(G40="","",IF(G40=0,0,IF(G40&gt;INDEX($K$58:$K$117,60)+INDEX($J$58:$J$117,60),"기간초과",INDEX($L$58:$L$117,MATCH(G40,$K$58:$K$117,1))+(G40-INDEX($K$58:$K$117,MATCH(G40,$K$58:$K$117,1)))*INDEX($D$58:$D$117,MATCH(G40,$K$58:$K$117,1))/INDEX($J$58:$J$117,MATCH(G40,$K$58:$K$117,1)))))</f>
        <v/>
      </c>
      <c r="I40" s="141">
        <f>IF(F40="","",IF(E40="Y",IF(ISNUMBER(H40),ROUND(H40-N(H39),1),"기간초과"),"-"))</f>
        <v/>
      </c>
      <c r="J40" s="141">
        <f>IF(ISNUMBER(I40),ROUND(I40-F40,1),"")</f>
        <v/>
      </c>
    </row>
    <row r="41">
      <c r="A41" s="139">
        <f>IFERROR(INDEX(공종프리셋!$A$2:$F$16,13,MATCH($B$9,공종프리셋!$A$1:$F$1,0))&amp;"","")</f>
        <v/>
      </c>
      <c r="B41" s="139" t="n"/>
      <c r="C41" s="139">
        <f>IFERROR(INDEX('1일작업량(토목)'!$B$2:$B$115,MATCH($A41,'1일작업량(토목)'!$A$2:$A$115,0)),"")</f>
        <v/>
      </c>
      <c r="D41" s="139">
        <f>IFERROR(INDEX('1일작업량(토목)'!$C$2:$C$115,MATCH($A41,'1일작업량(토목)'!$A$2:$A$115,0)),"")</f>
        <v/>
      </c>
      <c r="E41" s="139">
        <f>IF(A41="","","Y")</f>
        <v/>
      </c>
      <c r="F41" s="141">
        <f>IF(AND(ISNUMBER(B41),ISNUMBER(D41),N(D41)&gt;0),ROUNDUP(ROUND(B41/D41,6),0),"")</f>
        <v/>
      </c>
      <c r="G41" s="141">
        <f>IF(F41="","",N(G40)+IF(E41="Y",F41,0))</f>
        <v/>
      </c>
      <c r="H41" s="141">
        <f>IF(G41="","",IF(G41=0,0,IF(G41&gt;INDEX($K$58:$K$117,60)+INDEX($J$58:$J$117,60),"기간초과",INDEX($L$58:$L$117,MATCH(G41,$K$58:$K$117,1))+(G41-INDEX($K$58:$K$117,MATCH(G41,$K$58:$K$117,1)))*INDEX($D$58:$D$117,MATCH(G41,$K$58:$K$117,1))/INDEX($J$58:$J$117,MATCH(G41,$K$58:$K$117,1)))))</f>
        <v/>
      </c>
      <c r="I41" s="141">
        <f>IF(F41="","",IF(E41="Y",IF(ISNUMBER(H41),ROUND(H41-N(H40),1),"기간초과"),"-"))</f>
        <v/>
      </c>
      <c r="J41" s="141">
        <f>IF(ISNUMBER(I41),ROUND(I41-F41,1),"")</f>
        <v/>
      </c>
    </row>
    <row r="42">
      <c r="A42" s="139">
        <f>IFERROR(INDEX(공종프리셋!$A$2:$F$16,14,MATCH($B$9,공종프리셋!$A$1:$F$1,0))&amp;"","")</f>
        <v/>
      </c>
      <c r="B42" s="139" t="n"/>
      <c r="C42" s="139">
        <f>IFERROR(INDEX('1일작업량(토목)'!$B$2:$B$115,MATCH($A42,'1일작업량(토목)'!$A$2:$A$115,0)),"")</f>
        <v/>
      </c>
      <c r="D42" s="139">
        <f>IFERROR(INDEX('1일작업량(토목)'!$C$2:$C$115,MATCH($A42,'1일작업량(토목)'!$A$2:$A$115,0)),"")</f>
        <v/>
      </c>
      <c r="E42" s="139">
        <f>IF(A42="","","Y")</f>
        <v/>
      </c>
      <c r="F42" s="141">
        <f>IF(AND(ISNUMBER(B42),ISNUMBER(D42),N(D42)&gt;0),ROUNDUP(ROUND(B42/D42,6),0),"")</f>
        <v/>
      </c>
      <c r="G42" s="141">
        <f>IF(F42="","",N(G41)+IF(E42="Y",F42,0))</f>
        <v/>
      </c>
      <c r="H42" s="141">
        <f>IF(G42="","",IF(G42=0,0,IF(G42&gt;INDEX($K$58:$K$117,60)+INDEX($J$58:$J$117,60),"기간초과",INDEX($L$58:$L$117,MATCH(G42,$K$58:$K$117,1))+(G42-INDEX($K$58:$K$117,MATCH(G42,$K$58:$K$117,1)))*INDEX($D$58:$D$117,MATCH(G42,$K$58:$K$117,1))/INDEX($J$58:$J$117,MATCH(G42,$K$58:$K$117,1)))))</f>
        <v/>
      </c>
      <c r="I42" s="141">
        <f>IF(F42="","",IF(E42="Y",IF(ISNUMBER(H42),ROUND(H42-N(H41),1),"기간초과"),"-"))</f>
        <v/>
      </c>
      <c r="J42" s="141">
        <f>IF(ISNUMBER(I42),ROUND(I42-F42,1),"")</f>
        <v/>
      </c>
    </row>
    <row r="43">
      <c r="A43" s="139">
        <f>IFERROR(INDEX(공종프리셋!$A$2:$F$16,15,MATCH($B$9,공종프리셋!$A$1:$F$1,0))&amp;"","")</f>
        <v/>
      </c>
      <c r="B43" s="139" t="n"/>
      <c r="C43" s="139">
        <f>IFERROR(INDEX('1일작업량(토목)'!$B$2:$B$115,MATCH($A43,'1일작업량(토목)'!$A$2:$A$115,0)),"")</f>
        <v/>
      </c>
      <c r="D43" s="139">
        <f>IFERROR(INDEX('1일작업량(토목)'!$C$2:$C$115,MATCH($A43,'1일작업량(토목)'!$A$2:$A$115,0)),"")</f>
        <v/>
      </c>
      <c r="E43" s="139">
        <f>IF(A43="","","Y")</f>
        <v/>
      </c>
      <c r="F43" s="141">
        <f>IF(AND(ISNUMBER(B43),ISNUMBER(D43),N(D43)&gt;0),ROUNDUP(ROUND(B43/D43,6),0),"")</f>
        <v/>
      </c>
      <c r="G43" s="141">
        <f>IF(F43="","",N(G42)+IF(E43="Y",F43,0))</f>
        <v/>
      </c>
      <c r="H43" s="141">
        <f>IF(G43="","",IF(G43=0,0,IF(G43&gt;INDEX($K$58:$K$117,60)+INDEX($J$58:$J$117,60),"기간초과",INDEX($L$58:$L$117,MATCH(G43,$K$58:$K$117,1))+(G43-INDEX($K$58:$K$117,MATCH(G43,$K$58:$K$117,1)))*INDEX($D$58:$D$117,MATCH(G43,$K$58:$K$117,1))/INDEX($J$58:$J$117,MATCH(G43,$K$58:$K$117,1)))))</f>
        <v/>
      </c>
      <c r="I43" s="141">
        <f>IF(F43="","",IF(E43="Y",IF(ISNUMBER(H43),ROUND(H43-N(H42),1),"기간초과"),"-"))</f>
        <v/>
      </c>
      <c r="J43" s="141">
        <f>IF(ISNUMBER(I43),ROUND(I43-F43,1),"")</f>
        <v/>
      </c>
    </row>
    <row r="45">
      <c r="A45" s="131" t="inlineStr">
        <is>
          <t>▼ 결과</t>
        </is>
      </c>
    </row>
    <row r="46">
      <c r="A46" s="131" t="inlineStr">
        <is>
          <t>준비기간 (일)</t>
        </is>
      </c>
      <c r="B46" s="140">
        <f>B7</f>
        <v/>
      </c>
    </row>
    <row r="47">
      <c r="A47" s="131" t="inlineStr">
        <is>
          <t>주공정 공종별 공사기간의 합 (일)</t>
        </is>
      </c>
      <c r="B47" s="140">
        <f>IFERROR(ROUNDUP(MAX(H29:H43),0),"기간초과")</f>
        <v/>
      </c>
    </row>
    <row r="48">
      <c r="A48" s="131" t="inlineStr">
        <is>
          <t>정리기간 (일)</t>
        </is>
      </c>
      <c r="B48" s="140">
        <f>B8</f>
        <v/>
      </c>
    </row>
    <row r="49">
      <c r="A49" s="131" t="inlineStr">
        <is>
          <t>공사기간 A (일)</t>
        </is>
      </c>
      <c r="B49" s="140">
        <f>IF(ISNUMBER(B47),B46+B47+B48,"-")</f>
        <v/>
      </c>
    </row>
    <row r="50">
      <c r="A50" s="131" t="inlineStr">
        <is>
          <t>환산 (개월)</t>
        </is>
      </c>
      <c r="B50" s="140">
        <f>IF(ISNUMBER(B49),ROUND(B49/30,1),"-")</f>
        <v/>
      </c>
    </row>
    <row r="51">
      <c r="A51" s="131" t="inlineStr">
        <is>
          <t>산정공식 공사기간 B (일) — 시설물별공기(토목)</t>
        </is>
      </c>
      <c r="B51" s="140">
        <f>'시설물별공기(토목)'!B19</f>
        <v/>
      </c>
    </row>
    <row r="52">
      <c r="A52" s="131" t="inlineStr">
        <is>
          <t>적정성 검토 (A가 B의 ±20% 이내인지)</t>
        </is>
      </c>
      <c r="B52" s="140">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1" t="n">
        <v>1</v>
      </c>
      <c r="B58" s="141">
        <f>YEAR(EDATE(DATE($B$5,$B$6,1),A58-1))</f>
        <v/>
      </c>
      <c r="C58" s="141">
        <f>MONTH(EDATE(DATE($B$5,$B$6,1),A58-1))</f>
        <v/>
      </c>
      <c r="D58" s="141">
        <f>DAY(EOMONTH(DATE(B58,C58,1),0))</f>
        <v/>
      </c>
      <c r="E58" s="141">
        <f>IFERROR(INDEX(법정공휴일!$B$4:$M$20,MATCH(B58,법정공휴일!$A$4:$A$20,0),C58),0)</f>
        <v/>
      </c>
      <c r="F58" s="141">
        <f>INDEX($D$25:$O$25,C58)</f>
        <v/>
      </c>
      <c r="G58" s="141">
        <f>ROUND(F58*E58/D58,1)</f>
        <v/>
      </c>
      <c r="H58" s="141">
        <f>F58+E58-G58</f>
        <v/>
      </c>
      <c r="I58" s="141">
        <f>ROUND(MAX(H58,8),0)</f>
        <v/>
      </c>
      <c r="J58" s="141">
        <f>D58-I58</f>
        <v/>
      </c>
      <c r="K58" s="141" t="n">
        <v>0</v>
      </c>
      <c r="L58" s="141" t="n">
        <v>0</v>
      </c>
    </row>
    <row r="59">
      <c r="A59" s="141" t="n">
        <v>2</v>
      </c>
      <c r="B59" s="141">
        <f>YEAR(EDATE(DATE($B$5,$B$6,1),A59-1))</f>
        <v/>
      </c>
      <c r="C59" s="141">
        <f>MONTH(EDATE(DATE($B$5,$B$6,1),A59-1))</f>
        <v/>
      </c>
      <c r="D59" s="141">
        <f>DAY(EOMONTH(DATE(B59,C59,1),0))</f>
        <v/>
      </c>
      <c r="E59" s="141">
        <f>IFERROR(INDEX(법정공휴일!$B$4:$M$20,MATCH(B59,법정공휴일!$A$4:$A$20,0),C59),0)</f>
        <v/>
      </c>
      <c r="F59" s="141">
        <f>INDEX($D$25:$O$25,C59)</f>
        <v/>
      </c>
      <c r="G59" s="141">
        <f>ROUND(F59*E59/D59,1)</f>
        <v/>
      </c>
      <c r="H59" s="141">
        <f>F59+E59-G59</f>
        <v/>
      </c>
      <c r="I59" s="141">
        <f>ROUND(MAX(H59,8),0)</f>
        <v/>
      </c>
      <c r="J59" s="141">
        <f>D59-I59</f>
        <v/>
      </c>
      <c r="K59" s="141">
        <f>K58+J58</f>
        <v/>
      </c>
      <c r="L59" s="141">
        <f>L58+D58</f>
        <v/>
      </c>
    </row>
    <row r="60">
      <c r="A60" s="141" t="n">
        <v>3</v>
      </c>
      <c r="B60" s="141">
        <f>YEAR(EDATE(DATE($B$5,$B$6,1),A60-1))</f>
        <v/>
      </c>
      <c r="C60" s="141">
        <f>MONTH(EDATE(DATE($B$5,$B$6,1),A60-1))</f>
        <v/>
      </c>
      <c r="D60" s="141">
        <f>DAY(EOMONTH(DATE(B60,C60,1),0))</f>
        <v/>
      </c>
      <c r="E60" s="141">
        <f>IFERROR(INDEX(법정공휴일!$B$4:$M$20,MATCH(B60,법정공휴일!$A$4:$A$20,0),C60),0)</f>
        <v/>
      </c>
      <c r="F60" s="141">
        <f>INDEX($D$25:$O$25,C60)</f>
        <v/>
      </c>
      <c r="G60" s="141">
        <f>ROUND(F60*E60/D60,1)</f>
        <v/>
      </c>
      <c r="H60" s="141">
        <f>F60+E60-G60</f>
        <v/>
      </c>
      <c r="I60" s="141">
        <f>ROUND(MAX(H60,8),0)</f>
        <v/>
      </c>
      <c r="J60" s="141">
        <f>D60-I60</f>
        <v/>
      </c>
      <c r="K60" s="141">
        <f>K59+J59</f>
        <v/>
      </c>
      <c r="L60" s="141">
        <f>L59+D59</f>
        <v/>
      </c>
    </row>
    <row r="61">
      <c r="A61" s="141" t="n">
        <v>4</v>
      </c>
      <c r="B61" s="141">
        <f>YEAR(EDATE(DATE($B$5,$B$6,1),A61-1))</f>
        <v/>
      </c>
      <c r="C61" s="141">
        <f>MONTH(EDATE(DATE($B$5,$B$6,1),A61-1))</f>
        <v/>
      </c>
      <c r="D61" s="141">
        <f>DAY(EOMONTH(DATE(B61,C61,1),0))</f>
        <v/>
      </c>
      <c r="E61" s="141">
        <f>IFERROR(INDEX(법정공휴일!$B$4:$M$20,MATCH(B61,법정공휴일!$A$4:$A$20,0),C61),0)</f>
        <v/>
      </c>
      <c r="F61" s="141">
        <f>INDEX($D$25:$O$25,C61)</f>
        <v/>
      </c>
      <c r="G61" s="141">
        <f>ROUND(F61*E61/D61,1)</f>
        <v/>
      </c>
      <c r="H61" s="141">
        <f>F61+E61-G61</f>
        <v/>
      </c>
      <c r="I61" s="141">
        <f>ROUND(MAX(H61,8),0)</f>
        <v/>
      </c>
      <c r="J61" s="141">
        <f>D61-I61</f>
        <v/>
      </c>
      <c r="K61" s="141">
        <f>K60+J60</f>
        <v/>
      </c>
      <c r="L61" s="141">
        <f>L60+D60</f>
        <v/>
      </c>
    </row>
    <row r="62">
      <c r="A62" s="141" t="n">
        <v>5</v>
      </c>
      <c r="B62" s="141">
        <f>YEAR(EDATE(DATE($B$5,$B$6,1),A62-1))</f>
        <v/>
      </c>
      <c r="C62" s="141">
        <f>MONTH(EDATE(DATE($B$5,$B$6,1),A62-1))</f>
        <v/>
      </c>
      <c r="D62" s="141">
        <f>DAY(EOMONTH(DATE(B62,C62,1),0))</f>
        <v/>
      </c>
      <c r="E62" s="141">
        <f>IFERROR(INDEX(법정공휴일!$B$4:$M$20,MATCH(B62,법정공휴일!$A$4:$A$20,0),C62),0)</f>
        <v/>
      </c>
      <c r="F62" s="141">
        <f>INDEX($D$25:$O$25,C62)</f>
        <v/>
      </c>
      <c r="G62" s="141">
        <f>ROUND(F62*E62/D62,1)</f>
        <v/>
      </c>
      <c r="H62" s="141">
        <f>F62+E62-G62</f>
        <v/>
      </c>
      <c r="I62" s="141">
        <f>ROUND(MAX(H62,8),0)</f>
        <v/>
      </c>
      <c r="J62" s="141">
        <f>D62-I62</f>
        <v/>
      </c>
      <c r="K62" s="141">
        <f>K61+J61</f>
        <v/>
      </c>
      <c r="L62" s="141">
        <f>L61+D61</f>
        <v/>
      </c>
    </row>
    <row r="63">
      <c r="A63" s="141" t="n">
        <v>6</v>
      </c>
      <c r="B63" s="141">
        <f>YEAR(EDATE(DATE($B$5,$B$6,1),A63-1))</f>
        <v/>
      </c>
      <c r="C63" s="141">
        <f>MONTH(EDATE(DATE($B$5,$B$6,1),A63-1))</f>
        <v/>
      </c>
      <c r="D63" s="141">
        <f>DAY(EOMONTH(DATE(B63,C63,1),0))</f>
        <v/>
      </c>
      <c r="E63" s="141">
        <f>IFERROR(INDEX(법정공휴일!$B$4:$M$20,MATCH(B63,법정공휴일!$A$4:$A$20,0),C63),0)</f>
        <v/>
      </c>
      <c r="F63" s="141">
        <f>INDEX($D$25:$O$25,C63)</f>
        <v/>
      </c>
      <c r="G63" s="141">
        <f>ROUND(F63*E63/D63,1)</f>
        <v/>
      </c>
      <c r="H63" s="141">
        <f>F63+E63-G63</f>
        <v/>
      </c>
      <c r="I63" s="141">
        <f>ROUND(MAX(H63,8),0)</f>
        <v/>
      </c>
      <c r="J63" s="141">
        <f>D63-I63</f>
        <v/>
      </c>
      <c r="K63" s="141">
        <f>K62+J62</f>
        <v/>
      </c>
      <c r="L63" s="141">
        <f>L62+D62</f>
        <v/>
      </c>
    </row>
    <row r="64">
      <c r="A64" s="141" t="n">
        <v>7</v>
      </c>
      <c r="B64" s="141">
        <f>YEAR(EDATE(DATE($B$5,$B$6,1),A64-1))</f>
        <v/>
      </c>
      <c r="C64" s="141">
        <f>MONTH(EDATE(DATE($B$5,$B$6,1),A64-1))</f>
        <v/>
      </c>
      <c r="D64" s="141">
        <f>DAY(EOMONTH(DATE(B64,C64,1),0))</f>
        <v/>
      </c>
      <c r="E64" s="141">
        <f>IFERROR(INDEX(법정공휴일!$B$4:$M$20,MATCH(B64,법정공휴일!$A$4:$A$20,0),C64),0)</f>
        <v/>
      </c>
      <c r="F64" s="141">
        <f>INDEX($D$25:$O$25,C64)</f>
        <v/>
      </c>
      <c r="G64" s="141">
        <f>ROUND(F64*E64/D64,1)</f>
        <v/>
      </c>
      <c r="H64" s="141">
        <f>F64+E64-G64</f>
        <v/>
      </c>
      <c r="I64" s="141">
        <f>ROUND(MAX(H64,8),0)</f>
        <v/>
      </c>
      <c r="J64" s="141">
        <f>D64-I64</f>
        <v/>
      </c>
      <c r="K64" s="141">
        <f>K63+J63</f>
        <v/>
      </c>
      <c r="L64" s="141">
        <f>L63+D63</f>
        <v/>
      </c>
    </row>
    <row r="65">
      <c r="A65" s="141" t="n">
        <v>8</v>
      </c>
      <c r="B65" s="141">
        <f>YEAR(EDATE(DATE($B$5,$B$6,1),A65-1))</f>
        <v/>
      </c>
      <c r="C65" s="141">
        <f>MONTH(EDATE(DATE($B$5,$B$6,1),A65-1))</f>
        <v/>
      </c>
      <c r="D65" s="141">
        <f>DAY(EOMONTH(DATE(B65,C65,1),0))</f>
        <v/>
      </c>
      <c r="E65" s="141">
        <f>IFERROR(INDEX(법정공휴일!$B$4:$M$20,MATCH(B65,법정공휴일!$A$4:$A$20,0),C65),0)</f>
        <v/>
      </c>
      <c r="F65" s="141">
        <f>INDEX($D$25:$O$25,C65)</f>
        <v/>
      </c>
      <c r="G65" s="141">
        <f>ROUND(F65*E65/D65,1)</f>
        <v/>
      </c>
      <c r="H65" s="141">
        <f>F65+E65-G65</f>
        <v/>
      </c>
      <c r="I65" s="141">
        <f>ROUND(MAX(H65,8),0)</f>
        <v/>
      </c>
      <c r="J65" s="141">
        <f>D65-I65</f>
        <v/>
      </c>
      <c r="K65" s="141">
        <f>K64+J64</f>
        <v/>
      </c>
      <c r="L65" s="141">
        <f>L64+D64</f>
        <v/>
      </c>
    </row>
    <row r="66">
      <c r="A66" s="141" t="n">
        <v>9</v>
      </c>
      <c r="B66" s="141">
        <f>YEAR(EDATE(DATE($B$5,$B$6,1),A66-1))</f>
        <v/>
      </c>
      <c r="C66" s="141">
        <f>MONTH(EDATE(DATE($B$5,$B$6,1),A66-1))</f>
        <v/>
      </c>
      <c r="D66" s="141">
        <f>DAY(EOMONTH(DATE(B66,C66,1),0))</f>
        <v/>
      </c>
      <c r="E66" s="141">
        <f>IFERROR(INDEX(법정공휴일!$B$4:$M$20,MATCH(B66,법정공휴일!$A$4:$A$20,0),C66),0)</f>
        <v/>
      </c>
      <c r="F66" s="141">
        <f>INDEX($D$25:$O$25,C66)</f>
        <v/>
      </c>
      <c r="G66" s="141">
        <f>ROUND(F66*E66/D66,1)</f>
        <v/>
      </c>
      <c r="H66" s="141">
        <f>F66+E66-G66</f>
        <v/>
      </c>
      <c r="I66" s="141">
        <f>ROUND(MAX(H66,8),0)</f>
        <v/>
      </c>
      <c r="J66" s="141">
        <f>D66-I66</f>
        <v/>
      </c>
      <c r="K66" s="141">
        <f>K65+J65</f>
        <v/>
      </c>
      <c r="L66" s="141">
        <f>L65+D65</f>
        <v/>
      </c>
    </row>
    <row r="67">
      <c r="A67" s="141" t="n">
        <v>10</v>
      </c>
      <c r="B67" s="141">
        <f>YEAR(EDATE(DATE($B$5,$B$6,1),A67-1))</f>
        <v/>
      </c>
      <c r="C67" s="141">
        <f>MONTH(EDATE(DATE($B$5,$B$6,1),A67-1))</f>
        <v/>
      </c>
      <c r="D67" s="141">
        <f>DAY(EOMONTH(DATE(B67,C67,1),0))</f>
        <v/>
      </c>
      <c r="E67" s="141">
        <f>IFERROR(INDEX(법정공휴일!$B$4:$M$20,MATCH(B67,법정공휴일!$A$4:$A$20,0),C67),0)</f>
        <v/>
      </c>
      <c r="F67" s="141">
        <f>INDEX($D$25:$O$25,C67)</f>
        <v/>
      </c>
      <c r="G67" s="141">
        <f>ROUND(F67*E67/D67,1)</f>
        <v/>
      </c>
      <c r="H67" s="141">
        <f>F67+E67-G67</f>
        <v/>
      </c>
      <c r="I67" s="141">
        <f>ROUND(MAX(H67,8),0)</f>
        <v/>
      </c>
      <c r="J67" s="141">
        <f>D67-I67</f>
        <v/>
      </c>
      <c r="K67" s="141">
        <f>K66+J66</f>
        <v/>
      </c>
      <c r="L67" s="141">
        <f>L66+D66</f>
        <v/>
      </c>
    </row>
    <row r="68">
      <c r="A68" s="141" t="n">
        <v>11</v>
      </c>
      <c r="B68" s="141">
        <f>YEAR(EDATE(DATE($B$5,$B$6,1),A68-1))</f>
        <v/>
      </c>
      <c r="C68" s="141">
        <f>MONTH(EDATE(DATE($B$5,$B$6,1),A68-1))</f>
        <v/>
      </c>
      <c r="D68" s="141">
        <f>DAY(EOMONTH(DATE(B68,C68,1),0))</f>
        <v/>
      </c>
      <c r="E68" s="141">
        <f>IFERROR(INDEX(법정공휴일!$B$4:$M$20,MATCH(B68,법정공휴일!$A$4:$A$20,0),C68),0)</f>
        <v/>
      </c>
      <c r="F68" s="141">
        <f>INDEX($D$25:$O$25,C68)</f>
        <v/>
      </c>
      <c r="G68" s="141">
        <f>ROUND(F68*E68/D68,1)</f>
        <v/>
      </c>
      <c r="H68" s="141">
        <f>F68+E68-G68</f>
        <v/>
      </c>
      <c r="I68" s="141">
        <f>ROUND(MAX(H68,8),0)</f>
        <v/>
      </c>
      <c r="J68" s="141">
        <f>D68-I68</f>
        <v/>
      </c>
      <c r="K68" s="141">
        <f>K67+J67</f>
        <v/>
      </c>
      <c r="L68" s="141">
        <f>L67+D67</f>
        <v/>
      </c>
    </row>
    <row r="69">
      <c r="A69" s="141" t="n">
        <v>12</v>
      </c>
      <c r="B69" s="141">
        <f>YEAR(EDATE(DATE($B$5,$B$6,1),A69-1))</f>
        <v/>
      </c>
      <c r="C69" s="141">
        <f>MONTH(EDATE(DATE($B$5,$B$6,1),A69-1))</f>
        <v/>
      </c>
      <c r="D69" s="141">
        <f>DAY(EOMONTH(DATE(B69,C69,1),0))</f>
        <v/>
      </c>
      <c r="E69" s="141">
        <f>IFERROR(INDEX(법정공휴일!$B$4:$M$20,MATCH(B69,법정공휴일!$A$4:$A$20,0),C69),0)</f>
        <v/>
      </c>
      <c r="F69" s="141">
        <f>INDEX($D$25:$O$25,C69)</f>
        <v/>
      </c>
      <c r="G69" s="141">
        <f>ROUND(F69*E69/D69,1)</f>
        <v/>
      </c>
      <c r="H69" s="141">
        <f>F69+E69-G69</f>
        <v/>
      </c>
      <c r="I69" s="141">
        <f>ROUND(MAX(H69,8),0)</f>
        <v/>
      </c>
      <c r="J69" s="141">
        <f>D69-I69</f>
        <v/>
      </c>
      <c r="K69" s="141">
        <f>K68+J68</f>
        <v/>
      </c>
      <c r="L69" s="141">
        <f>L68+D68</f>
        <v/>
      </c>
    </row>
    <row r="70">
      <c r="A70" s="141" t="n">
        <v>13</v>
      </c>
      <c r="B70" s="141">
        <f>YEAR(EDATE(DATE($B$5,$B$6,1),A70-1))</f>
        <v/>
      </c>
      <c r="C70" s="141">
        <f>MONTH(EDATE(DATE($B$5,$B$6,1),A70-1))</f>
        <v/>
      </c>
      <c r="D70" s="141">
        <f>DAY(EOMONTH(DATE(B70,C70,1),0))</f>
        <v/>
      </c>
      <c r="E70" s="141">
        <f>IFERROR(INDEX(법정공휴일!$B$4:$M$20,MATCH(B70,법정공휴일!$A$4:$A$20,0),C70),0)</f>
        <v/>
      </c>
      <c r="F70" s="141">
        <f>INDEX($D$25:$O$25,C70)</f>
        <v/>
      </c>
      <c r="G70" s="141">
        <f>ROUND(F70*E70/D70,1)</f>
        <v/>
      </c>
      <c r="H70" s="141">
        <f>F70+E70-G70</f>
        <v/>
      </c>
      <c r="I70" s="141">
        <f>ROUND(MAX(H70,8),0)</f>
        <v/>
      </c>
      <c r="J70" s="141">
        <f>D70-I70</f>
        <v/>
      </c>
      <c r="K70" s="141">
        <f>K69+J69</f>
        <v/>
      </c>
      <c r="L70" s="141">
        <f>L69+D69</f>
        <v/>
      </c>
    </row>
    <row r="71">
      <c r="A71" s="141" t="n">
        <v>14</v>
      </c>
      <c r="B71" s="141">
        <f>YEAR(EDATE(DATE($B$5,$B$6,1),A71-1))</f>
        <v/>
      </c>
      <c r="C71" s="141">
        <f>MONTH(EDATE(DATE($B$5,$B$6,1),A71-1))</f>
        <v/>
      </c>
      <c r="D71" s="141">
        <f>DAY(EOMONTH(DATE(B71,C71,1),0))</f>
        <v/>
      </c>
      <c r="E71" s="141">
        <f>IFERROR(INDEX(법정공휴일!$B$4:$M$20,MATCH(B71,법정공휴일!$A$4:$A$20,0),C71),0)</f>
        <v/>
      </c>
      <c r="F71" s="141">
        <f>INDEX($D$25:$O$25,C71)</f>
        <v/>
      </c>
      <c r="G71" s="141">
        <f>ROUND(F71*E71/D71,1)</f>
        <v/>
      </c>
      <c r="H71" s="141">
        <f>F71+E71-G71</f>
        <v/>
      </c>
      <c r="I71" s="141">
        <f>ROUND(MAX(H71,8),0)</f>
        <v/>
      </c>
      <c r="J71" s="141">
        <f>D71-I71</f>
        <v/>
      </c>
      <c r="K71" s="141">
        <f>K70+J70</f>
        <v/>
      </c>
      <c r="L71" s="141">
        <f>L70+D70</f>
        <v/>
      </c>
    </row>
    <row r="72">
      <c r="A72" s="141" t="n">
        <v>15</v>
      </c>
      <c r="B72" s="141">
        <f>YEAR(EDATE(DATE($B$5,$B$6,1),A72-1))</f>
        <v/>
      </c>
      <c r="C72" s="141">
        <f>MONTH(EDATE(DATE($B$5,$B$6,1),A72-1))</f>
        <v/>
      </c>
      <c r="D72" s="141">
        <f>DAY(EOMONTH(DATE(B72,C72,1),0))</f>
        <v/>
      </c>
      <c r="E72" s="141">
        <f>IFERROR(INDEX(법정공휴일!$B$4:$M$20,MATCH(B72,법정공휴일!$A$4:$A$20,0),C72),0)</f>
        <v/>
      </c>
      <c r="F72" s="141">
        <f>INDEX($D$25:$O$25,C72)</f>
        <v/>
      </c>
      <c r="G72" s="141">
        <f>ROUND(F72*E72/D72,1)</f>
        <v/>
      </c>
      <c r="H72" s="141">
        <f>F72+E72-G72</f>
        <v/>
      </c>
      <c r="I72" s="141">
        <f>ROUND(MAX(H72,8),0)</f>
        <v/>
      </c>
      <c r="J72" s="141">
        <f>D72-I72</f>
        <v/>
      </c>
      <c r="K72" s="141">
        <f>K71+J71</f>
        <v/>
      </c>
      <c r="L72" s="141">
        <f>L71+D71</f>
        <v/>
      </c>
    </row>
    <row r="73">
      <c r="A73" s="141" t="n">
        <v>16</v>
      </c>
      <c r="B73" s="141">
        <f>YEAR(EDATE(DATE($B$5,$B$6,1),A73-1))</f>
        <v/>
      </c>
      <c r="C73" s="141">
        <f>MONTH(EDATE(DATE($B$5,$B$6,1),A73-1))</f>
        <v/>
      </c>
      <c r="D73" s="141">
        <f>DAY(EOMONTH(DATE(B73,C73,1),0))</f>
        <v/>
      </c>
      <c r="E73" s="141">
        <f>IFERROR(INDEX(법정공휴일!$B$4:$M$20,MATCH(B73,법정공휴일!$A$4:$A$20,0),C73),0)</f>
        <v/>
      </c>
      <c r="F73" s="141">
        <f>INDEX($D$25:$O$25,C73)</f>
        <v/>
      </c>
      <c r="G73" s="141">
        <f>ROUND(F73*E73/D73,1)</f>
        <v/>
      </c>
      <c r="H73" s="141">
        <f>F73+E73-G73</f>
        <v/>
      </c>
      <c r="I73" s="141">
        <f>ROUND(MAX(H73,8),0)</f>
        <v/>
      </c>
      <c r="J73" s="141">
        <f>D73-I73</f>
        <v/>
      </c>
      <c r="K73" s="141">
        <f>K72+J72</f>
        <v/>
      </c>
      <c r="L73" s="141">
        <f>L72+D72</f>
        <v/>
      </c>
    </row>
    <row r="74">
      <c r="A74" s="141" t="n">
        <v>17</v>
      </c>
      <c r="B74" s="141">
        <f>YEAR(EDATE(DATE($B$5,$B$6,1),A74-1))</f>
        <v/>
      </c>
      <c r="C74" s="141">
        <f>MONTH(EDATE(DATE($B$5,$B$6,1),A74-1))</f>
        <v/>
      </c>
      <c r="D74" s="141">
        <f>DAY(EOMONTH(DATE(B74,C74,1),0))</f>
        <v/>
      </c>
      <c r="E74" s="141">
        <f>IFERROR(INDEX(법정공휴일!$B$4:$M$20,MATCH(B74,법정공휴일!$A$4:$A$20,0),C74),0)</f>
        <v/>
      </c>
      <c r="F74" s="141">
        <f>INDEX($D$25:$O$25,C74)</f>
        <v/>
      </c>
      <c r="G74" s="141">
        <f>ROUND(F74*E74/D74,1)</f>
        <v/>
      </c>
      <c r="H74" s="141">
        <f>F74+E74-G74</f>
        <v/>
      </c>
      <c r="I74" s="141">
        <f>ROUND(MAX(H74,8),0)</f>
        <v/>
      </c>
      <c r="J74" s="141">
        <f>D74-I74</f>
        <v/>
      </c>
      <c r="K74" s="141">
        <f>K73+J73</f>
        <v/>
      </c>
      <c r="L74" s="141">
        <f>L73+D73</f>
        <v/>
      </c>
    </row>
    <row r="75">
      <c r="A75" s="141" t="n">
        <v>18</v>
      </c>
      <c r="B75" s="141">
        <f>YEAR(EDATE(DATE($B$5,$B$6,1),A75-1))</f>
        <v/>
      </c>
      <c r="C75" s="141">
        <f>MONTH(EDATE(DATE($B$5,$B$6,1),A75-1))</f>
        <v/>
      </c>
      <c r="D75" s="141">
        <f>DAY(EOMONTH(DATE(B75,C75,1),0))</f>
        <v/>
      </c>
      <c r="E75" s="141">
        <f>IFERROR(INDEX(법정공휴일!$B$4:$M$20,MATCH(B75,법정공휴일!$A$4:$A$20,0),C75),0)</f>
        <v/>
      </c>
      <c r="F75" s="141">
        <f>INDEX($D$25:$O$25,C75)</f>
        <v/>
      </c>
      <c r="G75" s="141">
        <f>ROUND(F75*E75/D75,1)</f>
        <v/>
      </c>
      <c r="H75" s="141">
        <f>F75+E75-G75</f>
        <v/>
      </c>
      <c r="I75" s="141">
        <f>ROUND(MAX(H75,8),0)</f>
        <v/>
      </c>
      <c r="J75" s="141">
        <f>D75-I75</f>
        <v/>
      </c>
      <c r="K75" s="141">
        <f>K74+J74</f>
        <v/>
      </c>
      <c r="L75" s="141">
        <f>L74+D74</f>
        <v/>
      </c>
    </row>
    <row r="76">
      <c r="A76" s="141" t="n">
        <v>19</v>
      </c>
      <c r="B76" s="141">
        <f>YEAR(EDATE(DATE($B$5,$B$6,1),A76-1))</f>
        <v/>
      </c>
      <c r="C76" s="141">
        <f>MONTH(EDATE(DATE($B$5,$B$6,1),A76-1))</f>
        <v/>
      </c>
      <c r="D76" s="141">
        <f>DAY(EOMONTH(DATE(B76,C76,1),0))</f>
        <v/>
      </c>
      <c r="E76" s="141">
        <f>IFERROR(INDEX(법정공휴일!$B$4:$M$20,MATCH(B76,법정공휴일!$A$4:$A$20,0),C76),0)</f>
        <v/>
      </c>
      <c r="F76" s="141">
        <f>INDEX($D$25:$O$25,C76)</f>
        <v/>
      </c>
      <c r="G76" s="141">
        <f>ROUND(F76*E76/D76,1)</f>
        <v/>
      </c>
      <c r="H76" s="141">
        <f>F76+E76-G76</f>
        <v/>
      </c>
      <c r="I76" s="141">
        <f>ROUND(MAX(H76,8),0)</f>
        <v/>
      </c>
      <c r="J76" s="141">
        <f>D76-I76</f>
        <v/>
      </c>
      <c r="K76" s="141">
        <f>K75+J75</f>
        <v/>
      </c>
      <c r="L76" s="141">
        <f>L75+D75</f>
        <v/>
      </c>
    </row>
    <row r="77">
      <c r="A77" s="141" t="n">
        <v>20</v>
      </c>
      <c r="B77" s="141">
        <f>YEAR(EDATE(DATE($B$5,$B$6,1),A77-1))</f>
        <v/>
      </c>
      <c r="C77" s="141">
        <f>MONTH(EDATE(DATE($B$5,$B$6,1),A77-1))</f>
        <v/>
      </c>
      <c r="D77" s="141">
        <f>DAY(EOMONTH(DATE(B77,C77,1),0))</f>
        <v/>
      </c>
      <c r="E77" s="141">
        <f>IFERROR(INDEX(법정공휴일!$B$4:$M$20,MATCH(B77,법정공휴일!$A$4:$A$20,0),C77),0)</f>
        <v/>
      </c>
      <c r="F77" s="141">
        <f>INDEX($D$25:$O$25,C77)</f>
        <v/>
      </c>
      <c r="G77" s="141">
        <f>ROUND(F77*E77/D77,1)</f>
        <v/>
      </c>
      <c r="H77" s="141">
        <f>F77+E77-G77</f>
        <v/>
      </c>
      <c r="I77" s="141">
        <f>ROUND(MAX(H77,8),0)</f>
        <v/>
      </c>
      <c r="J77" s="141">
        <f>D77-I77</f>
        <v/>
      </c>
      <c r="K77" s="141">
        <f>K76+J76</f>
        <v/>
      </c>
      <c r="L77" s="141">
        <f>L76+D76</f>
        <v/>
      </c>
    </row>
    <row r="78">
      <c r="A78" s="141" t="n">
        <v>21</v>
      </c>
      <c r="B78" s="141">
        <f>YEAR(EDATE(DATE($B$5,$B$6,1),A78-1))</f>
        <v/>
      </c>
      <c r="C78" s="141">
        <f>MONTH(EDATE(DATE($B$5,$B$6,1),A78-1))</f>
        <v/>
      </c>
      <c r="D78" s="141">
        <f>DAY(EOMONTH(DATE(B78,C78,1),0))</f>
        <v/>
      </c>
      <c r="E78" s="141">
        <f>IFERROR(INDEX(법정공휴일!$B$4:$M$20,MATCH(B78,법정공휴일!$A$4:$A$20,0),C78),0)</f>
        <v/>
      </c>
      <c r="F78" s="141">
        <f>INDEX($D$25:$O$25,C78)</f>
        <v/>
      </c>
      <c r="G78" s="141">
        <f>ROUND(F78*E78/D78,1)</f>
        <v/>
      </c>
      <c r="H78" s="141">
        <f>F78+E78-G78</f>
        <v/>
      </c>
      <c r="I78" s="141">
        <f>ROUND(MAX(H78,8),0)</f>
        <v/>
      </c>
      <c r="J78" s="141">
        <f>D78-I78</f>
        <v/>
      </c>
      <c r="K78" s="141">
        <f>K77+J77</f>
        <v/>
      </c>
      <c r="L78" s="141">
        <f>L77+D77</f>
        <v/>
      </c>
    </row>
    <row r="79">
      <c r="A79" s="141" t="n">
        <v>22</v>
      </c>
      <c r="B79" s="141">
        <f>YEAR(EDATE(DATE($B$5,$B$6,1),A79-1))</f>
        <v/>
      </c>
      <c r="C79" s="141">
        <f>MONTH(EDATE(DATE($B$5,$B$6,1),A79-1))</f>
        <v/>
      </c>
      <c r="D79" s="141">
        <f>DAY(EOMONTH(DATE(B79,C79,1),0))</f>
        <v/>
      </c>
      <c r="E79" s="141">
        <f>IFERROR(INDEX(법정공휴일!$B$4:$M$20,MATCH(B79,법정공휴일!$A$4:$A$20,0),C79),0)</f>
        <v/>
      </c>
      <c r="F79" s="141">
        <f>INDEX($D$25:$O$25,C79)</f>
        <v/>
      </c>
      <c r="G79" s="141">
        <f>ROUND(F79*E79/D79,1)</f>
        <v/>
      </c>
      <c r="H79" s="141">
        <f>F79+E79-G79</f>
        <v/>
      </c>
      <c r="I79" s="141">
        <f>ROUND(MAX(H79,8),0)</f>
        <v/>
      </c>
      <c r="J79" s="141">
        <f>D79-I79</f>
        <v/>
      </c>
      <c r="K79" s="141">
        <f>K78+J78</f>
        <v/>
      </c>
      <c r="L79" s="141">
        <f>L78+D78</f>
        <v/>
      </c>
    </row>
    <row r="80">
      <c r="A80" s="141" t="n">
        <v>23</v>
      </c>
      <c r="B80" s="141">
        <f>YEAR(EDATE(DATE($B$5,$B$6,1),A80-1))</f>
        <v/>
      </c>
      <c r="C80" s="141">
        <f>MONTH(EDATE(DATE($B$5,$B$6,1),A80-1))</f>
        <v/>
      </c>
      <c r="D80" s="141">
        <f>DAY(EOMONTH(DATE(B80,C80,1),0))</f>
        <v/>
      </c>
      <c r="E80" s="141">
        <f>IFERROR(INDEX(법정공휴일!$B$4:$M$20,MATCH(B80,법정공휴일!$A$4:$A$20,0),C80),0)</f>
        <v/>
      </c>
      <c r="F80" s="141">
        <f>INDEX($D$25:$O$25,C80)</f>
        <v/>
      </c>
      <c r="G80" s="141">
        <f>ROUND(F80*E80/D80,1)</f>
        <v/>
      </c>
      <c r="H80" s="141">
        <f>F80+E80-G80</f>
        <v/>
      </c>
      <c r="I80" s="141">
        <f>ROUND(MAX(H80,8),0)</f>
        <v/>
      </c>
      <c r="J80" s="141">
        <f>D80-I80</f>
        <v/>
      </c>
      <c r="K80" s="141">
        <f>K79+J79</f>
        <v/>
      </c>
      <c r="L80" s="141">
        <f>L79+D79</f>
        <v/>
      </c>
    </row>
    <row r="81">
      <c r="A81" s="141" t="n">
        <v>24</v>
      </c>
      <c r="B81" s="141">
        <f>YEAR(EDATE(DATE($B$5,$B$6,1),A81-1))</f>
        <v/>
      </c>
      <c r="C81" s="141">
        <f>MONTH(EDATE(DATE($B$5,$B$6,1),A81-1))</f>
        <v/>
      </c>
      <c r="D81" s="141">
        <f>DAY(EOMONTH(DATE(B81,C81,1),0))</f>
        <v/>
      </c>
      <c r="E81" s="141">
        <f>IFERROR(INDEX(법정공휴일!$B$4:$M$20,MATCH(B81,법정공휴일!$A$4:$A$20,0),C81),0)</f>
        <v/>
      </c>
      <c r="F81" s="141">
        <f>INDEX($D$25:$O$25,C81)</f>
        <v/>
      </c>
      <c r="G81" s="141">
        <f>ROUND(F81*E81/D81,1)</f>
        <v/>
      </c>
      <c r="H81" s="141">
        <f>F81+E81-G81</f>
        <v/>
      </c>
      <c r="I81" s="141">
        <f>ROUND(MAX(H81,8),0)</f>
        <v/>
      </c>
      <c r="J81" s="141">
        <f>D81-I81</f>
        <v/>
      </c>
      <c r="K81" s="141">
        <f>K80+J80</f>
        <v/>
      </c>
      <c r="L81" s="141">
        <f>L80+D80</f>
        <v/>
      </c>
    </row>
    <row r="82">
      <c r="A82" s="141" t="n">
        <v>25</v>
      </c>
      <c r="B82" s="141">
        <f>YEAR(EDATE(DATE($B$5,$B$6,1),A82-1))</f>
        <v/>
      </c>
      <c r="C82" s="141">
        <f>MONTH(EDATE(DATE($B$5,$B$6,1),A82-1))</f>
        <v/>
      </c>
      <c r="D82" s="141">
        <f>DAY(EOMONTH(DATE(B82,C82,1),0))</f>
        <v/>
      </c>
      <c r="E82" s="141">
        <f>IFERROR(INDEX(법정공휴일!$B$4:$M$20,MATCH(B82,법정공휴일!$A$4:$A$20,0),C82),0)</f>
        <v/>
      </c>
      <c r="F82" s="141">
        <f>INDEX($D$25:$O$25,C82)</f>
        <v/>
      </c>
      <c r="G82" s="141">
        <f>ROUND(F82*E82/D82,1)</f>
        <v/>
      </c>
      <c r="H82" s="141">
        <f>F82+E82-G82</f>
        <v/>
      </c>
      <c r="I82" s="141">
        <f>ROUND(MAX(H82,8),0)</f>
        <v/>
      </c>
      <c r="J82" s="141">
        <f>D82-I82</f>
        <v/>
      </c>
      <c r="K82" s="141">
        <f>K81+J81</f>
        <v/>
      </c>
      <c r="L82" s="141">
        <f>L81+D81</f>
        <v/>
      </c>
    </row>
    <row r="83">
      <c r="A83" s="141" t="n">
        <v>26</v>
      </c>
      <c r="B83" s="141">
        <f>YEAR(EDATE(DATE($B$5,$B$6,1),A83-1))</f>
        <v/>
      </c>
      <c r="C83" s="141">
        <f>MONTH(EDATE(DATE($B$5,$B$6,1),A83-1))</f>
        <v/>
      </c>
      <c r="D83" s="141">
        <f>DAY(EOMONTH(DATE(B83,C83,1),0))</f>
        <v/>
      </c>
      <c r="E83" s="141">
        <f>IFERROR(INDEX(법정공휴일!$B$4:$M$20,MATCH(B83,법정공휴일!$A$4:$A$20,0),C83),0)</f>
        <v/>
      </c>
      <c r="F83" s="141">
        <f>INDEX($D$25:$O$25,C83)</f>
        <v/>
      </c>
      <c r="G83" s="141">
        <f>ROUND(F83*E83/D83,1)</f>
        <v/>
      </c>
      <c r="H83" s="141">
        <f>F83+E83-G83</f>
        <v/>
      </c>
      <c r="I83" s="141">
        <f>ROUND(MAX(H83,8),0)</f>
        <v/>
      </c>
      <c r="J83" s="141">
        <f>D83-I83</f>
        <v/>
      </c>
      <c r="K83" s="141">
        <f>K82+J82</f>
        <v/>
      </c>
      <c r="L83" s="141">
        <f>L82+D82</f>
        <v/>
      </c>
    </row>
    <row r="84">
      <c r="A84" s="141" t="n">
        <v>27</v>
      </c>
      <c r="B84" s="141">
        <f>YEAR(EDATE(DATE($B$5,$B$6,1),A84-1))</f>
        <v/>
      </c>
      <c r="C84" s="141">
        <f>MONTH(EDATE(DATE($B$5,$B$6,1),A84-1))</f>
        <v/>
      </c>
      <c r="D84" s="141">
        <f>DAY(EOMONTH(DATE(B84,C84,1),0))</f>
        <v/>
      </c>
      <c r="E84" s="141">
        <f>IFERROR(INDEX(법정공휴일!$B$4:$M$20,MATCH(B84,법정공휴일!$A$4:$A$20,0),C84),0)</f>
        <v/>
      </c>
      <c r="F84" s="141">
        <f>INDEX($D$25:$O$25,C84)</f>
        <v/>
      </c>
      <c r="G84" s="141">
        <f>ROUND(F84*E84/D84,1)</f>
        <v/>
      </c>
      <c r="H84" s="141">
        <f>F84+E84-G84</f>
        <v/>
      </c>
      <c r="I84" s="141">
        <f>ROUND(MAX(H84,8),0)</f>
        <v/>
      </c>
      <c r="J84" s="141">
        <f>D84-I84</f>
        <v/>
      </c>
      <c r="K84" s="141">
        <f>K83+J83</f>
        <v/>
      </c>
      <c r="L84" s="141">
        <f>L83+D83</f>
        <v/>
      </c>
    </row>
    <row r="85">
      <c r="A85" s="141" t="n">
        <v>28</v>
      </c>
      <c r="B85" s="141">
        <f>YEAR(EDATE(DATE($B$5,$B$6,1),A85-1))</f>
        <v/>
      </c>
      <c r="C85" s="141">
        <f>MONTH(EDATE(DATE($B$5,$B$6,1),A85-1))</f>
        <v/>
      </c>
      <c r="D85" s="141">
        <f>DAY(EOMONTH(DATE(B85,C85,1),0))</f>
        <v/>
      </c>
      <c r="E85" s="141">
        <f>IFERROR(INDEX(법정공휴일!$B$4:$M$20,MATCH(B85,법정공휴일!$A$4:$A$20,0),C85),0)</f>
        <v/>
      </c>
      <c r="F85" s="141">
        <f>INDEX($D$25:$O$25,C85)</f>
        <v/>
      </c>
      <c r="G85" s="141">
        <f>ROUND(F85*E85/D85,1)</f>
        <v/>
      </c>
      <c r="H85" s="141">
        <f>F85+E85-G85</f>
        <v/>
      </c>
      <c r="I85" s="141">
        <f>ROUND(MAX(H85,8),0)</f>
        <v/>
      </c>
      <c r="J85" s="141">
        <f>D85-I85</f>
        <v/>
      </c>
      <c r="K85" s="141">
        <f>K84+J84</f>
        <v/>
      </c>
      <c r="L85" s="141">
        <f>L84+D84</f>
        <v/>
      </c>
    </row>
    <row r="86">
      <c r="A86" s="141" t="n">
        <v>29</v>
      </c>
      <c r="B86" s="141">
        <f>YEAR(EDATE(DATE($B$5,$B$6,1),A86-1))</f>
        <v/>
      </c>
      <c r="C86" s="141">
        <f>MONTH(EDATE(DATE($B$5,$B$6,1),A86-1))</f>
        <v/>
      </c>
      <c r="D86" s="141">
        <f>DAY(EOMONTH(DATE(B86,C86,1),0))</f>
        <v/>
      </c>
      <c r="E86" s="141">
        <f>IFERROR(INDEX(법정공휴일!$B$4:$M$20,MATCH(B86,법정공휴일!$A$4:$A$20,0),C86),0)</f>
        <v/>
      </c>
      <c r="F86" s="141">
        <f>INDEX($D$25:$O$25,C86)</f>
        <v/>
      </c>
      <c r="G86" s="141">
        <f>ROUND(F86*E86/D86,1)</f>
        <v/>
      </c>
      <c r="H86" s="141">
        <f>F86+E86-G86</f>
        <v/>
      </c>
      <c r="I86" s="141">
        <f>ROUND(MAX(H86,8),0)</f>
        <v/>
      </c>
      <c r="J86" s="141">
        <f>D86-I86</f>
        <v/>
      </c>
      <c r="K86" s="141">
        <f>K85+J85</f>
        <v/>
      </c>
      <c r="L86" s="141">
        <f>L85+D85</f>
        <v/>
      </c>
    </row>
    <row r="87">
      <c r="A87" s="141" t="n">
        <v>30</v>
      </c>
      <c r="B87" s="141">
        <f>YEAR(EDATE(DATE($B$5,$B$6,1),A87-1))</f>
        <v/>
      </c>
      <c r="C87" s="141">
        <f>MONTH(EDATE(DATE($B$5,$B$6,1),A87-1))</f>
        <v/>
      </c>
      <c r="D87" s="141">
        <f>DAY(EOMONTH(DATE(B87,C87,1),0))</f>
        <v/>
      </c>
      <c r="E87" s="141">
        <f>IFERROR(INDEX(법정공휴일!$B$4:$M$20,MATCH(B87,법정공휴일!$A$4:$A$20,0),C87),0)</f>
        <v/>
      </c>
      <c r="F87" s="141">
        <f>INDEX($D$25:$O$25,C87)</f>
        <v/>
      </c>
      <c r="G87" s="141">
        <f>ROUND(F87*E87/D87,1)</f>
        <v/>
      </c>
      <c r="H87" s="141">
        <f>F87+E87-G87</f>
        <v/>
      </c>
      <c r="I87" s="141">
        <f>ROUND(MAX(H87,8),0)</f>
        <v/>
      </c>
      <c r="J87" s="141">
        <f>D87-I87</f>
        <v/>
      </c>
      <c r="K87" s="141">
        <f>K86+J86</f>
        <v/>
      </c>
      <c r="L87" s="141">
        <f>L86+D86</f>
        <v/>
      </c>
    </row>
    <row r="88">
      <c r="A88" s="141" t="n">
        <v>31</v>
      </c>
      <c r="B88" s="141">
        <f>YEAR(EDATE(DATE($B$5,$B$6,1),A88-1))</f>
        <v/>
      </c>
      <c r="C88" s="141">
        <f>MONTH(EDATE(DATE($B$5,$B$6,1),A88-1))</f>
        <v/>
      </c>
      <c r="D88" s="141">
        <f>DAY(EOMONTH(DATE(B88,C88,1),0))</f>
        <v/>
      </c>
      <c r="E88" s="141">
        <f>IFERROR(INDEX(법정공휴일!$B$4:$M$20,MATCH(B88,법정공휴일!$A$4:$A$20,0),C88),0)</f>
        <v/>
      </c>
      <c r="F88" s="141">
        <f>INDEX($D$25:$O$25,C88)</f>
        <v/>
      </c>
      <c r="G88" s="141">
        <f>ROUND(F88*E88/D88,1)</f>
        <v/>
      </c>
      <c r="H88" s="141">
        <f>F88+E88-G88</f>
        <v/>
      </c>
      <c r="I88" s="141">
        <f>ROUND(MAX(H88,8),0)</f>
        <v/>
      </c>
      <c r="J88" s="141">
        <f>D88-I88</f>
        <v/>
      </c>
      <c r="K88" s="141">
        <f>K87+J87</f>
        <v/>
      </c>
      <c r="L88" s="141">
        <f>L87+D87</f>
        <v/>
      </c>
    </row>
    <row r="89">
      <c r="A89" s="141" t="n">
        <v>32</v>
      </c>
      <c r="B89" s="141">
        <f>YEAR(EDATE(DATE($B$5,$B$6,1),A89-1))</f>
        <v/>
      </c>
      <c r="C89" s="141">
        <f>MONTH(EDATE(DATE($B$5,$B$6,1),A89-1))</f>
        <v/>
      </c>
      <c r="D89" s="141">
        <f>DAY(EOMONTH(DATE(B89,C89,1),0))</f>
        <v/>
      </c>
      <c r="E89" s="141">
        <f>IFERROR(INDEX(법정공휴일!$B$4:$M$20,MATCH(B89,법정공휴일!$A$4:$A$20,0),C89),0)</f>
        <v/>
      </c>
      <c r="F89" s="141">
        <f>INDEX($D$25:$O$25,C89)</f>
        <v/>
      </c>
      <c r="G89" s="141">
        <f>ROUND(F89*E89/D89,1)</f>
        <v/>
      </c>
      <c r="H89" s="141">
        <f>F89+E89-G89</f>
        <v/>
      </c>
      <c r="I89" s="141">
        <f>ROUND(MAX(H89,8),0)</f>
        <v/>
      </c>
      <c r="J89" s="141">
        <f>D89-I89</f>
        <v/>
      </c>
      <c r="K89" s="141">
        <f>K88+J88</f>
        <v/>
      </c>
      <c r="L89" s="141">
        <f>L88+D88</f>
        <v/>
      </c>
    </row>
    <row r="90">
      <c r="A90" s="141" t="n">
        <v>33</v>
      </c>
      <c r="B90" s="141">
        <f>YEAR(EDATE(DATE($B$5,$B$6,1),A90-1))</f>
        <v/>
      </c>
      <c r="C90" s="141">
        <f>MONTH(EDATE(DATE($B$5,$B$6,1),A90-1))</f>
        <v/>
      </c>
      <c r="D90" s="141">
        <f>DAY(EOMONTH(DATE(B90,C90,1),0))</f>
        <v/>
      </c>
      <c r="E90" s="141">
        <f>IFERROR(INDEX(법정공휴일!$B$4:$M$20,MATCH(B90,법정공휴일!$A$4:$A$20,0),C90),0)</f>
        <v/>
      </c>
      <c r="F90" s="141">
        <f>INDEX($D$25:$O$25,C90)</f>
        <v/>
      </c>
      <c r="G90" s="141">
        <f>ROUND(F90*E90/D90,1)</f>
        <v/>
      </c>
      <c r="H90" s="141">
        <f>F90+E90-G90</f>
        <v/>
      </c>
      <c r="I90" s="141">
        <f>ROUND(MAX(H90,8),0)</f>
        <v/>
      </c>
      <c r="J90" s="141">
        <f>D90-I90</f>
        <v/>
      </c>
      <c r="K90" s="141">
        <f>K89+J89</f>
        <v/>
      </c>
      <c r="L90" s="141">
        <f>L89+D89</f>
        <v/>
      </c>
    </row>
    <row r="91">
      <c r="A91" s="141" t="n">
        <v>34</v>
      </c>
      <c r="B91" s="141">
        <f>YEAR(EDATE(DATE($B$5,$B$6,1),A91-1))</f>
        <v/>
      </c>
      <c r="C91" s="141">
        <f>MONTH(EDATE(DATE($B$5,$B$6,1),A91-1))</f>
        <v/>
      </c>
      <c r="D91" s="141">
        <f>DAY(EOMONTH(DATE(B91,C91,1),0))</f>
        <v/>
      </c>
      <c r="E91" s="141">
        <f>IFERROR(INDEX(법정공휴일!$B$4:$M$20,MATCH(B91,법정공휴일!$A$4:$A$20,0),C91),0)</f>
        <v/>
      </c>
      <c r="F91" s="141">
        <f>INDEX($D$25:$O$25,C91)</f>
        <v/>
      </c>
      <c r="G91" s="141">
        <f>ROUND(F91*E91/D91,1)</f>
        <v/>
      </c>
      <c r="H91" s="141">
        <f>F91+E91-G91</f>
        <v/>
      </c>
      <c r="I91" s="141">
        <f>ROUND(MAX(H91,8),0)</f>
        <v/>
      </c>
      <c r="J91" s="141">
        <f>D91-I91</f>
        <v/>
      </c>
      <c r="K91" s="141">
        <f>K90+J90</f>
        <v/>
      </c>
      <c r="L91" s="141">
        <f>L90+D90</f>
        <v/>
      </c>
    </row>
    <row r="92">
      <c r="A92" s="141" t="n">
        <v>35</v>
      </c>
      <c r="B92" s="141">
        <f>YEAR(EDATE(DATE($B$5,$B$6,1),A92-1))</f>
        <v/>
      </c>
      <c r="C92" s="141">
        <f>MONTH(EDATE(DATE($B$5,$B$6,1),A92-1))</f>
        <v/>
      </c>
      <c r="D92" s="141">
        <f>DAY(EOMONTH(DATE(B92,C92,1),0))</f>
        <v/>
      </c>
      <c r="E92" s="141">
        <f>IFERROR(INDEX(법정공휴일!$B$4:$M$20,MATCH(B92,법정공휴일!$A$4:$A$20,0),C92),0)</f>
        <v/>
      </c>
      <c r="F92" s="141">
        <f>INDEX($D$25:$O$25,C92)</f>
        <v/>
      </c>
      <c r="G92" s="141">
        <f>ROUND(F92*E92/D92,1)</f>
        <v/>
      </c>
      <c r="H92" s="141">
        <f>F92+E92-G92</f>
        <v/>
      </c>
      <c r="I92" s="141">
        <f>ROUND(MAX(H92,8),0)</f>
        <v/>
      </c>
      <c r="J92" s="141">
        <f>D92-I92</f>
        <v/>
      </c>
      <c r="K92" s="141">
        <f>K91+J91</f>
        <v/>
      </c>
      <c r="L92" s="141">
        <f>L91+D91</f>
        <v/>
      </c>
    </row>
    <row r="93">
      <c r="A93" s="141" t="n">
        <v>36</v>
      </c>
      <c r="B93" s="141">
        <f>YEAR(EDATE(DATE($B$5,$B$6,1),A93-1))</f>
        <v/>
      </c>
      <c r="C93" s="141">
        <f>MONTH(EDATE(DATE($B$5,$B$6,1),A93-1))</f>
        <v/>
      </c>
      <c r="D93" s="141">
        <f>DAY(EOMONTH(DATE(B93,C93,1),0))</f>
        <v/>
      </c>
      <c r="E93" s="141">
        <f>IFERROR(INDEX(법정공휴일!$B$4:$M$20,MATCH(B93,법정공휴일!$A$4:$A$20,0),C93),0)</f>
        <v/>
      </c>
      <c r="F93" s="141">
        <f>INDEX($D$25:$O$25,C93)</f>
        <v/>
      </c>
      <c r="G93" s="141">
        <f>ROUND(F93*E93/D93,1)</f>
        <v/>
      </c>
      <c r="H93" s="141">
        <f>F93+E93-G93</f>
        <v/>
      </c>
      <c r="I93" s="141">
        <f>ROUND(MAX(H93,8),0)</f>
        <v/>
      </c>
      <c r="J93" s="141">
        <f>D93-I93</f>
        <v/>
      </c>
      <c r="K93" s="141">
        <f>K92+J92</f>
        <v/>
      </c>
      <c r="L93" s="141">
        <f>L92+D92</f>
        <v/>
      </c>
    </row>
    <row r="94">
      <c r="A94" s="141" t="n">
        <v>37</v>
      </c>
      <c r="B94" s="141">
        <f>YEAR(EDATE(DATE($B$5,$B$6,1),A94-1))</f>
        <v/>
      </c>
      <c r="C94" s="141">
        <f>MONTH(EDATE(DATE($B$5,$B$6,1),A94-1))</f>
        <v/>
      </c>
      <c r="D94" s="141">
        <f>DAY(EOMONTH(DATE(B94,C94,1),0))</f>
        <v/>
      </c>
      <c r="E94" s="141">
        <f>IFERROR(INDEX(법정공휴일!$B$4:$M$20,MATCH(B94,법정공휴일!$A$4:$A$20,0),C94),0)</f>
        <v/>
      </c>
      <c r="F94" s="141">
        <f>INDEX($D$25:$O$25,C94)</f>
        <v/>
      </c>
      <c r="G94" s="141">
        <f>ROUND(F94*E94/D94,1)</f>
        <v/>
      </c>
      <c r="H94" s="141">
        <f>F94+E94-G94</f>
        <v/>
      </c>
      <c r="I94" s="141">
        <f>ROUND(MAX(H94,8),0)</f>
        <v/>
      </c>
      <c r="J94" s="141">
        <f>D94-I94</f>
        <v/>
      </c>
      <c r="K94" s="141">
        <f>K93+J93</f>
        <v/>
      </c>
      <c r="L94" s="141">
        <f>L93+D93</f>
        <v/>
      </c>
    </row>
    <row r="95">
      <c r="A95" s="141" t="n">
        <v>38</v>
      </c>
      <c r="B95" s="141">
        <f>YEAR(EDATE(DATE($B$5,$B$6,1),A95-1))</f>
        <v/>
      </c>
      <c r="C95" s="141">
        <f>MONTH(EDATE(DATE($B$5,$B$6,1),A95-1))</f>
        <v/>
      </c>
      <c r="D95" s="141">
        <f>DAY(EOMONTH(DATE(B95,C95,1),0))</f>
        <v/>
      </c>
      <c r="E95" s="141">
        <f>IFERROR(INDEX(법정공휴일!$B$4:$M$20,MATCH(B95,법정공휴일!$A$4:$A$20,0),C95),0)</f>
        <v/>
      </c>
      <c r="F95" s="141">
        <f>INDEX($D$25:$O$25,C95)</f>
        <v/>
      </c>
      <c r="G95" s="141">
        <f>ROUND(F95*E95/D95,1)</f>
        <v/>
      </c>
      <c r="H95" s="141">
        <f>F95+E95-G95</f>
        <v/>
      </c>
      <c r="I95" s="141">
        <f>ROUND(MAX(H95,8),0)</f>
        <v/>
      </c>
      <c r="J95" s="141">
        <f>D95-I95</f>
        <v/>
      </c>
      <c r="K95" s="141">
        <f>K94+J94</f>
        <v/>
      </c>
      <c r="L95" s="141">
        <f>L94+D94</f>
        <v/>
      </c>
    </row>
    <row r="96">
      <c r="A96" s="141" t="n">
        <v>39</v>
      </c>
      <c r="B96" s="141">
        <f>YEAR(EDATE(DATE($B$5,$B$6,1),A96-1))</f>
        <v/>
      </c>
      <c r="C96" s="141">
        <f>MONTH(EDATE(DATE($B$5,$B$6,1),A96-1))</f>
        <v/>
      </c>
      <c r="D96" s="141">
        <f>DAY(EOMONTH(DATE(B96,C96,1),0))</f>
        <v/>
      </c>
      <c r="E96" s="141">
        <f>IFERROR(INDEX(법정공휴일!$B$4:$M$20,MATCH(B96,법정공휴일!$A$4:$A$20,0),C96),0)</f>
        <v/>
      </c>
      <c r="F96" s="141">
        <f>INDEX($D$25:$O$25,C96)</f>
        <v/>
      </c>
      <c r="G96" s="141">
        <f>ROUND(F96*E96/D96,1)</f>
        <v/>
      </c>
      <c r="H96" s="141">
        <f>F96+E96-G96</f>
        <v/>
      </c>
      <c r="I96" s="141">
        <f>ROUND(MAX(H96,8),0)</f>
        <v/>
      </c>
      <c r="J96" s="141">
        <f>D96-I96</f>
        <v/>
      </c>
      <c r="K96" s="141">
        <f>K95+J95</f>
        <v/>
      </c>
      <c r="L96" s="141">
        <f>L95+D95</f>
        <v/>
      </c>
    </row>
    <row r="97">
      <c r="A97" s="141" t="n">
        <v>40</v>
      </c>
      <c r="B97" s="141">
        <f>YEAR(EDATE(DATE($B$5,$B$6,1),A97-1))</f>
        <v/>
      </c>
      <c r="C97" s="141">
        <f>MONTH(EDATE(DATE($B$5,$B$6,1),A97-1))</f>
        <v/>
      </c>
      <c r="D97" s="141">
        <f>DAY(EOMONTH(DATE(B97,C97,1),0))</f>
        <v/>
      </c>
      <c r="E97" s="141">
        <f>IFERROR(INDEX(법정공휴일!$B$4:$M$20,MATCH(B97,법정공휴일!$A$4:$A$20,0),C97),0)</f>
        <v/>
      </c>
      <c r="F97" s="141">
        <f>INDEX($D$25:$O$25,C97)</f>
        <v/>
      </c>
      <c r="G97" s="141">
        <f>ROUND(F97*E97/D97,1)</f>
        <v/>
      </c>
      <c r="H97" s="141">
        <f>F97+E97-G97</f>
        <v/>
      </c>
      <c r="I97" s="141">
        <f>ROUND(MAX(H97,8),0)</f>
        <v/>
      </c>
      <c r="J97" s="141">
        <f>D97-I97</f>
        <v/>
      </c>
      <c r="K97" s="141">
        <f>K96+J96</f>
        <v/>
      </c>
      <c r="L97" s="141">
        <f>L96+D96</f>
        <v/>
      </c>
    </row>
    <row r="98">
      <c r="A98" s="141" t="n">
        <v>41</v>
      </c>
      <c r="B98" s="141">
        <f>YEAR(EDATE(DATE($B$5,$B$6,1),A98-1))</f>
        <v/>
      </c>
      <c r="C98" s="141">
        <f>MONTH(EDATE(DATE($B$5,$B$6,1),A98-1))</f>
        <v/>
      </c>
      <c r="D98" s="141">
        <f>DAY(EOMONTH(DATE(B98,C98,1),0))</f>
        <v/>
      </c>
      <c r="E98" s="141">
        <f>IFERROR(INDEX(법정공휴일!$B$4:$M$20,MATCH(B98,법정공휴일!$A$4:$A$20,0),C98),0)</f>
        <v/>
      </c>
      <c r="F98" s="141">
        <f>INDEX($D$25:$O$25,C98)</f>
        <v/>
      </c>
      <c r="G98" s="141">
        <f>ROUND(F98*E98/D98,1)</f>
        <v/>
      </c>
      <c r="H98" s="141">
        <f>F98+E98-G98</f>
        <v/>
      </c>
      <c r="I98" s="141">
        <f>ROUND(MAX(H98,8),0)</f>
        <v/>
      </c>
      <c r="J98" s="141">
        <f>D98-I98</f>
        <v/>
      </c>
      <c r="K98" s="141">
        <f>K97+J97</f>
        <v/>
      </c>
      <c r="L98" s="141">
        <f>L97+D97</f>
        <v/>
      </c>
    </row>
    <row r="99">
      <c r="A99" s="141" t="n">
        <v>42</v>
      </c>
      <c r="B99" s="141">
        <f>YEAR(EDATE(DATE($B$5,$B$6,1),A99-1))</f>
        <v/>
      </c>
      <c r="C99" s="141">
        <f>MONTH(EDATE(DATE($B$5,$B$6,1),A99-1))</f>
        <v/>
      </c>
      <c r="D99" s="141">
        <f>DAY(EOMONTH(DATE(B99,C99,1),0))</f>
        <v/>
      </c>
      <c r="E99" s="141">
        <f>IFERROR(INDEX(법정공휴일!$B$4:$M$20,MATCH(B99,법정공휴일!$A$4:$A$20,0),C99),0)</f>
        <v/>
      </c>
      <c r="F99" s="141">
        <f>INDEX($D$25:$O$25,C99)</f>
        <v/>
      </c>
      <c r="G99" s="141">
        <f>ROUND(F99*E99/D99,1)</f>
        <v/>
      </c>
      <c r="H99" s="141">
        <f>F99+E99-G99</f>
        <v/>
      </c>
      <c r="I99" s="141">
        <f>ROUND(MAX(H99,8),0)</f>
        <v/>
      </c>
      <c r="J99" s="141">
        <f>D99-I99</f>
        <v/>
      </c>
      <c r="K99" s="141">
        <f>K98+J98</f>
        <v/>
      </c>
      <c r="L99" s="141">
        <f>L98+D98</f>
        <v/>
      </c>
    </row>
    <row r="100">
      <c r="A100" s="141" t="n">
        <v>43</v>
      </c>
      <c r="B100" s="141">
        <f>YEAR(EDATE(DATE($B$5,$B$6,1),A100-1))</f>
        <v/>
      </c>
      <c r="C100" s="141">
        <f>MONTH(EDATE(DATE($B$5,$B$6,1),A100-1))</f>
        <v/>
      </c>
      <c r="D100" s="141">
        <f>DAY(EOMONTH(DATE(B100,C100,1),0))</f>
        <v/>
      </c>
      <c r="E100" s="141">
        <f>IFERROR(INDEX(법정공휴일!$B$4:$M$20,MATCH(B100,법정공휴일!$A$4:$A$20,0),C100),0)</f>
        <v/>
      </c>
      <c r="F100" s="141">
        <f>INDEX($D$25:$O$25,C100)</f>
        <v/>
      </c>
      <c r="G100" s="141">
        <f>ROUND(F100*E100/D100,1)</f>
        <v/>
      </c>
      <c r="H100" s="141">
        <f>F100+E100-G100</f>
        <v/>
      </c>
      <c r="I100" s="141">
        <f>ROUND(MAX(H100,8),0)</f>
        <v/>
      </c>
      <c r="J100" s="141">
        <f>D100-I100</f>
        <v/>
      </c>
      <c r="K100" s="141">
        <f>K99+J99</f>
        <v/>
      </c>
      <c r="L100" s="141">
        <f>L99+D99</f>
        <v/>
      </c>
    </row>
    <row r="101">
      <c r="A101" s="141" t="n">
        <v>44</v>
      </c>
      <c r="B101" s="141">
        <f>YEAR(EDATE(DATE($B$5,$B$6,1),A101-1))</f>
        <v/>
      </c>
      <c r="C101" s="141">
        <f>MONTH(EDATE(DATE($B$5,$B$6,1),A101-1))</f>
        <v/>
      </c>
      <c r="D101" s="141">
        <f>DAY(EOMONTH(DATE(B101,C101,1),0))</f>
        <v/>
      </c>
      <c r="E101" s="141">
        <f>IFERROR(INDEX(법정공휴일!$B$4:$M$20,MATCH(B101,법정공휴일!$A$4:$A$20,0),C101),0)</f>
        <v/>
      </c>
      <c r="F101" s="141">
        <f>INDEX($D$25:$O$25,C101)</f>
        <v/>
      </c>
      <c r="G101" s="141">
        <f>ROUND(F101*E101/D101,1)</f>
        <v/>
      </c>
      <c r="H101" s="141">
        <f>F101+E101-G101</f>
        <v/>
      </c>
      <c r="I101" s="141">
        <f>ROUND(MAX(H101,8),0)</f>
        <v/>
      </c>
      <c r="J101" s="141">
        <f>D101-I101</f>
        <v/>
      </c>
      <c r="K101" s="141">
        <f>K100+J100</f>
        <v/>
      </c>
      <c r="L101" s="141">
        <f>L100+D100</f>
        <v/>
      </c>
    </row>
    <row r="102">
      <c r="A102" s="141" t="n">
        <v>45</v>
      </c>
      <c r="B102" s="141">
        <f>YEAR(EDATE(DATE($B$5,$B$6,1),A102-1))</f>
        <v/>
      </c>
      <c r="C102" s="141">
        <f>MONTH(EDATE(DATE($B$5,$B$6,1),A102-1))</f>
        <v/>
      </c>
      <c r="D102" s="141">
        <f>DAY(EOMONTH(DATE(B102,C102,1),0))</f>
        <v/>
      </c>
      <c r="E102" s="141">
        <f>IFERROR(INDEX(법정공휴일!$B$4:$M$20,MATCH(B102,법정공휴일!$A$4:$A$20,0),C102),0)</f>
        <v/>
      </c>
      <c r="F102" s="141">
        <f>INDEX($D$25:$O$25,C102)</f>
        <v/>
      </c>
      <c r="G102" s="141">
        <f>ROUND(F102*E102/D102,1)</f>
        <v/>
      </c>
      <c r="H102" s="141">
        <f>F102+E102-G102</f>
        <v/>
      </c>
      <c r="I102" s="141">
        <f>ROUND(MAX(H102,8),0)</f>
        <v/>
      </c>
      <c r="J102" s="141">
        <f>D102-I102</f>
        <v/>
      </c>
      <c r="K102" s="141">
        <f>K101+J101</f>
        <v/>
      </c>
      <c r="L102" s="141">
        <f>L101+D101</f>
        <v/>
      </c>
    </row>
    <row r="103">
      <c r="A103" s="141" t="n">
        <v>46</v>
      </c>
      <c r="B103" s="141">
        <f>YEAR(EDATE(DATE($B$5,$B$6,1),A103-1))</f>
        <v/>
      </c>
      <c r="C103" s="141">
        <f>MONTH(EDATE(DATE($B$5,$B$6,1),A103-1))</f>
        <v/>
      </c>
      <c r="D103" s="141">
        <f>DAY(EOMONTH(DATE(B103,C103,1),0))</f>
        <v/>
      </c>
      <c r="E103" s="141">
        <f>IFERROR(INDEX(법정공휴일!$B$4:$M$20,MATCH(B103,법정공휴일!$A$4:$A$20,0),C103),0)</f>
        <v/>
      </c>
      <c r="F103" s="141">
        <f>INDEX($D$25:$O$25,C103)</f>
        <v/>
      </c>
      <c r="G103" s="141">
        <f>ROUND(F103*E103/D103,1)</f>
        <v/>
      </c>
      <c r="H103" s="141">
        <f>F103+E103-G103</f>
        <v/>
      </c>
      <c r="I103" s="141">
        <f>ROUND(MAX(H103,8),0)</f>
        <v/>
      </c>
      <c r="J103" s="141">
        <f>D103-I103</f>
        <v/>
      </c>
      <c r="K103" s="141">
        <f>K102+J102</f>
        <v/>
      </c>
      <c r="L103" s="141">
        <f>L102+D102</f>
        <v/>
      </c>
    </row>
    <row r="104">
      <c r="A104" s="141" t="n">
        <v>47</v>
      </c>
      <c r="B104" s="141">
        <f>YEAR(EDATE(DATE($B$5,$B$6,1),A104-1))</f>
        <v/>
      </c>
      <c r="C104" s="141">
        <f>MONTH(EDATE(DATE($B$5,$B$6,1),A104-1))</f>
        <v/>
      </c>
      <c r="D104" s="141">
        <f>DAY(EOMONTH(DATE(B104,C104,1),0))</f>
        <v/>
      </c>
      <c r="E104" s="141">
        <f>IFERROR(INDEX(법정공휴일!$B$4:$M$20,MATCH(B104,법정공휴일!$A$4:$A$20,0),C104),0)</f>
        <v/>
      </c>
      <c r="F104" s="141">
        <f>INDEX($D$25:$O$25,C104)</f>
        <v/>
      </c>
      <c r="G104" s="141">
        <f>ROUND(F104*E104/D104,1)</f>
        <v/>
      </c>
      <c r="H104" s="141">
        <f>F104+E104-G104</f>
        <v/>
      </c>
      <c r="I104" s="141">
        <f>ROUND(MAX(H104,8),0)</f>
        <v/>
      </c>
      <c r="J104" s="141">
        <f>D104-I104</f>
        <v/>
      </c>
      <c r="K104" s="141">
        <f>K103+J103</f>
        <v/>
      </c>
      <c r="L104" s="141">
        <f>L103+D103</f>
        <v/>
      </c>
    </row>
    <row r="105">
      <c r="A105" s="141" t="n">
        <v>48</v>
      </c>
      <c r="B105" s="141">
        <f>YEAR(EDATE(DATE($B$5,$B$6,1),A105-1))</f>
        <v/>
      </c>
      <c r="C105" s="141">
        <f>MONTH(EDATE(DATE($B$5,$B$6,1),A105-1))</f>
        <v/>
      </c>
      <c r="D105" s="141">
        <f>DAY(EOMONTH(DATE(B105,C105,1),0))</f>
        <v/>
      </c>
      <c r="E105" s="141">
        <f>IFERROR(INDEX(법정공휴일!$B$4:$M$20,MATCH(B105,법정공휴일!$A$4:$A$20,0),C105),0)</f>
        <v/>
      </c>
      <c r="F105" s="141">
        <f>INDEX($D$25:$O$25,C105)</f>
        <v/>
      </c>
      <c r="G105" s="141">
        <f>ROUND(F105*E105/D105,1)</f>
        <v/>
      </c>
      <c r="H105" s="141">
        <f>F105+E105-G105</f>
        <v/>
      </c>
      <c r="I105" s="141">
        <f>ROUND(MAX(H105,8),0)</f>
        <v/>
      </c>
      <c r="J105" s="141">
        <f>D105-I105</f>
        <v/>
      </c>
      <c r="K105" s="141">
        <f>K104+J104</f>
        <v/>
      </c>
      <c r="L105" s="141">
        <f>L104+D104</f>
        <v/>
      </c>
    </row>
    <row r="106">
      <c r="A106" s="141" t="n">
        <v>49</v>
      </c>
      <c r="B106" s="141">
        <f>YEAR(EDATE(DATE($B$5,$B$6,1),A106-1))</f>
        <v/>
      </c>
      <c r="C106" s="141">
        <f>MONTH(EDATE(DATE($B$5,$B$6,1),A106-1))</f>
        <v/>
      </c>
      <c r="D106" s="141">
        <f>DAY(EOMONTH(DATE(B106,C106,1),0))</f>
        <v/>
      </c>
      <c r="E106" s="141">
        <f>IFERROR(INDEX(법정공휴일!$B$4:$M$20,MATCH(B106,법정공휴일!$A$4:$A$20,0),C106),0)</f>
        <v/>
      </c>
      <c r="F106" s="141">
        <f>INDEX($D$25:$O$25,C106)</f>
        <v/>
      </c>
      <c r="G106" s="141">
        <f>ROUND(F106*E106/D106,1)</f>
        <v/>
      </c>
      <c r="H106" s="141">
        <f>F106+E106-G106</f>
        <v/>
      </c>
      <c r="I106" s="141">
        <f>ROUND(MAX(H106,8),0)</f>
        <v/>
      </c>
      <c r="J106" s="141">
        <f>D106-I106</f>
        <v/>
      </c>
      <c r="K106" s="141">
        <f>K105+J105</f>
        <v/>
      </c>
      <c r="L106" s="141">
        <f>L105+D105</f>
        <v/>
      </c>
    </row>
    <row r="107">
      <c r="A107" s="141" t="n">
        <v>50</v>
      </c>
      <c r="B107" s="141">
        <f>YEAR(EDATE(DATE($B$5,$B$6,1),A107-1))</f>
        <v/>
      </c>
      <c r="C107" s="141">
        <f>MONTH(EDATE(DATE($B$5,$B$6,1),A107-1))</f>
        <v/>
      </c>
      <c r="D107" s="141">
        <f>DAY(EOMONTH(DATE(B107,C107,1),0))</f>
        <v/>
      </c>
      <c r="E107" s="141">
        <f>IFERROR(INDEX(법정공휴일!$B$4:$M$20,MATCH(B107,법정공휴일!$A$4:$A$20,0),C107),0)</f>
        <v/>
      </c>
      <c r="F107" s="141">
        <f>INDEX($D$25:$O$25,C107)</f>
        <v/>
      </c>
      <c r="G107" s="141">
        <f>ROUND(F107*E107/D107,1)</f>
        <v/>
      </c>
      <c r="H107" s="141">
        <f>F107+E107-G107</f>
        <v/>
      </c>
      <c r="I107" s="141">
        <f>ROUND(MAX(H107,8),0)</f>
        <v/>
      </c>
      <c r="J107" s="141">
        <f>D107-I107</f>
        <v/>
      </c>
      <c r="K107" s="141">
        <f>K106+J106</f>
        <v/>
      </c>
      <c r="L107" s="141">
        <f>L106+D106</f>
        <v/>
      </c>
    </row>
    <row r="108">
      <c r="A108" s="141" t="n">
        <v>51</v>
      </c>
      <c r="B108" s="141">
        <f>YEAR(EDATE(DATE($B$5,$B$6,1),A108-1))</f>
        <v/>
      </c>
      <c r="C108" s="141">
        <f>MONTH(EDATE(DATE($B$5,$B$6,1),A108-1))</f>
        <v/>
      </c>
      <c r="D108" s="141">
        <f>DAY(EOMONTH(DATE(B108,C108,1),0))</f>
        <v/>
      </c>
      <c r="E108" s="141">
        <f>IFERROR(INDEX(법정공휴일!$B$4:$M$20,MATCH(B108,법정공휴일!$A$4:$A$20,0),C108),0)</f>
        <v/>
      </c>
      <c r="F108" s="141">
        <f>INDEX($D$25:$O$25,C108)</f>
        <v/>
      </c>
      <c r="G108" s="141">
        <f>ROUND(F108*E108/D108,1)</f>
        <v/>
      </c>
      <c r="H108" s="141">
        <f>F108+E108-G108</f>
        <v/>
      </c>
      <c r="I108" s="141">
        <f>ROUND(MAX(H108,8),0)</f>
        <v/>
      </c>
      <c r="J108" s="141">
        <f>D108-I108</f>
        <v/>
      </c>
      <c r="K108" s="141">
        <f>K107+J107</f>
        <v/>
      </c>
      <c r="L108" s="141">
        <f>L107+D107</f>
        <v/>
      </c>
    </row>
    <row r="109">
      <c r="A109" s="141" t="n">
        <v>52</v>
      </c>
      <c r="B109" s="141">
        <f>YEAR(EDATE(DATE($B$5,$B$6,1),A109-1))</f>
        <v/>
      </c>
      <c r="C109" s="141">
        <f>MONTH(EDATE(DATE($B$5,$B$6,1),A109-1))</f>
        <v/>
      </c>
      <c r="D109" s="141">
        <f>DAY(EOMONTH(DATE(B109,C109,1),0))</f>
        <v/>
      </c>
      <c r="E109" s="141">
        <f>IFERROR(INDEX(법정공휴일!$B$4:$M$20,MATCH(B109,법정공휴일!$A$4:$A$20,0),C109),0)</f>
        <v/>
      </c>
      <c r="F109" s="141">
        <f>INDEX($D$25:$O$25,C109)</f>
        <v/>
      </c>
      <c r="G109" s="141">
        <f>ROUND(F109*E109/D109,1)</f>
        <v/>
      </c>
      <c r="H109" s="141">
        <f>F109+E109-G109</f>
        <v/>
      </c>
      <c r="I109" s="141">
        <f>ROUND(MAX(H109,8),0)</f>
        <v/>
      </c>
      <c r="J109" s="141">
        <f>D109-I109</f>
        <v/>
      </c>
      <c r="K109" s="141">
        <f>K108+J108</f>
        <v/>
      </c>
      <c r="L109" s="141">
        <f>L108+D108</f>
        <v/>
      </c>
    </row>
    <row r="110">
      <c r="A110" s="141" t="n">
        <v>53</v>
      </c>
      <c r="B110" s="141">
        <f>YEAR(EDATE(DATE($B$5,$B$6,1),A110-1))</f>
        <v/>
      </c>
      <c r="C110" s="141">
        <f>MONTH(EDATE(DATE($B$5,$B$6,1),A110-1))</f>
        <v/>
      </c>
      <c r="D110" s="141">
        <f>DAY(EOMONTH(DATE(B110,C110,1),0))</f>
        <v/>
      </c>
      <c r="E110" s="141">
        <f>IFERROR(INDEX(법정공휴일!$B$4:$M$20,MATCH(B110,법정공휴일!$A$4:$A$20,0),C110),0)</f>
        <v/>
      </c>
      <c r="F110" s="141">
        <f>INDEX($D$25:$O$25,C110)</f>
        <v/>
      </c>
      <c r="G110" s="141">
        <f>ROUND(F110*E110/D110,1)</f>
        <v/>
      </c>
      <c r="H110" s="141">
        <f>F110+E110-G110</f>
        <v/>
      </c>
      <c r="I110" s="141">
        <f>ROUND(MAX(H110,8),0)</f>
        <v/>
      </c>
      <c r="J110" s="141">
        <f>D110-I110</f>
        <v/>
      </c>
      <c r="K110" s="141">
        <f>K109+J109</f>
        <v/>
      </c>
      <c r="L110" s="141">
        <f>L109+D109</f>
        <v/>
      </c>
    </row>
    <row r="111">
      <c r="A111" s="141" t="n">
        <v>54</v>
      </c>
      <c r="B111" s="141">
        <f>YEAR(EDATE(DATE($B$5,$B$6,1),A111-1))</f>
        <v/>
      </c>
      <c r="C111" s="141">
        <f>MONTH(EDATE(DATE($B$5,$B$6,1),A111-1))</f>
        <v/>
      </c>
      <c r="D111" s="141">
        <f>DAY(EOMONTH(DATE(B111,C111,1),0))</f>
        <v/>
      </c>
      <c r="E111" s="141">
        <f>IFERROR(INDEX(법정공휴일!$B$4:$M$20,MATCH(B111,법정공휴일!$A$4:$A$20,0),C111),0)</f>
        <v/>
      </c>
      <c r="F111" s="141">
        <f>INDEX($D$25:$O$25,C111)</f>
        <v/>
      </c>
      <c r="G111" s="141">
        <f>ROUND(F111*E111/D111,1)</f>
        <v/>
      </c>
      <c r="H111" s="141">
        <f>F111+E111-G111</f>
        <v/>
      </c>
      <c r="I111" s="141">
        <f>ROUND(MAX(H111,8),0)</f>
        <v/>
      </c>
      <c r="J111" s="141">
        <f>D111-I111</f>
        <v/>
      </c>
      <c r="K111" s="141">
        <f>K110+J110</f>
        <v/>
      </c>
      <c r="L111" s="141">
        <f>L110+D110</f>
        <v/>
      </c>
    </row>
    <row r="112">
      <c r="A112" s="141" t="n">
        <v>55</v>
      </c>
      <c r="B112" s="141">
        <f>YEAR(EDATE(DATE($B$5,$B$6,1),A112-1))</f>
        <v/>
      </c>
      <c r="C112" s="141">
        <f>MONTH(EDATE(DATE($B$5,$B$6,1),A112-1))</f>
        <v/>
      </c>
      <c r="D112" s="141">
        <f>DAY(EOMONTH(DATE(B112,C112,1),0))</f>
        <v/>
      </c>
      <c r="E112" s="141">
        <f>IFERROR(INDEX(법정공휴일!$B$4:$M$20,MATCH(B112,법정공휴일!$A$4:$A$20,0),C112),0)</f>
        <v/>
      </c>
      <c r="F112" s="141">
        <f>INDEX($D$25:$O$25,C112)</f>
        <v/>
      </c>
      <c r="G112" s="141">
        <f>ROUND(F112*E112/D112,1)</f>
        <v/>
      </c>
      <c r="H112" s="141">
        <f>F112+E112-G112</f>
        <v/>
      </c>
      <c r="I112" s="141">
        <f>ROUND(MAX(H112,8),0)</f>
        <v/>
      </c>
      <c r="J112" s="141">
        <f>D112-I112</f>
        <v/>
      </c>
      <c r="K112" s="141">
        <f>K111+J111</f>
        <v/>
      </c>
      <c r="L112" s="141">
        <f>L111+D111</f>
        <v/>
      </c>
    </row>
    <row r="113">
      <c r="A113" s="141" t="n">
        <v>56</v>
      </c>
      <c r="B113" s="141">
        <f>YEAR(EDATE(DATE($B$5,$B$6,1),A113-1))</f>
        <v/>
      </c>
      <c r="C113" s="141">
        <f>MONTH(EDATE(DATE($B$5,$B$6,1),A113-1))</f>
        <v/>
      </c>
      <c r="D113" s="141">
        <f>DAY(EOMONTH(DATE(B113,C113,1),0))</f>
        <v/>
      </c>
      <c r="E113" s="141">
        <f>IFERROR(INDEX(법정공휴일!$B$4:$M$20,MATCH(B113,법정공휴일!$A$4:$A$20,0),C113),0)</f>
        <v/>
      </c>
      <c r="F113" s="141">
        <f>INDEX($D$25:$O$25,C113)</f>
        <v/>
      </c>
      <c r="G113" s="141">
        <f>ROUND(F113*E113/D113,1)</f>
        <v/>
      </c>
      <c r="H113" s="141">
        <f>F113+E113-G113</f>
        <v/>
      </c>
      <c r="I113" s="141">
        <f>ROUND(MAX(H113,8),0)</f>
        <v/>
      </c>
      <c r="J113" s="141">
        <f>D113-I113</f>
        <v/>
      </c>
      <c r="K113" s="141">
        <f>K112+J112</f>
        <v/>
      </c>
      <c r="L113" s="141">
        <f>L112+D112</f>
        <v/>
      </c>
    </row>
    <row r="114">
      <c r="A114" s="141" t="n">
        <v>57</v>
      </c>
      <c r="B114" s="141">
        <f>YEAR(EDATE(DATE($B$5,$B$6,1),A114-1))</f>
        <v/>
      </c>
      <c r="C114" s="141">
        <f>MONTH(EDATE(DATE($B$5,$B$6,1),A114-1))</f>
        <v/>
      </c>
      <c r="D114" s="141">
        <f>DAY(EOMONTH(DATE(B114,C114,1),0))</f>
        <v/>
      </c>
      <c r="E114" s="141">
        <f>IFERROR(INDEX(법정공휴일!$B$4:$M$20,MATCH(B114,법정공휴일!$A$4:$A$20,0),C114),0)</f>
        <v/>
      </c>
      <c r="F114" s="141">
        <f>INDEX($D$25:$O$25,C114)</f>
        <v/>
      </c>
      <c r="G114" s="141">
        <f>ROUND(F114*E114/D114,1)</f>
        <v/>
      </c>
      <c r="H114" s="141">
        <f>F114+E114-G114</f>
        <v/>
      </c>
      <c r="I114" s="141">
        <f>ROUND(MAX(H114,8),0)</f>
        <v/>
      </c>
      <c r="J114" s="141">
        <f>D114-I114</f>
        <v/>
      </c>
      <c r="K114" s="141">
        <f>K113+J113</f>
        <v/>
      </c>
      <c r="L114" s="141">
        <f>L113+D113</f>
        <v/>
      </c>
    </row>
    <row r="115">
      <c r="A115" s="141" t="n">
        <v>58</v>
      </c>
      <c r="B115" s="141">
        <f>YEAR(EDATE(DATE($B$5,$B$6,1),A115-1))</f>
        <v/>
      </c>
      <c r="C115" s="141">
        <f>MONTH(EDATE(DATE($B$5,$B$6,1),A115-1))</f>
        <v/>
      </c>
      <c r="D115" s="141">
        <f>DAY(EOMONTH(DATE(B115,C115,1),0))</f>
        <v/>
      </c>
      <c r="E115" s="141">
        <f>IFERROR(INDEX(법정공휴일!$B$4:$M$20,MATCH(B115,법정공휴일!$A$4:$A$20,0),C115),0)</f>
        <v/>
      </c>
      <c r="F115" s="141">
        <f>INDEX($D$25:$O$25,C115)</f>
        <v/>
      </c>
      <c r="G115" s="141">
        <f>ROUND(F115*E115/D115,1)</f>
        <v/>
      </c>
      <c r="H115" s="141">
        <f>F115+E115-G115</f>
        <v/>
      </c>
      <c r="I115" s="141">
        <f>ROUND(MAX(H115,8),0)</f>
        <v/>
      </c>
      <c r="J115" s="141">
        <f>D115-I115</f>
        <v/>
      </c>
      <c r="K115" s="141">
        <f>K114+J114</f>
        <v/>
      </c>
      <c r="L115" s="141">
        <f>L114+D114</f>
        <v/>
      </c>
    </row>
    <row r="116">
      <c r="A116" s="141" t="n">
        <v>59</v>
      </c>
      <c r="B116" s="141">
        <f>YEAR(EDATE(DATE($B$5,$B$6,1),A116-1))</f>
        <v/>
      </c>
      <c r="C116" s="141">
        <f>MONTH(EDATE(DATE($B$5,$B$6,1),A116-1))</f>
        <v/>
      </c>
      <c r="D116" s="141">
        <f>DAY(EOMONTH(DATE(B116,C116,1),0))</f>
        <v/>
      </c>
      <c r="E116" s="141">
        <f>IFERROR(INDEX(법정공휴일!$B$4:$M$20,MATCH(B116,법정공휴일!$A$4:$A$20,0),C116),0)</f>
        <v/>
      </c>
      <c r="F116" s="141">
        <f>INDEX($D$25:$O$25,C116)</f>
        <v/>
      </c>
      <c r="G116" s="141">
        <f>ROUND(F116*E116/D116,1)</f>
        <v/>
      </c>
      <c r="H116" s="141">
        <f>F116+E116-G116</f>
        <v/>
      </c>
      <c r="I116" s="141">
        <f>ROUND(MAX(H116,8),0)</f>
        <v/>
      </c>
      <c r="J116" s="141">
        <f>D116-I116</f>
        <v/>
      </c>
      <c r="K116" s="141">
        <f>K115+J115</f>
        <v/>
      </c>
      <c r="L116" s="141">
        <f>L115+D115</f>
        <v/>
      </c>
    </row>
    <row r="117">
      <c r="A117" s="141" t="n">
        <v>60</v>
      </c>
      <c r="B117" s="141">
        <f>YEAR(EDATE(DATE($B$5,$B$6,1),A117-1))</f>
        <v/>
      </c>
      <c r="C117" s="141">
        <f>MONTH(EDATE(DATE($B$5,$B$6,1),A117-1))</f>
        <v/>
      </c>
      <c r="D117" s="141">
        <f>DAY(EOMONTH(DATE(B117,C117,1),0))</f>
        <v/>
      </c>
      <c r="E117" s="141">
        <f>IFERROR(INDEX(법정공휴일!$B$4:$M$20,MATCH(B117,법정공휴일!$A$4:$A$20,0),C117),0)</f>
        <v/>
      </c>
      <c r="F117" s="141">
        <f>INDEX($D$25:$O$25,C117)</f>
        <v/>
      </c>
      <c r="G117" s="141">
        <f>ROUND(F117*E117/D117,1)</f>
        <v/>
      </c>
      <c r="H117" s="141">
        <f>F117+E117-G117</f>
        <v/>
      </c>
      <c r="I117" s="141">
        <f>ROUND(MAX(H117,8),0)</f>
        <v/>
      </c>
      <c r="J117" s="141">
        <f>D117-I117</f>
        <v/>
      </c>
      <c r="K117" s="141">
        <f>K116+J116</f>
        <v/>
      </c>
      <c r="L117" s="141">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5">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A29 A30 A31 A32 A33 A34 A35 A36 A37 A38 A39 A40 A41 A42 A43" showDropDown="0" showInputMessage="0" showErrorMessage="0" allowBlank="1" type="list">
      <formula1>='1일작업량(토목)'!$A$2:$A$115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2026-09-29T08:33:43Z</dcterms:modified>
  <cp:lastModifiedBy>user</cp:lastModifiedBy>
  <cp:lastPrinted>2024-05-24T02:13:20Z</cp:lastPrinted>
</cp:coreProperties>
</file>