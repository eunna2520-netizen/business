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 name="월별산정표(자동)" sheetId="11" state="visible" r:id="rId11"/>
    <sheet name="작업제한기상조건(참고)" sheetId="12" state="visible" r:id="rId12"/>
  </sheets>
  <definedNames>
    <definedName name="내선전공">#REF!</definedName>
    <definedName name="보통인부">#REF!</definedName>
    <definedName name="프랜트전공">#REF!</definedName>
    <definedName name="_xlnm.Print_Area" localSheetId="0">'공기산정'!$A$1:$V$39</definedName>
    <definedName name="_xlnm._FilterDatabase" localSheetId="11" hidden="1">'작업제한기상조건(참고)'!$A$4:$I$64</definedName>
  </definedNames>
  <calcPr calcId="152511" fullCalcOnLoad="1"/>
</workbook>
</file>

<file path=xl/styles.xml><?xml version="1.0" encoding="utf-8"?>
<styleSheet xmlns="http://schemas.openxmlformats.org/spreadsheetml/2006/main">
  <numFmts count="14">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 numFmtId="177" formatCode="yyyy-mm-dd"/>
  </numFmts>
  <fonts count="27">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
      <color rgb="00808080"/>
    </font>
    <font>
      <b val="1"/>
      <color rgb="00C00000"/>
    </font>
    <font>
      <b val="1"/>
      <color rgb="00808080"/>
    </font>
    <font>
      <color rgb="00A0A0A0"/>
    </font>
    <font>
      <b val="1"/>
      <sz val="13"/>
    </font>
  </fonts>
  <fills count="8">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
      <patternFill patternType="solid">
        <fgColor rgb="00EDEDED"/>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54">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0" borderId="33" pivotButton="0" quotePrefix="0" xfId="0"/>
    <xf numFmtId="0" fontId="0" fillId="6" borderId="33" pivotButton="0" quotePrefix="0" xfId="0"/>
    <xf numFmtId="177" fontId="0" fillId="6" borderId="33" pivotButton="0" quotePrefix="0" xfId="0"/>
    <xf numFmtId="0" fontId="0" fillId="5" borderId="33" applyAlignment="1" pivotButton="0" quotePrefix="0" xfId="0">
      <alignment horizontal="center" wrapText="1"/>
    </xf>
    <xf numFmtId="0" fontId="0" fillId="5" borderId="33" applyAlignment="1" pivotButton="0" quotePrefix="0" xfId="0">
      <alignment horizontal="center"/>
    </xf>
    <xf numFmtId="0" fontId="0" fillId="6" borderId="0" pivotButton="0" quotePrefix="0" xfId="0"/>
    <xf numFmtId="0" fontId="20" fillId="7" borderId="33" applyAlignment="1" pivotButton="0" quotePrefix="0" xfId="0">
      <alignment horizontal="center" vertical="center" wrapText="1"/>
    </xf>
    <xf numFmtId="0" fontId="22" fillId="0" borderId="33" pivotButton="0" quotePrefix="0" xfId="0"/>
    <xf numFmtId="0" fontId="0" fillId="7" borderId="33" pivotButton="0" quotePrefix="0" xfId="0"/>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0" fillId="0" borderId="33" applyAlignment="1" pivotButton="0" quotePrefix="0" xfId="0">
      <alignment vertical="top"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55"/>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45일</t>
        </is>
      </c>
      <c r="H9" s="98" t="n"/>
      <c r="I9" s="96" t="inlineStr">
        <is>
          <t>상수도공사</t>
        </is>
      </c>
      <c r="J9" s="98" t="n"/>
      <c r="K9" s="96" t="inlineStr">
        <is>
          <t>60일</t>
        </is>
      </c>
      <c r="L9" s="98" t="n"/>
    </row>
    <row r="10" ht="15" customHeight="1" s="92">
      <c r="D10" s="96" t="inlineStr">
        <is>
          <t>고속도로공사</t>
        </is>
      </c>
      <c r="E10" s="97" t="n"/>
      <c r="F10" s="98" t="n"/>
      <c r="G10" s="96" t="inlineStr">
        <is>
          <t>180일</t>
        </is>
      </c>
      <c r="H10" s="98" t="n"/>
      <c r="I10" s="96" t="inlineStr">
        <is>
          <t>하천공사</t>
        </is>
      </c>
      <c r="J10" s="98" t="n"/>
      <c r="K10" s="96" t="inlineStr">
        <is>
          <t>40일</t>
        </is>
      </c>
      <c r="L10" s="98" t="n"/>
    </row>
    <row r="11" ht="15" customHeight="1" s="92">
      <c r="D11" s="96" t="inlineStr">
        <is>
          <t>철도공사</t>
        </is>
      </c>
      <c r="E11" s="97" t="n"/>
      <c r="F11" s="98" t="n"/>
      <c r="G11" s="96" t="inlineStr">
        <is>
          <t>90일</t>
        </is>
      </c>
      <c r="H11" s="98" t="n"/>
      <c r="I11" s="96" t="inlineStr">
        <is>
          <t>항만공사</t>
        </is>
      </c>
      <c r="J11" s="98" t="n"/>
      <c r="K11" s="96" t="inlineStr">
        <is>
          <t>40일</t>
        </is>
      </c>
      <c r="L11" s="98" t="n"/>
    </row>
    <row r="12" ht="15" customHeight="1" s="92">
      <c r="D12" s="96" t="inlineStr">
        <is>
          <t>포장공사(신설)</t>
        </is>
      </c>
      <c r="E12" s="97" t="n"/>
      <c r="F12" s="98" t="n"/>
      <c r="G12" s="96" t="inlineStr">
        <is>
          <t>50일</t>
        </is>
      </c>
      <c r="H12" s="98" t="n"/>
      <c r="I12" s="96" t="inlineStr">
        <is>
          <t>강교가설공사</t>
        </is>
      </c>
      <c r="J12" s="98" t="n"/>
      <c r="K12" s="96" t="inlineStr">
        <is>
          <t>90일</t>
        </is>
      </c>
      <c r="L12" s="98" t="n"/>
    </row>
    <row r="13" ht="15" customHeight="1" s="92">
      <c r="D13" s="96" t="inlineStr">
        <is>
          <t>포장공사(수선)</t>
        </is>
      </c>
      <c r="E13" s="97" t="n"/>
      <c r="F13" s="98" t="n"/>
      <c r="G13" s="96" t="inlineStr">
        <is>
          <t>60일</t>
        </is>
      </c>
      <c r="H13" s="98" t="n"/>
      <c r="I13" s="96" t="inlineStr">
        <is>
          <t>PC교량 공사</t>
        </is>
      </c>
      <c r="J13" s="98" t="n"/>
      <c r="K13" s="96" t="inlineStr">
        <is>
          <t>70일</t>
        </is>
      </c>
      <c r="L13" s="98" t="n"/>
    </row>
    <row r="14" ht="15" customHeight="1" s="92">
      <c r="D14" s="96" t="inlineStr">
        <is>
          <t>공동구공사</t>
        </is>
      </c>
      <c r="E14" s="97" t="n"/>
      <c r="F14" s="98" t="n"/>
      <c r="G14" s="96" t="inlineStr">
        <is>
          <t>80일</t>
        </is>
      </c>
      <c r="H14" s="98" t="n"/>
      <c r="I14" s="96" t="inlineStr">
        <is>
          <t>교량보수공사</t>
        </is>
      </c>
      <c r="J14" s="98" t="n"/>
      <c r="K14" s="96" t="inlineStr">
        <is>
          <t>60일</t>
        </is>
      </c>
      <c r="L14" s="98" t="n"/>
      <c r="N14" s="94" t="n"/>
    </row>
    <row r="15" ht="15" customHeight="1" s="92">
      <c r="B15" s="90" t="inlineStr">
        <is>
          <t>나.</t>
        </is>
      </c>
      <c r="D15" s="3" t="inlineStr">
        <is>
          <t>비작업일수</t>
        </is>
      </c>
      <c r="G15" s="77" t="n"/>
      <c r="H15" s="99" t="n"/>
      <c r="I15" s="100" t="n"/>
      <c r="T15" s="101">
        <f>U27</f>
        <v/>
      </c>
      <c r="U15" s="3" t="inlineStr">
        <is>
          <t>일</t>
        </is>
      </c>
      <c r="V15" s="94" t="n"/>
    </row>
    <row r="16" ht="15" customHeight="1" s="92">
      <c r="C16" s="3" t="inlineStr">
        <is>
          <t>1) 비작업일수 (A+B-C)</t>
        </is>
      </c>
      <c r="I16" s="102">
        <f>ROUND(U23,0)</f>
        <v/>
      </c>
      <c r="J16" s="77" t="inlineStr">
        <is>
          <t>+</t>
        </is>
      </c>
      <c r="K16" s="102">
        <f>U24</f>
        <v/>
      </c>
      <c r="L16" s="77" t="inlineStr">
        <is>
          <t>-</t>
        </is>
      </c>
      <c r="M16" s="102">
        <f>U26</f>
        <v/>
      </c>
      <c r="N16" s="48" t="inlineStr">
        <is>
          <t>=</t>
        </is>
      </c>
      <c r="O16" s="103">
        <f>I16+K16-M16</f>
        <v/>
      </c>
      <c r="P16" s="104" t="n"/>
      <c r="Q16" s="102" t="n"/>
      <c r="R16" s="102" t="n"/>
      <c r="S16" s="102"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5" t="inlineStr">
        <is>
          <t>비고</t>
        </is>
      </c>
      <c r="Y17" s="73" t="inlineStr">
        <is>
          <t>번호</t>
        </is>
      </c>
      <c r="Z17" s="73" t="inlineStr">
        <is>
          <t>지역</t>
        </is>
      </c>
      <c r="AA17" s="73" t="inlineStr">
        <is>
          <t>구분</t>
        </is>
      </c>
      <c r="AB17" s="73" t="inlineStr">
        <is>
          <t>월평균 기상데이터</t>
        </is>
      </c>
      <c r="AC17" s="106" t="n"/>
      <c r="AD17" s="106" t="n"/>
      <c r="AE17" s="106" t="n"/>
      <c r="AF17" s="106" t="n"/>
      <c r="AG17" s="106" t="n"/>
      <c r="AH17" s="106" t="n"/>
      <c r="AI17" s="106" t="n"/>
      <c r="AJ17" s="106" t="n"/>
      <c r="AK17" s="106" t="n"/>
      <c r="AL17" s="106" t="n"/>
      <c r="AM17" s="107" t="n"/>
      <c r="AN17" s="73" t="inlineStr">
        <is>
          <t>소계</t>
        </is>
      </c>
    </row>
    <row r="18" ht="15" customHeight="1" s="92" thickTop="1">
      <c r="A18" s="93" t="n"/>
      <c r="B18" s="93" t="n"/>
      <c r="C18" s="93" t="n"/>
      <c r="D18" s="64" t="inlineStr">
        <is>
          <t>달력일수</t>
        </is>
      </c>
      <c r="E18" s="54" t="n">
        <v>2024</v>
      </c>
      <c r="F18" s="108" t="n">
        <v>28</v>
      </c>
      <c r="G18" s="108" t="n"/>
      <c r="H18" s="108" t="n"/>
      <c r="I18" s="108" t="n"/>
      <c r="J18" s="108" t="n"/>
      <c r="K18" s="108" t="n"/>
      <c r="L18" s="108" t="n"/>
      <c r="M18" s="108" t="n"/>
      <c r="N18" s="108" t="n"/>
      <c r="O18" s="108" t="n"/>
      <c r="P18" s="108" t="n"/>
      <c r="Q18" s="108" t="n"/>
      <c r="R18" s="108" t="n"/>
      <c r="S18" s="108" t="n"/>
      <c r="T18" s="108" t="n"/>
      <c r="U18" s="108">
        <f>SUM(F18:T18)</f>
        <v/>
      </c>
      <c r="V18" s="109" t="n"/>
      <c r="Y18" s="110" t="n"/>
      <c r="Z18" s="110" t="n"/>
      <c r="AA18" s="110"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0" t="n"/>
    </row>
    <row r="19" ht="15" customHeight="1" s="92">
      <c r="A19" s="93" t="n"/>
      <c r="B19" s="93" t="n"/>
      <c r="C19" s="93" t="n"/>
      <c r="D19" s="24" t="inlineStr">
        <is>
          <t>혹서기</t>
        </is>
      </c>
      <c r="E19" s="53" t="n"/>
      <c r="F19" s="111">
        <f>INDEX($AB19:$AM19,VALUE(SUBSTITUTE(F$17,"월","")))</f>
        <v/>
      </c>
      <c r="G19" s="111" t="n"/>
      <c r="H19" s="111" t="n"/>
      <c r="I19" s="111" t="n"/>
      <c r="J19" s="111" t="n"/>
      <c r="K19" s="111" t="n"/>
      <c r="L19" s="111" t="n"/>
      <c r="M19" s="111" t="n"/>
      <c r="N19" s="111" t="n"/>
      <c r="O19" s="111" t="n"/>
      <c r="P19" s="111" t="n"/>
      <c r="Q19" s="111" t="n"/>
      <c r="R19" s="111" t="n"/>
      <c r="S19" s="111" t="n"/>
      <c r="T19" s="111" t="n"/>
      <c r="U19" s="112">
        <f>SUM(F19:T19)</f>
        <v/>
      </c>
      <c r="V19" s="113"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1">
        <f>INDEX($AB20:$AM20,VALUE(SUBSTITUTE(F$17,"월","")))</f>
        <v/>
      </c>
      <c r="G20" s="111" t="n"/>
      <c r="H20" s="111" t="n"/>
      <c r="I20" s="111" t="n"/>
      <c r="J20" s="111" t="n"/>
      <c r="K20" s="111" t="n"/>
      <c r="L20" s="111" t="n"/>
      <c r="M20" s="111" t="n"/>
      <c r="N20" s="111" t="n"/>
      <c r="O20" s="111" t="n"/>
      <c r="P20" s="111" t="n"/>
      <c r="Q20" s="111" t="n"/>
      <c r="R20" s="111" t="n"/>
      <c r="S20" s="111" t="n"/>
      <c r="T20" s="111" t="n"/>
      <c r="U20" s="112">
        <f>SUM(F20:T20)</f>
        <v/>
      </c>
      <c r="V20" s="113" t="n"/>
      <c r="X20" s="3" t="inlineStr">
        <is>
          <t>별표2 참조</t>
        </is>
      </c>
      <c r="Y20" s="114" t="n"/>
      <c r="Z20" s="114"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5">
        <f>INDEX($AB21:$AM21,VALUE(SUBSTITUTE(F$17,"월","")))</f>
        <v/>
      </c>
      <c r="G21" s="115" t="n"/>
      <c r="H21" s="115" t="n"/>
      <c r="I21" s="115" t="n"/>
      <c r="J21" s="115" t="n"/>
      <c r="K21" s="115" t="n"/>
      <c r="L21" s="115" t="n"/>
      <c r="M21" s="115" t="n"/>
      <c r="N21" s="115" t="n"/>
      <c r="O21" s="115" t="n"/>
      <c r="P21" s="115" t="n"/>
      <c r="Q21" s="115" t="n"/>
      <c r="R21" s="115" t="n"/>
      <c r="S21" s="115" t="n"/>
      <c r="T21" s="115" t="n"/>
      <c r="U21" s="116">
        <f>SUM(F21:T21)</f>
        <v/>
      </c>
      <c r="V21" s="109" t="n"/>
      <c r="X21" s="3" t="inlineStr">
        <is>
          <t>별표2 참조</t>
        </is>
      </c>
      <c r="Y21" s="114" t="n"/>
      <c r="Z21" s="114"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1">
        <f>INDEX($AB22:$AM22,VALUE(SUBSTITUTE(F$17,"월","")))</f>
        <v/>
      </c>
      <c r="G22" s="111" t="n"/>
      <c r="H22" s="111" t="n"/>
      <c r="I22" s="111" t="n"/>
      <c r="J22" s="111" t="n"/>
      <c r="K22" s="111" t="n"/>
      <c r="L22" s="111" t="n"/>
      <c r="M22" s="111" t="n"/>
      <c r="N22" s="111" t="n"/>
      <c r="O22" s="111" t="n"/>
      <c r="P22" s="111" t="n"/>
      <c r="Q22" s="111" t="n"/>
      <c r="R22" s="111" t="n"/>
      <c r="S22" s="111" t="n"/>
      <c r="T22" s="111" t="n"/>
      <c r="U22" s="112">
        <f>SUM(F22:T22)</f>
        <v/>
      </c>
      <c r="V22" s="113" t="n"/>
      <c r="X22" s="3" t="inlineStr">
        <is>
          <t>별표2 참조</t>
        </is>
      </c>
      <c r="Y22" s="114" t="n"/>
      <c r="Z22" s="114" t="n"/>
      <c r="AA22" s="60" t="inlineStr">
        <is>
          <t>바람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7">
        <f>ROUND(SUM(F19:F22),0)</f>
        <v/>
      </c>
      <c r="G23" s="117" t="n"/>
      <c r="H23" s="117" t="n"/>
      <c r="I23" s="117" t="n"/>
      <c r="J23" s="117" t="n"/>
      <c r="K23" s="117" t="n"/>
      <c r="L23" s="117" t="n"/>
      <c r="M23" s="117" t="n"/>
      <c r="N23" s="117" t="n"/>
      <c r="O23" s="117" t="n"/>
      <c r="P23" s="117" t="n"/>
      <c r="Q23" s="117" t="n"/>
      <c r="R23" s="117" t="n"/>
      <c r="S23" s="117" t="n"/>
      <c r="T23" s="117" t="n"/>
      <c r="U23" s="117">
        <f>SUM(F23:T23)</f>
        <v/>
      </c>
      <c r="V23" s="113" t="n"/>
      <c r="Y23" s="110" t="n"/>
      <c r="Z23" s="110"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8">
        <f>'별표1-공유일'!I9</f>
        <v/>
      </c>
      <c r="G24" s="118" t="n"/>
      <c r="H24" s="118" t="n"/>
      <c r="I24" s="118" t="n"/>
      <c r="J24" s="118" t="n"/>
      <c r="K24" s="118" t="n"/>
      <c r="L24" s="118" t="n"/>
      <c r="M24" s="118" t="n"/>
      <c r="N24" s="118" t="n"/>
      <c r="O24" s="118" t="n"/>
      <c r="P24" s="118" t="n"/>
      <c r="Q24" s="118" t="n"/>
      <c r="R24" s="118" t="n"/>
      <c r="S24" s="118" t="n"/>
      <c r="T24" s="118" t="n"/>
      <c r="U24" s="118">
        <f>SUM(F24:T24)</f>
        <v/>
      </c>
      <c r="V24" s="113" t="n"/>
      <c r="X24" s="3" t="inlineStr">
        <is>
          <t>별표1 참조</t>
        </is>
      </c>
    </row>
    <row r="25" ht="15" customHeight="1" s="92">
      <c r="A25" s="93" t="n"/>
      <c r="B25" s="93" t="n"/>
      <c r="C25" s="93" t="n"/>
      <c r="D25" s="24" t="inlineStr">
        <is>
          <t>중복일수©</t>
        </is>
      </c>
      <c r="E25" s="53" t="n"/>
      <c r="F25" s="119">
        <f>ROUND(F23*F24/F18,0)</f>
        <v/>
      </c>
      <c r="G25" s="119" t="n"/>
      <c r="H25" s="119" t="n"/>
      <c r="I25" s="119" t="n"/>
      <c r="J25" s="119" t="n"/>
      <c r="K25" s="119" t="n"/>
      <c r="L25" s="119" t="n"/>
      <c r="M25" s="119" t="n"/>
      <c r="N25" s="119" t="n"/>
      <c r="O25" s="119" t="n"/>
      <c r="P25" s="119" t="n"/>
      <c r="Q25" s="119" t="n"/>
      <c r="R25" s="119" t="n"/>
      <c r="S25" s="119" t="n"/>
      <c r="T25" s="119" t="n"/>
      <c r="U25" s="117">
        <f>SUM(F25:T25)</f>
        <v/>
      </c>
      <c r="V25" s="113" t="n"/>
      <c r="Y25" s="73" t="inlineStr">
        <is>
          <t>번호</t>
        </is>
      </c>
      <c r="Z25" s="73" t="inlineStr">
        <is>
          <t>지역</t>
        </is>
      </c>
      <c r="AA25" s="73" t="inlineStr">
        <is>
          <t>구분</t>
        </is>
      </c>
      <c r="AB25" s="73" t="inlineStr">
        <is>
          <t>월평균 기상데이터</t>
        </is>
      </c>
      <c r="AC25" s="106" t="n"/>
      <c r="AD25" s="106" t="n"/>
      <c r="AE25" s="106" t="n"/>
      <c r="AF25" s="106" t="n"/>
      <c r="AG25" s="106" t="n"/>
      <c r="AH25" s="106" t="n"/>
      <c r="AI25" s="106" t="n"/>
      <c r="AJ25" s="106" t="n"/>
      <c r="AK25" s="106" t="n"/>
      <c r="AL25" s="106" t="n"/>
      <c r="AM25" s="107" t="n"/>
      <c r="AN25" s="73" t="inlineStr">
        <is>
          <t>소계</t>
        </is>
      </c>
    </row>
    <row r="26" ht="15" customHeight="1" s="92">
      <c r="A26" s="93" t="n"/>
      <c r="B26" s="93" t="n"/>
      <c r="C26" s="93" t="n"/>
      <c r="D26" s="24" t="inlineStr">
        <is>
          <t>적용</t>
        </is>
      </c>
      <c r="E26" s="53" t="n"/>
      <c r="F26" s="119">
        <f>ROUND(F25,0)</f>
        <v/>
      </c>
      <c r="G26" s="119" t="n"/>
      <c r="H26" s="119" t="n"/>
      <c r="I26" s="119" t="n"/>
      <c r="J26" s="119" t="n"/>
      <c r="K26" s="119" t="n"/>
      <c r="L26" s="119" t="n"/>
      <c r="M26" s="119" t="n"/>
      <c r="N26" s="119" t="n"/>
      <c r="O26" s="119" t="n"/>
      <c r="P26" s="119" t="n"/>
      <c r="Q26" s="119" t="n"/>
      <c r="R26" s="119" t="n"/>
      <c r="S26" s="119" t="n"/>
      <c r="T26" s="119" t="n"/>
      <c r="U26" s="117">
        <f>SUM(F26:T26)</f>
        <v/>
      </c>
      <c r="V26" s="113" t="n"/>
      <c r="Y26" s="110" t="n"/>
      <c r="Z26" s="110" t="n"/>
      <c r="AA26" s="110"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0" t="n"/>
    </row>
    <row r="27" ht="15" customHeight="1" s="92">
      <c r="A27" s="93" t="n"/>
      <c r="B27" s="93" t="n"/>
      <c r="C27" s="93" t="n"/>
      <c r="D27" s="24" t="inlineStr">
        <is>
          <t>비작업일수</t>
        </is>
      </c>
      <c r="E27" s="53" t="n"/>
      <c r="F27" s="117">
        <f>ROUND(F23+F24-F26,0)</f>
        <v/>
      </c>
      <c r="G27" s="117" t="n"/>
      <c r="H27" s="117" t="n"/>
      <c r="I27" s="117" t="n"/>
      <c r="J27" s="117" t="n"/>
      <c r="K27" s="117" t="n"/>
      <c r="L27" s="117" t="n"/>
      <c r="M27" s="117" t="n"/>
      <c r="N27" s="117" t="n"/>
      <c r="O27" s="117" t="n"/>
      <c r="P27" s="117" t="n"/>
      <c r="Q27" s="117" t="n"/>
      <c r="R27" s="117" t="n"/>
      <c r="S27" s="117" t="n"/>
      <c r="T27" s="117" t="n"/>
      <c r="U27" s="117">
        <f>SUM(F27:T27)</f>
        <v/>
      </c>
      <c r="V27" s="113"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7">
        <f>F18-F27</f>
        <v/>
      </c>
      <c r="G28" s="117" t="n"/>
      <c r="H28" s="117" t="n"/>
      <c r="I28" s="117" t="n"/>
      <c r="J28" s="117" t="n"/>
      <c r="K28" s="117" t="n"/>
      <c r="L28" s="117" t="n"/>
      <c r="M28" s="117" t="n"/>
      <c r="N28" s="117" t="n"/>
      <c r="O28" s="117" t="n"/>
      <c r="P28" s="117" t="n"/>
      <c r="Q28" s="117" t="n"/>
      <c r="R28" s="117" t="n"/>
      <c r="S28" s="117" t="n"/>
      <c r="T28" s="117" t="n"/>
      <c r="U28" s="117">
        <f>SUM(F28:T28)</f>
        <v/>
      </c>
      <c r="V28" s="113" t="n"/>
      <c r="Y28" s="114" t="n"/>
      <c r="Z28" s="114"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0">
        <f>ROUND(F28/F18,3)</f>
        <v/>
      </c>
      <c r="G29" s="120" t="n"/>
      <c r="H29" s="120" t="n"/>
      <c r="I29" s="120" t="n"/>
      <c r="J29" s="120" t="n"/>
      <c r="K29" s="120" t="n"/>
      <c r="L29" s="120" t="n"/>
      <c r="M29" s="120" t="n"/>
      <c r="N29" s="120" t="n"/>
      <c r="O29" s="120" t="n"/>
      <c r="P29" s="120" t="n"/>
      <c r="Q29" s="120" t="n"/>
      <c r="R29" s="120" t="n"/>
      <c r="S29" s="120" t="n"/>
      <c r="T29" s="120" t="n"/>
      <c r="U29" s="120">
        <f>ROUND(U28/U18,3)</f>
        <v/>
      </c>
      <c r="V29" s="121" t="n"/>
      <c r="Y29" s="114" t="n"/>
      <c r="Z29" s="114"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f>SUM(AB29:AM29)</f>
        <v/>
      </c>
    </row>
    <row r="30" ht="15" customHeight="1" s="92">
      <c r="A30" s="93" t="n"/>
      <c r="B30" s="93" t="n"/>
      <c r="C30" s="93" t="n"/>
      <c r="D30" s="26" t="inlineStr">
        <is>
          <t>혹서기 : 35°C 이상</t>
        </is>
      </c>
      <c r="E30" s="26" t="n"/>
      <c r="F30" s="122" t="n"/>
      <c r="G30" s="122" t="n"/>
      <c r="H30" s="122" t="n"/>
      <c r="I30" s="122" t="n"/>
      <c r="J30" s="122" t="n"/>
      <c r="L30" s="122" t="n"/>
      <c r="M30" s="122" t="n"/>
      <c r="N30" s="122" t="n"/>
      <c r="O30" s="122" t="n"/>
      <c r="P30" s="122" t="n"/>
      <c r="Q30" s="122" t="n"/>
      <c r="R30" s="122" t="n"/>
      <c r="S30" s="122" t="n"/>
      <c r="T30" s="122" t="n"/>
      <c r="U30" s="123" t="n"/>
      <c r="V30" s="94" t="n"/>
      <c r="Y30" s="114" t="n"/>
      <c r="Z30" s="114" t="n"/>
      <c r="AA30" s="60" t="inlineStr">
        <is>
          <t>바람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0" t="n"/>
      <c r="Z31" s="110"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4" t="inlineStr">
        <is>
          <t>강   우 : 일강수량 20㎜ 이상</t>
        </is>
      </c>
      <c r="E32" s="124"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5">
        <f>ROUND(U4/30,0)</f>
        <v/>
      </c>
      <c r="L34" s="48" t="inlineStr">
        <is>
          <t>x</t>
        </is>
      </c>
      <c r="M34" s="102" t="n">
        <v>8</v>
      </c>
      <c r="N34" s="48" t="inlineStr">
        <is>
          <t>=</t>
        </is>
      </c>
      <c r="O34" s="102">
        <f>K34*M34</f>
        <v/>
      </c>
    </row>
    <row r="35" ht="15" customHeight="1" s="92">
      <c r="C35" s="3" t="n"/>
      <c r="K35" s="125" t="n"/>
      <c r="L35" s="48" t="n"/>
      <c r="M35" s="102" t="n"/>
      <c r="N35" s="48" t="n"/>
      <c r="O35" s="102" t="n"/>
    </row>
    <row r="36" ht="15" customHeight="1" s="92">
      <c r="B36" s="90" t="inlineStr">
        <is>
          <t>다.</t>
        </is>
      </c>
      <c r="D36" s="3" t="inlineStr">
        <is>
          <t>작업일수</t>
        </is>
      </c>
      <c r="G36" s="77" t="n"/>
      <c r="H36" s="99" t="n"/>
      <c r="I36" s="100" t="n"/>
      <c r="T36" s="101">
        <f>U28-T6-T38</f>
        <v/>
      </c>
      <c r="U36" s="3" t="inlineStr">
        <is>
          <t>일</t>
        </is>
      </c>
      <c r="X36" s="3" t="inlineStr">
        <is>
          <t>작업일수 참조</t>
        </is>
      </c>
    </row>
    <row r="37" ht="15" customHeight="1" s="92">
      <c r="X37" s="126"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7" t="n"/>
      <c r="Y41" s="73" t="inlineStr">
        <is>
          <t>번호</t>
        </is>
      </c>
      <c r="Z41" s="73" t="inlineStr">
        <is>
          <t>지역</t>
        </is>
      </c>
      <c r="AA41" s="73" t="inlineStr">
        <is>
          <t>구분</t>
        </is>
      </c>
      <c r="AB41" s="73" t="inlineStr">
        <is>
          <t>월평균 기상데이터</t>
        </is>
      </c>
      <c r="AC41" s="106" t="n"/>
      <c r="AD41" s="106" t="n"/>
      <c r="AE41" s="106" t="n"/>
      <c r="AF41" s="106" t="n"/>
      <c r="AG41" s="106" t="n"/>
      <c r="AH41" s="106" t="n"/>
      <c r="AI41" s="106" t="n"/>
      <c r="AJ41" s="106" t="n"/>
      <c r="AK41" s="106" t="n"/>
      <c r="AL41" s="106" t="n"/>
      <c r="AM41" s="107" t="n"/>
      <c r="AN41" s="73" t="inlineStr">
        <is>
          <t>소계</t>
        </is>
      </c>
    </row>
    <row r="42" ht="15" customHeight="1" s="92">
      <c r="Y42" s="110" t="n"/>
      <c r="Z42" s="110" t="n"/>
      <c r="AA42" s="110" t="n"/>
      <c r="AB42" s="73" t="inlineStr">
        <is>
          <t>1월</t>
        </is>
      </c>
      <c r="AC42" s="73" t="inlineStr">
        <is>
          <t>2월</t>
        </is>
      </c>
      <c r="AD42" s="73" t="inlineStr">
        <is>
          <t>3월</t>
        </is>
      </c>
      <c r="AE42" s="73" t="inlineStr">
        <is>
          <t>4월</t>
        </is>
      </c>
      <c r="AF42" s="73" t="inlineStr">
        <is>
          <t>5월</t>
        </is>
      </c>
      <c r="AG42" s="73" t="inlineStr">
        <is>
          <t>6월</t>
        </is>
      </c>
      <c r="AH42" s="73" t="inlineStr">
        <is>
          <t>7월</t>
        </is>
      </c>
      <c r="AI42" s="73" t="inlineStr">
        <is>
          <t>8월</t>
        </is>
      </c>
      <c r="AJ42" s="73" t="inlineStr">
        <is>
          <t>9월</t>
        </is>
      </c>
      <c r="AK42" s="73" t="inlineStr">
        <is>
          <t>10월</t>
        </is>
      </c>
      <c r="AL42" s="73" t="inlineStr">
        <is>
          <t>11월</t>
        </is>
      </c>
      <c r="AM42" s="73" t="inlineStr">
        <is>
          <t>12월</t>
        </is>
      </c>
      <c r="AN42" s="110" t="n"/>
    </row>
    <row r="43" ht="15" customHeight="1" s="92">
      <c r="Y43" s="73">
        <f>'별표2-비작업일수'!A33</f>
        <v/>
      </c>
      <c r="Z43" s="73">
        <f>'별표2-비작업일수'!B33</f>
        <v/>
      </c>
      <c r="AA43" s="73" t="inlineStr">
        <is>
          <t>혹서기</t>
        </is>
      </c>
      <c r="AB43" s="60">
        <f>'별표2-비작업일수'!D34</f>
        <v/>
      </c>
      <c r="AC43" s="60">
        <f>'별표2-비작업일수'!E34</f>
        <v/>
      </c>
      <c r="AD43" s="60">
        <f>'별표2-비작업일수'!F34</f>
        <v/>
      </c>
      <c r="AE43" s="60">
        <f>'별표2-비작업일수'!G34</f>
        <v/>
      </c>
      <c r="AF43" s="60">
        <f>'별표2-비작업일수'!H34</f>
        <v/>
      </c>
      <c r="AG43" s="60">
        <f>'별표2-비작업일수'!I34</f>
        <v/>
      </c>
      <c r="AH43" s="60">
        <f>'별표2-비작업일수'!J34</f>
        <v/>
      </c>
      <c r="AI43" s="60">
        <f>'별표2-비작업일수'!K34</f>
        <v/>
      </c>
      <c r="AJ43" s="60">
        <f>'별표2-비작업일수'!L34</f>
        <v/>
      </c>
      <c r="AK43" s="60">
        <f>'별표2-비작업일수'!M34</f>
        <v/>
      </c>
      <c r="AL43" s="60">
        <f>'별표2-비작업일수'!N34</f>
        <v/>
      </c>
      <c r="AM43" s="60">
        <f>'별표2-비작업일수'!O34</f>
        <v/>
      </c>
      <c r="AN43" s="60">
        <f>SUM(AB43:AM43)</f>
        <v/>
      </c>
    </row>
    <row r="44" ht="15" customHeight="1" s="92">
      <c r="Y44" s="114" t="n"/>
      <c r="Z44" s="114" t="n"/>
      <c r="AA44" s="73" t="inlineStr">
        <is>
          <t>동절기</t>
        </is>
      </c>
      <c r="AB44" s="60">
        <f>'별표2-비작업일수'!D36</f>
        <v/>
      </c>
      <c r="AC44" s="60">
        <f>'별표2-비작업일수'!E36</f>
        <v/>
      </c>
      <c r="AD44" s="60">
        <f>'별표2-비작업일수'!F36</f>
        <v/>
      </c>
      <c r="AE44" s="60">
        <f>'별표2-비작업일수'!G36</f>
        <v/>
      </c>
      <c r="AF44" s="60">
        <f>'별표2-비작업일수'!H36</f>
        <v/>
      </c>
      <c r="AG44" s="60">
        <f>'별표2-비작업일수'!I36</f>
        <v/>
      </c>
      <c r="AH44" s="60">
        <f>'별표2-비작업일수'!J36</f>
        <v/>
      </c>
      <c r="AI44" s="60">
        <f>'별표2-비작업일수'!K36</f>
        <v/>
      </c>
      <c r="AJ44" s="60">
        <f>'별표2-비작업일수'!L36</f>
        <v/>
      </c>
      <c r="AK44" s="60">
        <f>'별표2-비작업일수'!M36</f>
        <v/>
      </c>
      <c r="AL44" s="60">
        <f>'별표2-비작업일수'!N36</f>
        <v/>
      </c>
      <c r="AM44" s="60">
        <f>'별표2-비작업일수'!O36</f>
        <v/>
      </c>
      <c r="AN44" s="60">
        <f>SUM(AB44:AM44)</f>
        <v/>
      </c>
    </row>
    <row r="45" ht="15" customHeight="1" s="92">
      <c r="Y45" s="114" t="n"/>
      <c r="Z45" s="114" t="n"/>
      <c r="AA45" s="73" t="inlineStr">
        <is>
          <t>강   우</t>
        </is>
      </c>
      <c r="AB45" s="60">
        <f>'별표2-비작업일수'!D41</f>
        <v/>
      </c>
      <c r="AC45" s="60">
        <f>'별표2-비작업일수'!E41</f>
        <v/>
      </c>
      <c r="AD45" s="60">
        <f>'별표2-비작업일수'!F41</f>
        <v/>
      </c>
      <c r="AE45" s="60">
        <f>'별표2-비작업일수'!G41</f>
        <v/>
      </c>
      <c r="AF45" s="60">
        <f>'별표2-비작업일수'!H41</f>
        <v/>
      </c>
      <c r="AG45" s="60">
        <f>'별표2-비작업일수'!I41</f>
        <v/>
      </c>
      <c r="AH45" s="60">
        <f>'별표2-비작업일수'!J41</f>
        <v/>
      </c>
      <c r="AI45" s="60">
        <f>'별표2-비작업일수'!K41</f>
        <v/>
      </c>
      <c r="AJ45" s="60">
        <f>'별표2-비작업일수'!L41</f>
        <v/>
      </c>
      <c r="AK45" s="60">
        <f>'별표2-비작업일수'!M41</f>
        <v/>
      </c>
      <c r="AL45" s="60">
        <f>'별표2-비작업일수'!N41</f>
        <v/>
      </c>
      <c r="AM45" s="60">
        <f>'별표2-비작업일수'!O41</f>
        <v/>
      </c>
      <c r="AN45" s="60">
        <f>SUM(AB45:AM45)</f>
        <v/>
      </c>
    </row>
    <row r="46" ht="15" customHeight="1" s="92">
      <c r="Y46" s="114" t="n"/>
      <c r="Z46" s="114" t="n"/>
      <c r="AA46" s="60" t="inlineStr">
        <is>
          <t>바람</t>
        </is>
      </c>
      <c r="AB46" s="60">
        <f>'별표2-비작업일수'!D42</f>
        <v/>
      </c>
      <c r="AC46" s="60">
        <f>'별표2-비작업일수'!E42</f>
        <v/>
      </c>
      <c r="AD46" s="60">
        <f>'별표2-비작업일수'!F42</f>
        <v/>
      </c>
      <c r="AE46" s="60">
        <f>'별표2-비작업일수'!G42</f>
        <v/>
      </c>
      <c r="AF46" s="60">
        <f>'별표2-비작업일수'!H42</f>
        <v/>
      </c>
      <c r="AG46" s="60">
        <f>'별표2-비작업일수'!I42</f>
        <v/>
      </c>
      <c r="AH46" s="60">
        <f>'별표2-비작업일수'!J42</f>
        <v/>
      </c>
      <c r="AI46" s="60">
        <f>'별표2-비작업일수'!K42</f>
        <v/>
      </c>
      <c r="AJ46" s="60">
        <f>'별표2-비작업일수'!L42</f>
        <v/>
      </c>
      <c r="AK46" s="60">
        <f>'별표2-비작업일수'!M42</f>
        <v/>
      </c>
      <c r="AL46" s="60">
        <f>'별표2-비작업일수'!N42</f>
        <v/>
      </c>
      <c r="AM46" s="60">
        <f>'별표2-비작업일수'!O42</f>
        <v/>
      </c>
      <c r="AN46" s="60">
        <f>SUM(AB46:AM46)</f>
        <v/>
      </c>
    </row>
    <row r="47" ht="15" customHeight="1" s="92">
      <c r="Y47" s="110" t="n"/>
      <c r="Z47" s="110" t="n"/>
      <c r="AA47" s="61" t="inlineStr">
        <is>
          <t>적  용</t>
        </is>
      </c>
      <c r="AB47" s="62">
        <f>SUM(AB43:AB46)</f>
        <v/>
      </c>
      <c r="AC47" s="62">
        <f>SUM(AC43:AC46)</f>
        <v/>
      </c>
      <c r="AD47" s="62">
        <f>SUM(AD43:AD46)</f>
        <v/>
      </c>
      <c r="AE47" s="62">
        <f>SUM(AE43:AE46)</f>
        <v/>
      </c>
      <c r="AF47" s="62">
        <f>SUM(AF43:AF46)</f>
        <v/>
      </c>
      <c r="AG47" s="62">
        <f>SUM(AG43:AG46)</f>
        <v/>
      </c>
      <c r="AH47" s="62">
        <f>SUM(AH43:AH46)</f>
        <v/>
      </c>
      <c r="AI47" s="62">
        <f>SUM(AI43:AI46)</f>
        <v/>
      </c>
      <c r="AJ47" s="62">
        <f>SUM(AJ43:AJ46)</f>
        <v/>
      </c>
      <c r="AK47" s="62">
        <f>SUM(AK43:AK46)</f>
        <v/>
      </c>
      <c r="AL47" s="62">
        <f>SUM(AL43:AL46)</f>
        <v/>
      </c>
      <c r="AM47" s="62">
        <f>SUM(AM43:AM46)</f>
        <v/>
      </c>
      <c r="AN47" s="62">
        <f>SUM(AB47:AM47)</f>
        <v/>
      </c>
    </row>
    <row r="49" ht="15" customHeight="1" s="92">
      <c r="Y49" s="73" t="inlineStr">
        <is>
          <t>번호</t>
        </is>
      </c>
      <c r="Z49" s="73" t="inlineStr">
        <is>
          <t>지역</t>
        </is>
      </c>
      <c r="AA49" s="73" t="inlineStr">
        <is>
          <t>구분</t>
        </is>
      </c>
      <c r="AB49" s="73" t="inlineStr">
        <is>
          <t>월평균 기상데이터</t>
        </is>
      </c>
      <c r="AC49" s="106" t="n"/>
      <c r="AD49" s="106" t="n"/>
      <c r="AE49" s="106" t="n"/>
      <c r="AF49" s="106" t="n"/>
      <c r="AG49" s="106" t="n"/>
      <c r="AH49" s="106" t="n"/>
      <c r="AI49" s="106" t="n"/>
      <c r="AJ49" s="106" t="n"/>
      <c r="AK49" s="106" t="n"/>
      <c r="AL49" s="106" t="n"/>
      <c r="AM49" s="107" t="n"/>
      <c r="AN49" s="73" t="inlineStr">
        <is>
          <t>소계</t>
        </is>
      </c>
    </row>
    <row r="50" ht="15" customHeight="1" s="92">
      <c r="Y50" s="110" t="n"/>
      <c r="Z50" s="110" t="n"/>
      <c r="AA50" s="110" t="n"/>
      <c r="AB50" s="73" t="inlineStr">
        <is>
          <t>1월</t>
        </is>
      </c>
      <c r="AC50" s="73" t="inlineStr">
        <is>
          <t>2월</t>
        </is>
      </c>
      <c r="AD50" s="73" t="inlineStr">
        <is>
          <t>3월</t>
        </is>
      </c>
      <c r="AE50" s="73" t="inlineStr">
        <is>
          <t>4월</t>
        </is>
      </c>
      <c r="AF50" s="73" t="inlineStr">
        <is>
          <t>5월</t>
        </is>
      </c>
      <c r="AG50" s="73" t="inlineStr">
        <is>
          <t>6월</t>
        </is>
      </c>
      <c r="AH50" s="73" t="inlineStr">
        <is>
          <t>7월</t>
        </is>
      </c>
      <c r="AI50" s="73" t="inlineStr">
        <is>
          <t>8월</t>
        </is>
      </c>
      <c r="AJ50" s="73" t="inlineStr">
        <is>
          <t>9월</t>
        </is>
      </c>
      <c r="AK50" s="73" t="inlineStr">
        <is>
          <t>10월</t>
        </is>
      </c>
      <c r="AL50" s="73" t="inlineStr">
        <is>
          <t>11월</t>
        </is>
      </c>
      <c r="AM50" s="73" t="inlineStr">
        <is>
          <t>12월</t>
        </is>
      </c>
      <c r="AN50" s="110" t="n"/>
    </row>
    <row r="51" ht="15" customHeight="1" s="92">
      <c r="Y51" s="73">
        <f>'별표2-비작업일수'!A47</f>
        <v/>
      </c>
      <c r="Z51" s="73">
        <f>'별표2-비작업일수'!B47</f>
        <v/>
      </c>
      <c r="AA51" s="73" t="inlineStr">
        <is>
          <t>혹서기</t>
        </is>
      </c>
      <c r="AB51" s="60">
        <f>'별표2-비작업일수'!D48</f>
        <v/>
      </c>
      <c r="AC51" s="60">
        <f>'별표2-비작업일수'!E48</f>
        <v/>
      </c>
      <c r="AD51" s="60">
        <f>'별표2-비작업일수'!F48</f>
        <v/>
      </c>
      <c r="AE51" s="60">
        <f>'별표2-비작업일수'!G48</f>
        <v/>
      </c>
      <c r="AF51" s="60">
        <f>'별표2-비작업일수'!H48</f>
        <v/>
      </c>
      <c r="AG51" s="60">
        <f>'별표2-비작업일수'!I48</f>
        <v/>
      </c>
      <c r="AH51" s="60">
        <f>'별표2-비작업일수'!J48</f>
        <v/>
      </c>
      <c r="AI51" s="60">
        <f>'별표2-비작업일수'!K48</f>
        <v/>
      </c>
      <c r="AJ51" s="60">
        <f>'별표2-비작업일수'!L48</f>
        <v/>
      </c>
      <c r="AK51" s="60">
        <f>'별표2-비작업일수'!M48</f>
        <v/>
      </c>
      <c r="AL51" s="60">
        <f>'별표2-비작업일수'!N48</f>
        <v/>
      </c>
      <c r="AM51" s="60">
        <f>'별표2-비작업일수'!O48</f>
        <v/>
      </c>
      <c r="AN51" s="60">
        <f>SUM(AB51:AM51)</f>
        <v/>
      </c>
    </row>
    <row r="52" ht="15" customHeight="1" s="92">
      <c r="Y52" s="114" t="n"/>
      <c r="Z52" s="114" t="n"/>
      <c r="AA52" s="73" t="inlineStr">
        <is>
          <t>동절기</t>
        </is>
      </c>
      <c r="AB52" s="60">
        <f>'별표2-비작업일수'!D50</f>
        <v/>
      </c>
      <c r="AC52" s="60">
        <f>'별표2-비작업일수'!E50</f>
        <v/>
      </c>
      <c r="AD52" s="60">
        <f>'별표2-비작업일수'!F50</f>
        <v/>
      </c>
      <c r="AE52" s="60">
        <f>'별표2-비작업일수'!G50</f>
        <v/>
      </c>
      <c r="AF52" s="60">
        <f>'별표2-비작업일수'!H50</f>
        <v/>
      </c>
      <c r="AG52" s="60">
        <f>'별표2-비작업일수'!I50</f>
        <v/>
      </c>
      <c r="AH52" s="60">
        <f>'별표2-비작업일수'!J50</f>
        <v/>
      </c>
      <c r="AI52" s="60">
        <f>'별표2-비작업일수'!K50</f>
        <v/>
      </c>
      <c r="AJ52" s="60">
        <f>'별표2-비작업일수'!L50</f>
        <v/>
      </c>
      <c r="AK52" s="60">
        <f>'별표2-비작업일수'!M50</f>
        <v/>
      </c>
      <c r="AL52" s="60">
        <f>'별표2-비작업일수'!N50</f>
        <v/>
      </c>
      <c r="AM52" s="60">
        <f>'별표2-비작업일수'!O50</f>
        <v/>
      </c>
      <c r="AN52" s="60">
        <f>SUM(AB52:AM52)</f>
        <v/>
      </c>
    </row>
    <row r="53" ht="15" customHeight="1" s="92">
      <c r="Y53" s="114" t="n"/>
      <c r="Z53" s="114" t="n"/>
      <c r="AA53" s="73" t="inlineStr">
        <is>
          <t>강   우</t>
        </is>
      </c>
      <c r="AB53" s="60">
        <f>'별표2-비작업일수'!D55</f>
        <v/>
      </c>
      <c r="AC53" s="60">
        <f>'별표2-비작업일수'!E55</f>
        <v/>
      </c>
      <c r="AD53" s="60">
        <f>'별표2-비작업일수'!F55</f>
        <v/>
      </c>
      <c r="AE53" s="60">
        <f>'별표2-비작업일수'!G55</f>
        <v/>
      </c>
      <c r="AF53" s="60">
        <f>'별표2-비작업일수'!H55</f>
        <v/>
      </c>
      <c r="AG53" s="60">
        <f>'별표2-비작업일수'!I55</f>
        <v/>
      </c>
      <c r="AH53" s="60">
        <f>'별표2-비작업일수'!J55</f>
        <v/>
      </c>
      <c r="AI53" s="60">
        <f>'별표2-비작업일수'!K55</f>
        <v/>
      </c>
      <c r="AJ53" s="60">
        <f>'별표2-비작업일수'!L55</f>
        <v/>
      </c>
      <c r="AK53" s="60">
        <f>'별표2-비작업일수'!M55</f>
        <v/>
      </c>
      <c r="AL53" s="60">
        <f>'별표2-비작업일수'!N55</f>
        <v/>
      </c>
      <c r="AM53" s="60">
        <f>'별표2-비작업일수'!O55</f>
        <v/>
      </c>
      <c r="AN53" s="60">
        <f>SUM(AB53:AM53)</f>
        <v/>
      </c>
    </row>
    <row r="54" ht="15" customHeight="1" s="92">
      <c r="Y54" s="114" t="n"/>
      <c r="Z54" s="114" t="n"/>
      <c r="AA54" s="60" t="inlineStr">
        <is>
          <t>바람</t>
        </is>
      </c>
      <c r="AB54" s="60">
        <f>'별표2-비작업일수'!D56</f>
        <v/>
      </c>
      <c r="AC54" s="60">
        <f>'별표2-비작업일수'!E56</f>
        <v/>
      </c>
      <c r="AD54" s="60">
        <f>'별표2-비작업일수'!F56</f>
        <v/>
      </c>
      <c r="AE54" s="60">
        <f>'별표2-비작업일수'!G56</f>
        <v/>
      </c>
      <c r="AF54" s="60">
        <f>'별표2-비작업일수'!H56</f>
        <v/>
      </c>
      <c r="AG54" s="60">
        <f>'별표2-비작업일수'!I56</f>
        <v/>
      </c>
      <c r="AH54" s="60">
        <f>'별표2-비작업일수'!J56</f>
        <v/>
      </c>
      <c r="AI54" s="60">
        <f>'별표2-비작업일수'!K56</f>
        <v/>
      </c>
      <c r="AJ54" s="60">
        <f>'별표2-비작업일수'!L56</f>
        <v/>
      </c>
      <c r="AK54" s="60">
        <f>'별표2-비작업일수'!M56</f>
        <v/>
      </c>
      <c r="AL54" s="60">
        <f>'별표2-비작업일수'!N56</f>
        <v/>
      </c>
      <c r="AM54" s="60">
        <f>'별표2-비작업일수'!O56</f>
        <v/>
      </c>
      <c r="AN54" s="60">
        <f>SUM(AB54:AM54)</f>
        <v/>
      </c>
    </row>
    <row r="55" ht="15" customHeight="1" s="92">
      <c r="Y55" s="110" t="n"/>
      <c r="Z55" s="110" t="n"/>
      <c r="AA55" s="61" t="inlineStr">
        <is>
          <t>적  용</t>
        </is>
      </c>
      <c r="AB55" s="62">
        <f>SUM(AB51:AB54)</f>
        <v/>
      </c>
      <c r="AC55" s="62">
        <f>SUM(AC51:AC54)</f>
        <v/>
      </c>
      <c r="AD55" s="62">
        <f>SUM(AD51:AD54)</f>
        <v/>
      </c>
      <c r="AE55" s="62">
        <f>SUM(AE51:AE54)</f>
        <v/>
      </c>
      <c r="AF55" s="62">
        <f>SUM(AF51:AF54)</f>
        <v/>
      </c>
      <c r="AG55" s="62">
        <f>SUM(AG51:AG54)</f>
        <v/>
      </c>
      <c r="AH55" s="62">
        <f>SUM(AH51:AH54)</f>
        <v/>
      </c>
      <c r="AI55" s="62">
        <f>SUM(AI51:AI54)</f>
        <v/>
      </c>
      <c r="AJ55" s="62">
        <f>SUM(AJ51:AJ54)</f>
        <v/>
      </c>
      <c r="AK55" s="62">
        <f>SUM(AK51:AK54)</f>
        <v/>
      </c>
      <c r="AL55" s="62">
        <f>SUM(AL51:AL54)</f>
        <v/>
      </c>
      <c r="AM55" s="62">
        <f>SUM(AM51:AM54)</f>
        <v/>
      </c>
      <c r="AN55" s="62">
        <f>SUM(AB55:AM55)</f>
        <v/>
      </c>
    </row>
  </sheetData>
  <mergeCells count="61">
    <mergeCell ref="G12:H12"/>
    <mergeCell ref="D13:F13"/>
    <mergeCell ref="D11:F11"/>
    <mergeCell ref="AB25:AM25"/>
    <mergeCell ref="Z43:Z47"/>
    <mergeCell ref="AN49:AN50"/>
    <mergeCell ref="O34:P34"/>
    <mergeCell ref="G11:H11"/>
    <mergeCell ref="I11:J11"/>
    <mergeCell ref="K9:L9"/>
    <mergeCell ref="Z25:Z26"/>
    <mergeCell ref="Z51:Z55"/>
    <mergeCell ref="Z41:Z42"/>
    <mergeCell ref="G8:H8"/>
    <mergeCell ref="AA49:AA50"/>
    <mergeCell ref="Y27:Y31"/>
    <mergeCell ref="K11:L11"/>
    <mergeCell ref="Y17:Y18"/>
    <mergeCell ref="G10:H10"/>
    <mergeCell ref="D12:F12"/>
    <mergeCell ref="K13:L13"/>
    <mergeCell ref="Z19:Z23"/>
    <mergeCell ref="D9:F9"/>
    <mergeCell ref="AN25:AN26"/>
    <mergeCell ref="Z17:Z18"/>
    <mergeCell ref="AN41:AN42"/>
    <mergeCell ref="G13:H13"/>
    <mergeCell ref="D8:F8"/>
    <mergeCell ref="AA41:AA42"/>
    <mergeCell ref="G3:H3"/>
    <mergeCell ref="AB17:AM17"/>
    <mergeCell ref="O16:P16"/>
    <mergeCell ref="I12:J12"/>
    <mergeCell ref="D14:F14"/>
    <mergeCell ref="Y49:Y50"/>
    <mergeCell ref="K12:L12"/>
    <mergeCell ref="Y25:Y26"/>
    <mergeCell ref="K8:L8"/>
    <mergeCell ref="AA25:AA26"/>
    <mergeCell ref="A1:V1"/>
    <mergeCell ref="Y43:Y47"/>
    <mergeCell ref="AN17:AN18"/>
    <mergeCell ref="G14:H14"/>
    <mergeCell ref="Z27:Z31"/>
    <mergeCell ref="I8:J8"/>
    <mergeCell ref="I14:J14"/>
    <mergeCell ref="AB49:AM49"/>
    <mergeCell ref="K14:L14"/>
    <mergeCell ref="D10:F10"/>
    <mergeCell ref="J3:K3"/>
    <mergeCell ref="AA17:AA18"/>
    <mergeCell ref="Z49:Z50"/>
    <mergeCell ref="I10:J10"/>
    <mergeCell ref="K10:L10"/>
    <mergeCell ref="Y51:Y55"/>
    <mergeCell ref="Y41:Y42"/>
    <mergeCell ref="I13:J13"/>
    <mergeCell ref="AB41:AM41"/>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8" t="n"/>
      <c r="B3" s="128"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8"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29" t="n"/>
      <c r="C14" s="129" t="n"/>
      <c r="D14" s="129" t="n"/>
      <c r="E14" s="129" t="n"/>
      <c r="F14" s="129" t="n"/>
      <c r="G14" s="129" t="n"/>
      <c r="H14" s="129" t="n"/>
      <c r="I14" s="129" t="n"/>
      <c r="J14" s="129" t="n"/>
      <c r="K14" s="129" t="n"/>
      <c r="L14" s="129" t="n"/>
      <c r="M14" s="129" t="n"/>
      <c r="N14" s="129" t="n"/>
      <c r="O14" s="129"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57"/>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0" t="inlineStr">
        <is>
          <t>혹서기 기준</t>
        </is>
      </c>
      <c r="D2" s="130"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6" t="n"/>
      <c r="F3" s="106" t="n"/>
      <c r="G3" s="106" t="n"/>
      <c r="H3" s="106" t="n"/>
      <c r="I3" s="106" t="n"/>
      <c r="J3" s="106" t="n"/>
      <c r="K3" s="106" t="n"/>
      <c r="L3" s="106" t="n"/>
      <c r="M3" s="106" t="n"/>
      <c r="N3" s="106" t="n"/>
      <c r="O3" s="107" t="n"/>
      <c r="P3" s="89" t="inlineStr">
        <is>
          <t>소계</t>
        </is>
      </c>
      <c r="Q3" s="89" t="inlineStr">
        <is>
          <t>비 고</t>
        </is>
      </c>
      <c r="R3" t="inlineStr">
        <is>
          <t>조건번호(자동)</t>
        </is>
      </c>
    </row>
    <row r="4" ht="24.95" customHeight="1" s="92">
      <c r="A4" s="110" t="n"/>
      <c r="B4" s="110" t="n"/>
      <c r="C4" s="110"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0" t="n"/>
      <c r="Q4" s="110" t="n"/>
    </row>
    <row r="5" ht="24.95" customHeight="1" s="92">
      <c r="A5" s="89">
        <f>INDEX(지점목록!$C$2:$C$5,MATCH($B$5,지점목록!$A$2:$A$5,0))</f>
        <v/>
      </c>
      <c r="B5" s="89" t="inlineStr">
        <is>
          <t>제주</t>
        </is>
      </c>
      <c r="C5" s="89" t="inlineStr">
        <is>
          <t>2015~2024</t>
        </is>
      </c>
      <c r="D5" s="38">
        <f>SUMIFS(기상자료!$F$2:$F$53,기상자료!$A$2:$A$53,$A$5,기상자료!$D$2:$D$53,$R5)</f>
        <v/>
      </c>
      <c r="E5" s="38">
        <f>SUMIFS(기상자료!$G$2:$G$53,기상자료!$A$2:$A$53,$A$5,기상자료!$D$2:$D$53,$R5)</f>
        <v/>
      </c>
      <c r="F5" s="38">
        <f>SUMIFS(기상자료!$H$2:$H$53,기상자료!$A$2:$A$53,$A$5,기상자료!$D$2:$D$53,$R5)</f>
        <v/>
      </c>
      <c r="G5" s="38">
        <f>SUMIFS(기상자료!$I$2:$I$53,기상자료!$A$2:$A$53,$A$5,기상자료!$D$2:$D$53,$R5)</f>
        <v/>
      </c>
      <c r="H5" s="38">
        <f>SUMIFS(기상자료!$J$2:$J$53,기상자료!$A$2:$A$53,$A$5,기상자료!$D$2:$D$53,$R5)</f>
        <v/>
      </c>
      <c r="I5" s="38">
        <f>SUMIFS(기상자료!$K$2:$K$53,기상자료!$A$2:$A$53,$A$5,기상자료!$D$2:$D$53,$R5)</f>
        <v/>
      </c>
      <c r="J5" s="38">
        <f>SUMIFS(기상자료!$L$2:$L$53,기상자료!$A$2:$A$53,$A$5,기상자료!$D$2:$D$53,$R5)</f>
        <v/>
      </c>
      <c r="K5" s="38">
        <f>SUMIFS(기상자료!$M$2:$M$53,기상자료!$A$2:$A$53,$A$5,기상자료!$D$2:$D$53,$R5)</f>
        <v/>
      </c>
      <c r="L5" s="38">
        <f>SUMIFS(기상자료!$N$2:$N$53,기상자료!$A$2:$A$53,$A$5,기상자료!$D$2:$D$53,$R5)</f>
        <v/>
      </c>
      <c r="M5" s="38">
        <f>SUMIFS(기상자료!$O$2:$O$53,기상자료!$A$2:$A$53,$A$5,기상자료!$D$2:$D$53,$R5)</f>
        <v/>
      </c>
      <c r="N5" s="38">
        <f>SUMIFS(기상자료!$P$2:$P$53,기상자료!$A$2:$A$53,$A$5,기상자료!$D$2:$D$53,$R5)</f>
        <v/>
      </c>
      <c r="O5" s="38">
        <f>SUMIFS(기상자료!$Q$2:$Q$53,기상자료!$A$2:$A$53,$A$5,기상자료!$D$2:$D$53,$R5)</f>
        <v/>
      </c>
      <c r="P5" s="38">
        <f>SUM(D5:O5)</f>
        <v/>
      </c>
      <c r="Q5" s="131">
        <f>IF($D$2="체감온도","혹서기
체감온도 33°C 이상","혹서기
일최고기온 33°C 이상")</f>
        <v/>
      </c>
      <c r="R5">
        <f>IF($D$2="체감온도",1,3)</f>
        <v/>
      </c>
    </row>
    <row r="6" ht="24.95" customHeight="1" s="92">
      <c r="A6" s="114" t="n"/>
      <c r="B6" s="114" t="n"/>
      <c r="C6" s="89" t="inlineStr">
        <is>
          <t>2015~2024</t>
        </is>
      </c>
      <c r="D6" s="38">
        <f>SUMIFS(기상자료!$F$2:$F$53,기상자료!$A$2:$A$53,$A$5,기상자료!$D$2:$D$53,$R6)</f>
        <v/>
      </c>
      <c r="E6" s="38">
        <f>SUMIFS(기상자료!$G$2:$G$53,기상자료!$A$2:$A$53,$A$5,기상자료!$D$2:$D$53,$R6)</f>
        <v/>
      </c>
      <c r="F6" s="38">
        <f>SUMIFS(기상자료!$H$2:$H$53,기상자료!$A$2:$A$53,$A$5,기상자료!$D$2:$D$53,$R6)</f>
        <v/>
      </c>
      <c r="G6" s="38">
        <f>SUMIFS(기상자료!$I$2:$I$53,기상자료!$A$2:$A$53,$A$5,기상자료!$D$2:$D$53,$R6)</f>
        <v/>
      </c>
      <c r="H6" s="38">
        <f>SUMIFS(기상자료!$J$2:$J$53,기상자료!$A$2:$A$53,$A$5,기상자료!$D$2:$D$53,$R6)</f>
        <v/>
      </c>
      <c r="I6" s="38">
        <f>SUMIFS(기상자료!$K$2:$K$53,기상자료!$A$2:$A$53,$A$5,기상자료!$D$2:$D$53,$R6)</f>
        <v/>
      </c>
      <c r="J6" s="38">
        <f>SUMIFS(기상자료!$L$2:$L$53,기상자료!$A$2:$A$53,$A$5,기상자료!$D$2:$D$53,$R6)</f>
        <v/>
      </c>
      <c r="K6" s="38">
        <f>SUMIFS(기상자료!$M$2:$M$53,기상자료!$A$2:$A$53,$A$5,기상자료!$D$2:$D$53,$R6)</f>
        <v/>
      </c>
      <c r="L6" s="38">
        <f>SUMIFS(기상자료!$N$2:$N$53,기상자료!$A$2:$A$53,$A$5,기상자료!$D$2:$D$53,$R6)</f>
        <v/>
      </c>
      <c r="M6" s="38">
        <f>SUMIFS(기상자료!$O$2:$O$53,기상자료!$A$2:$A$53,$A$5,기상자료!$D$2:$D$53,$R6)</f>
        <v/>
      </c>
      <c r="N6" s="38">
        <f>SUMIFS(기상자료!$P$2:$P$53,기상자료!$A$2:$A$53,$A$5,기상자료!$D$2:$D$53,$R6)</f>
        <v/>
      </c>
      <c r="O6" s="38">
        <f>SUMIFS(기상자료!$Q$2:$Q$53,기상자료!$A$2:$A$53,$A$5,기상자료!$D$2:$D$53,$R6)</f>
        <v/>
      </c>
      <c r="P6" s="38">
        <f>SUM(D6:O6)</f>
        <v/>
      </c>
      <c r="Q6" s="131">
        <f>IF($D$2="체감온도","혹서기
체감온도 35°C 이상","혹서기
일최고기온 35°C 이상")</f>
        <v/>
      </c>
      <c r="R6">
        <f>IF($D$2="체감온도",2,4)</f>
        <v/>
      </c>
    </row>
    <row r="7" ht="24.95" customHeight="1" s="92">
      <c r="A7" s="114" t="n"/>
      <c r="B7" s="114" t="n"/>
      <c r="C7" s="89" t="inlineStr">
        <is>
          <t>2015~2024</t>
        </is>
      </c>
      <c r="D7" s="38">
        <f>SUMIFS(기상자료!$F$2:$F$53,기상자료!$A$2:$A$53,$A$5,기상자료!$D$2:$D$53,$R7)</f>
        <v/>
      </c>
      <c r="E7" s="38">
        <f>SUMIFS(기상자료!$G$2:$G$53,기상자료!$A$2:$A$53,$A$5,기상자료!$D$2:$D$53,$R7)</f>
        <v/>
      </c>
      <c r="F7" s="38">
        <f>SUMIFS(기상자료!$H$2:$H$53,기상자료!$A$2:$A$53,$A$5,기상자료!$D$2:$D$53,$R7)</f>
        <v/>
      </c>
      <c r="G7" s="38">
        <f>SUMIFS(기상자료!$I$2:$I$53,기상자료!$A$2:$A$53,$A$5,기상자료!$D$2:$D$53,$R7)</f>
        <v/>
      </c>
      <c r="H7" s="38">
        <f>SUMIFS(기상자료!$J$2:$J$53,기상자료!$A$2:$A$53,$A$5,기상자료!$D$2:$D$53,$R7)</f>
        <v/>
      </c>
      <c r="I7" s="38">
        <f>SUMIFS(기상자료!$K$2:$K$53,기상자료!$A$2:$A$53,$A$5,기상자료!$D$2:$D$53,$R7)</f>
        <v/>
      </c>
      <c r="J7" s="38">
        <f>SUMIFS(기상자료!$L$2:$L$53,기상자료!$A$2:$A$53,$A$5,기상자료!$D$2:$D$53,$R7)</f>
        <v/>
      </c>
      <c r="K7" s="38">
        <f>SUMIFS(기상자료!$M$2:$M$53,기상자료!$A$2:$A$53,$A$5,기상자료!$D$2:$D$53,$R7)</f>
        <v/>
      </c>
      <c r="L7" s="38">
        <f>SUMIFS(기상자료!$N$2:$N$53,기상자료!$A$2:$A$53,$A$5,기상자료!$D$2:$D$53,$R7)</f>
        <v/>
      </c>
      <c r="M7" s="38">
        <f>SUMIFS(기상자료!$O$2:$O$53,기상자료!$A$2:$A$53,$A$5,기상자료!$D$2:$D$53,$R7)</f>
        <v/>
      </c>
      <c r="N7" s="38">
        <f>SUMIFS(기상자료!$P$2:$P$53,기상자료!$A$2:$A$53,$A$5,기상자료!$D$2:$D$53,$R7)</f>
        <v/>
      </c>
      <c r="O7" s="38">
        <f>SUMIFS(기상자료!$Q$2:$Q$53,기상자료!$A$2:$A$53,$A$5,기상자료!$D$2:$D$53,$R7)</f>
        <v/>
      </c>
      <c r="P7" s="38">
        <f>SUM(D7:O7)</f>
        <v/>
      </c>
      <c r="Q7" s="131" t="inlineStr">
        <is>
          <t>동절기
일최고기온 0°C 이하</t>
        </is>
      </c>
      <c r="R7" t="n">
        <v>5</v>
      </c>
    </row>
    <row r="8" ht="24.95" customHeight="1" s="92">
      <c r="A8" s="114" t="n"/>
      <c r="B8" s="114" t="n"/>
      <c r="C8" s="89" t="inlineStr">
        <is>
          <t>2015~2024</t>
        </is>
      </c>
      <c r="D8" s="38">
        <f>SUMIFS(기상자료!$F$2:$F$53,기상자료!$A$2:$A$53,$A$5,기상자료!$D$2:$D$53,$R8)</f>
        <v/>
      </c>
      <c r="E8" s="38">
        <f>SUMIFS(기상자료!$G$2:$G$53,기상자료!$A$2:$A$53,$A$5,기상자료!$D$2:$D$53,$R8)</f>
        <v/>
      </c>
      <c r="F8" s="38">
        <f>SUMIFS(기상자료!$H$2:$H$53,기상자료!$A$2:$A$53,$A$5,기상자료!$D$2:$D$53,$R8)</f>
        <v/>
      </c>
      <c r="G8" s="38">
        <f>SUMIFS(기상자료!$I$2:$I$53,기상자료!$A$2:$A$53,$A$5,기상자료!$D$2:$D$53,$R8)</f>
        <v/>
      </c>
      <c r="H8" s="38">
        <f>SUMIFS(기상자료!$J$2:$J$53,기상자료!$A$2:$A$53,$A$5,기상자료!$D$2:$D$53,$R8)</f>
        <v/>
      </c>
      <c r="I8" s="38">
        <f>SUMIFS(기상자료!$K$2:$K$53,기상자료!$A$2:$A$53,$A$5,기상자료!$D$2:$D$53,$R8)</f>
        <v/>
      </c>
      <c r="J8" s="38">
        <f>SUMIFS(기상자료!$L$2:$L$53,기상자료!$A$2:$A$53,$A$5,기상자료!$D$2:$D$53,$R8)</f>
        <v/>
      </c>
      <c r="K8" s="38">
        <f>SUMIFS(기상자료!$M$2:$M$53,기상자료!$A$2:$A$53,$A$5,기상자료!$D$2:$D$53,$R8)</f>
        <v/>
      </c>
      <c r="L8" s="38">
        <f>SUMIFS(기상자료!$N$2:$N$53,기상자료!$A$2:$A$53,$A$5,기상자료!$D$2:$D$53,$R8)</f>
        <v/>
      </c>
      <c r="M8" s="38">
        <f>SUMIFS(기상자료!$O$2:$O$53,기상자료!$A$2:$A$53,$A$5,기상자료!$D$2:$D$53,$R8)</f>
        <v/>
      </c>
      <c r="N8" s="38">
        <f>SUMIFS(기상자료!$P$2:$P$53,기상자료!$A$2:$A$53,$A$5,기상자료!$D$2:$D$53,$R8)</f>
        <v/>
      </c>
      <c r="O8" s="38">
        <f>SUMIFS(기상자료!$Q$2:$Q$53,기상자료!$A$2:$A$53,$A$5,기상자료!$D$2:$D$53,$R8)</f>
        <v/>
      </c>
      <c r="P8" s="38">
        <f>SUM(D8:O8)</f>
        <v/>
      </c>
      <c r="Q8" s="131" t="inlineStr">
        <is>
          <t>동절기
신적설 5㎝ 이상</t>
        </is>
      </c>
      <c r="R8" t="n">
        <v>6</v>
      </c>
    </row>
    <row r="9" ht="24.95" customHeight="1" s="92">
      <c r="A9" s="114" t="n"/>
      <c r="B9" s="114" t="n"/>
      <c r="C9" s="89" t="inlineStr">
        <is>
          <t>2015~2024</t>
        </is>
      </c>
      <c r="D9" s="38">
        <f>SUMIFS(기상자료!$F$2:$F$53,기상자료!$A$2:$A$53,$A$5,기상자료!$D$2:$D$53,$R9)</f>
        <v/>
      </c>
      <c r="E9" s="38">
        <f>SUMIFS(기상자료!$G$2:$G$53,기상자료!$A$2:$A$53,$A$5,기상자료!$D$2:$D$53,$R9)</f>
        <v/>
      </c>
      <c r="F9" s="38">
        <f>SUMIFS(기상자료!$H$2:$H$53,기상자료!$A$2:$A$53,$A$5,기상자료!$D$2:$D$53,$R9)</f>
        <v/>
      </c>
      <c r="G9" s="38">
        <f>SUMIFS(기상자료!$I$2:$I$53,기상자료!$A$2:$A$53,$A$5,기상자료!$D$2:$D$53,$R9)</f>
        <v/>
      </c>
      <c r="H9" s="38">
        <f>SUMIFS(기상자료!$J$2:$J$53,기상자료!$A$2:$A$53,$A$5,기상자료!$D$2:$D$53,$R9)</f>
        <v/>
      </c>
      <c r="I9" s="38">
        <f>SUMIFS(기상자료!$K$2:$K$53,기상자료!$A$2:$A$53,$A$5,기상자료!$D$2:$D$53,$R9)</f>
        <v/>
      </c>
      <c r="J9" s="38">
        <f>SUMIFS(기상자료!$L$2:$L$53,기상자료!$A$2:$A$53,$A$5,기상자료!$D$2:$D$53,$R9)</f>
        <v/>
      </c>
      <c r="K9" s="38">
        <f>SUMIFS(기상자료!$M$2:$M$53,기상자료!$A$2:$A$53,$A$5,기상자료!$D$2:$D$53,$R9)</f>
        <v/>
      </c>
      <c r="L9" s="38">
        <f>SUMIFS(기상자료!$N$2:$N$53,기상자료!$A$2:$A$53,$A$5,기상자료!$D$2:$D$53,$R9)</f>
        <v/>
      </c>
      <c r="M9" s="38">
        <f>SUMIFS(기상자료!$O$2:$O$53,기상자료!$A$2:$A$53,$A$5,기상자료!$D$2:$D$53,$R9)</f>
        <v/>
      </c>
      <c r="N9" s="38">
        <f>SUMIFS(기상자료!$P$2:$P$53,기상자료!$A$2:$A$53,$A$5,기상자료!$D$2:$D$53,$R9)</f>
        <v/>
      </c>
      <c r="O9" s="38">
        <f>SUMIFS(기상자료!$Q$2:$Q$53,기상자료!$A$2:$A$53,$A$5,기상자료!$D$2:$D$53,$R9)</f>
        <v/>
      </c>
      <c r="P9" s="38">
        <f>SUM(D9:O9)</f>
        <v/>
      </c>
      <c r="Q9" s="131" t="inlineStr">
        <is>
          <t>동절기 : 일최고기온 0°C 이하 및 신적설 5㎝ 이상</t>
        </is>
      </c>
      <c r="R9" t="n">
        <v>7</v>
      </c>
    </row>
    <row r="10" ht="24.95" customHeight="1" s="92">
      <c r="A10" s="114" t="n"/>
      <c r="B10" s="114" t="n"/>
      <c r="C10" s="89" t="inlineStr">
        <is>
          <t>2015~2024</t>
        </is>
      </c>
      <c r="D10" s="38">
        <f>SUMIFS(기상자료!$F$2:$F$53,기상자료!$A$2:$A$53,$A$5,기상자료!$D$2:$D$53,$R10)</f>
        <v/>
      </c>
      <c r="E10" s="38">
        <f>SUMIFS(기상자료!$G$2:$G$53,기상자료!$A$2:$A$53,$A$5,기상자료!$D$2:$D$53,$R10)</f>
        <v/>
      </c>
      <c r="F10" s="38">
        <f>SUMIFS(기상자료!$H$2:$H$53,기상자료!$A$2:$A$53,$A$5,기상자료!$D$2:$D$53,$R10)</f>
        <v/>
      </c>
      <c r="G10" s="38">
        <f>SUMIFS(기상자료!$I$2:$I$53,기상자료!$A$2:$A$53,$A$5,기상자료!$D$2:$D$53,$R10)</f>
        <v/>
      </c>
      <c r="H10" s="38">
        <f>SUMIFS(기상자료!$J$2:$J$53,기상자료!$A$2:$A$53,$A$5,기상자료!$D$2:$D$53,$R10)</f>
        <v/>
      </c>
      <c r="I10" s="38">
        <f>SUMIFS(기상자료!$K$2:$K$53,기상자료!$A$2:$A$53,$A$5,기상자료!$D$2:$D$53,$R10)</f>
        <v/>
      </c>
      <c r="J10" s="38">
        <f>SUMIFS(기상자료!$L$2:$L$53,기상자료!$A$2:$A$53,$A$5,기상자료!$D$2:$D$53,$R10)</f>
        <v/>
      </c>
      <c r="K10" s="38">
        <f>SUMIFS(기상자료!$M$2:$M$53,기상자료!$A$2:$A$53,$A$5,기상자료!$D$2:$D$53,$R10)</f>
        <v/>
      </c>
      <c r="L10" s="38">
        <f>SUMIFS(기상자료!$N$2:$N$53,기상자료!$A$2:$A$53,$A$5,기상자료!$D$2:$D$53,$R10)</f>
        <v/>
      </c>
      <c r="M10" s="38">
        <f>SUMIFS(기상자료!$O$2:$O$53,기상자료!$A$2:$A$53,$A$5,기상자료!$D$2:$D$53,$R10)</f>
        <v/>
      </c>
      <c r="N10" s="38">
        <f>SUMIFS(기상자료!$P$2:$P$53,기상자료!$A$2:$A$53,$A$5,기상자료!$D$2:$D$53,$R10)</f>
        <v/>
      </c>
      <c r="O10" s="38">
        <f>SUMIFS(기상자료!$Q$2:$Q$53,기상자료!$A$2:$A$53,$A$5,기상자료!$D$2:$D$53,$R10)</f>
        <v/>
      </c>
      <c r="P10" s="38">
        <f>SUM(D10:O10)</f>
        <v/>
      </c>
      <c r="Q10" s="131" t="inlineStr">
        <is>
          <t>동절기 : 일최저기온 -12°C 이하</t>
        </is>
      </c>
      <c r="R10" t="n">
        <v>8</v>
      </c>
    </row>
    <row r="11" ht="24.95" customHeight="1" s="92">
      <c r="A11" s="114" t="n"/>
      <c r="B11" s="114" t="n"/>
      <c r="C11" s="89" t="inlineStr">
        <is>
          <t>2015~2024</t>
        </is>
      </c>
      <c r="D11" s="38">
        <f>SUMIFS(기상자료!$F$2:$F$53,기상자료!$A$2:$A$53,$A$5,기상자료!$D$2:$D$53,$R11)</f>
        <v/>
      </c>
      <c r="E11" s="38">
        <f>SUMIFS(기상자료!$G$2:$G$53,기상자료!$A$2:$A$53,$A$5,기상자료!$D$2:$D$53,$R11)</f>
        <v/>
      </c>
      <c r="F11" s="38">
        <f>SUMIFS(기상자료!$H$2:$H$53,기상자료!$A$2:$A$53,$A$5,기상자료!$D$2:$D$53,$R11)</f>
        <v/>
      </c>
      <c r="G11" s="38">
        <f>SUMIFS(기상자료!$I$2:$I$53,기상자료!$A$2:$A$53,$A$5,기상자료!$D$2:$D$53,$R11)</f>
        <v/>
      </c>
      <c r="H11" s="38">
        <f>SUMIFS(기상자료!$J$2:$J$53,기상자료!$A$2:$A$53,$A$5,기상자료!$D$2:$D$53,$R11)</f>
        <v/>
      </c>
      <c r="I11" s="38">
        <f>SUMIFS(기상자료!$K$2:$K$53,기상자료!$A$2:$A$53,$A$5,기상자료!$D$2:$D$53,$R11)</f>
        <v/>
      </c>
      <c r="J11" s="38">
        <f>SUMIFS(기상자료!$L$2:$L$53,기상자료!$A$2:$A$53,$A$5,기상자료!$D$2:$D$53,$R11)</f>
        <v/>
      </c>
      <c r="K11" s="38">
        <f>SUMIFS(기상자료!$M$2:$M$53,기상자료!$A$2:$A$53,$A$5,기상자료!$D$2:$D$53,$R11)</f>
        <v/>
      </c>
      <c r="L11" s="38">
        <f>SUMIFS(기상자료!$N$2:$N$53,기상자료!$A$2:$A$53,$A$5,기상자료!$D$2:$D$53,$R11)</f>
        <v/>
      </c>
      <c r="M11" s="38">
        <f>SUMIFS(기상자료!$O$2:$O$53,기상자료!$A$2:$A$53,$A$5,기상자료!$D$2:$D$53,$R11)</f>
        <v/>
      </c>
      <c r="N11" s="38">
        <f>SUMIFS(기상자료!$P$2:$P$53,기상자료!$A$2:$A$53,$A$5,기상자료!$D$2:$D$53,$R11)</f>
        <v/>
      </c>
      <c r="O11" s="38">
        <f>SUMIFS(기상자료!$Q$2:$Q$53,기상자료!$A$2:$A$53,$A$5,기상자료!$D$2:$D$53,$R11)</f>
        <v/>
      </c>
      <c r="P11" s="38">
        <f>SUM(D11:O11)</f>
        <v/>
      </c>
      <c r="Q11" s="131" t="inlineStr">
        <is>
          <t>일강수량 : 5㎜ 이상</t>
        </is>
      </c>
      <c r="R11" t="n">
        <v>10</v>
      </c>
    </row>
    <row r="12" ht="24.95" customHeight="1" s="92">
      <c r="A12" s="114" t="n"/>
      <c r="B12" s="114" t="n"/>
      <c r="C12" s="89" t="inlineStr">
        <is>
          <t>2015~2024</t>
        </is>
      </c>
      <c r="D12" s="38">
        <f>SUMIFS(기상자료!$F$2:$F$53,기상자료!$A$2:$A$53,$A$5,기상자료!$D$2:$D$53,$R12)</f>
        <v/>
      </c>
      <c r="E12" s="38">
        <f>SUMIFS(기상자료!$G$2:$G$53,기상자료!$A$2:$A$53,$A$5,기상자료!$D$2:$D$53,$R12)</f>
        <v/>
      </c>
      <c r="F12" s="38">
        <f>SUMIFS(기상자료!$H$2:$H$53,기상자료!$A$2:$A$53,$A$5,기상자료!$D$2:$D$53,$R12)</f>
        <v/>
      </c>
      <c r="G12" s="38">
        <f>SUMIFS(기상자료!$I$2:$I$53,기상자료!$A$2:$A$53,$A$5,기상자료!$D$2:$D$53,$R12)</f>
        <v/>
      </c>
      <c r="H12" s="38">
        <f>SUMIFS(기상자료!$J$2:$J$53,기상자료!$A$2:$A$53,$A$5,기상자료!$D$2:$D$53,$R12)</f>
        <v/>
      </c>
      <c r="I12" s="38">
        <f>SUMIFS(기상자료!$K$2:$K$53,기상자료!$A$2:$A$53,$A$5,기상자료!$D$2:$D$53,$R12)</f>
        <v/>
      </c>
      <c r="J12" s="38">
        <f>SUMIFS(기상자료!$L$2:$L$53,기상자료!$A$2:$A$53,$A$5,기상자료!$D$2:$D$53,$R12)</f>
        <v/>
      </c>
      <c r="K12" s="38">
        <f>SUMIFS(기상자료!$M$2:$M$53,기상자료!$A$2:$A$53,$A$5,기상자료!$D$2:$D$53,$R12)</f>
        <v/>
      </c>
      <c r="L12" s="38">
        <f>SUMIFS(기상자료!$N$2:$N$53,기상자료!$A$2:$A$53,$A$5,기상자료!$D$2:$D$53,$R12)</f>
        <v/>
      </c>
      <c r="M12" s="38">
        <f>SUMIFS(기상자료!$O$2:$O$53,기상자료!$A$2:$A$53,$A$5,기상자료!$D$2:$D$53,$R12)</f>
        <v/>
      </c>
      <c r="N12" s="38">
        <f>SUMIFS(기상자료!$P$2:$P$53,기상자료!$A$2:$A$53,$A$5,기상자료!$D$2:$D$53,$R12)</f>
        <v/>
      </c>
      <c r="O12" s="38">
        <f>SUMIFS(기상자료!$Q$2:$Q$53,기상자료!$A$2:$A$53,$A$5,기상자료!$D$2:$D$53,$R12)</f>
        <v/>
      </c>
      <c r="P12" s="38">
        <f>SUM(D12:O12)</f>
        <v/>
      </c>
      <c r="Q12" s="131" t="inlineStr">
        <is>
          <t>일강수량 : 10㎜ 이상</t>
        </is>
      </c>
      <c r="R12" t="n">
        <v>11</v>
      </c>
    </row>
    <row r="13" ht="24.95" customHeight="1" s="92">
      <c r="A13" s="114" t="n"/>
      <c r="B13" s="114" t="n"/>
      <c r="C13" s="89" t="inlineStr">
        <is>
          <t>2015~2024</t>
        </is>
      </c>
      <c r="D13" s="38">
        <f>SUMIFS(기상자료!$F$2:$F$53,기상자료!$A$2:$A$53,$A$5,기상자료!$D$2:$D$53,$R13)</f>
        <v/>
      </c>
      <c r="E13" s="38">
        <f>SUMIFS(기상자료!$G$2:$G$53,기상자료!$A$2:$A$53,$A$5,기상자료!$D$2:$D$53,$R13)</f>
        <v/>
      </c>
      <c r="F13" s="38">
        <f>SUMIFS(기상자료!$H$2:$H$53,기상자료!$A$2:$A$53,$A$5,기상자료!$D$2:$D$53,$R13)</f>
        <v/>
      </c>
      <c r="G13" s="38">
        <f>SUMIFS(기상자료!$I$2:$I$53,기상자료!$A$2:$A$53,$A$5,기상자료!$D$2:$D$53,$R13)</f>
        <v/>
      </c>
      <c r="H13" s="38">
        <f>SUMIFS(기상자료!$J$2:$J$53,기상자료!$A$2:$A$53,$A$5,기상자료!$D$2:$D$53,$R13)</f>
        <v/>
      </c>
      <c r="I13" s="38">
        <f>SUMIFS(기상자료!$K$2:$K$53,기상자료!$A$2:$A$53,$A$5,기상자료!$D$2:$D$53,$R13)</f>
        <v/>
      </c>
      <c r="J13" s="38">
        <f>SUMIFS(기상자료!$L$2:$L$53,기상자료!$A$2:$A$53,$A$5,기상자료!$D$2:$D$53,$R13)</f>
        <v/>
      </c>
      <c r="K13" s="38">
        <f>SUMIFS(기상자료!$M$2:$M$53,기상자료!$A$2:$A$53,$A$5,기상자료!$D$2:$D$53,$R13)</f>
        <v/>
      </c>
      <c r="L13" s="38">
        <f>SUMIFS(기상자료!$N$2:$N$53,기상자료!$A$2:$A$53,$A$5,기상자료!$D$2:$D$53,$R13)</f>
        <v/>
      </c>
      <c r="M13" s="38">
        <f>SUMIFS(기상자료!$O$2:$O$53,기상자료!$A$2:$A$53,$A$5,기상자료!$D$2:$D$53,$R13)</f>
        <v/>
      </c>
      <c r="N13" s="38">
        <f>SUMIFS(기상자료!$P$2:$P$53,기상자료!$A$2:$A$53,$A$5,기상자료!$D$2:$D$53,$R13)</f>
        <v/>
      </c>
      <c r="O13" s="38">
        <f>SUMIFS(기상자료!$Q$2:$Q$53,기상자료!$A$2:$A$53,$A$5,기상자료!$D$2:$D$53,$R13)</f>
        <v/>
      </c>
      <c r="P13" s="38">
        <f>SUM(D13:O13)</f>
        <v/>
      </c>
      <c r="Q13" s="131" t="inlineStr">
        <is>
          <t>일강수량 : 20㎜ 이상</t>
        </is>
      </c>
      <c r="R13" t="n">
        <v>12</v>
      </c>
    </row>
    <row r="14" ht="24.95" customHeight="1" s="92">
      <c r="A14" s="114" t="n"/>
      <c r="B14" s="114" t="n"/>
      <c r="C14" s="38" t="inlineStr">
        <is>
          <t>2015~2024</t>
        </is>
      </c>
      <c r="D14" s="38">
        <f>SUMIFS(기상자료!$F$2:$F$53,기상자료!$A$2:$A$53,$A$5,기상자료!$D$2:$D$53,$R14)</f>
        <v/>
      </c>
      <c r="E14" s="38">
        <f>SUMIFS(기상자료!$G$2:$G$53,기상자료!$A$2:$A$53,$A$5,기상자료!$D$2:$D$53,$R14)</f>
        <v/>
      </c>
      <c r="F14" s="38">
        <f>SUMIFS(기상자료!$H$2:$H$53,기상자료!$A$2:$A$53,$A$5,기상자료!$D$2:$D$53,$R14)</f>
        <v/>
      </c>
      <c r="G14" s="38">
        <f>SUMIFS(기상자료!$I$2:$I$53,기상자료!$A$2:$A$53,$A$5,기상자료!$D$2:$D$53,$R14)</f>
        <v/>
      </c>
      <c r="H14" s="38">
        <f>SUMIFS(기상자료!$J$2:$J$53,기상자료!$A$2:$A$53,$A$5,기상자료!$D$2:$D$53,$R14)</f>
        <v/>
      </c>
      <c r="I14" s="38">
        <f>SUMIFS(기상자료!$K$2:$K$53,기상자료!$A$2:$A$53,$A$5,기상자료!$D$2:$D$53,$R14)</f>
        <v/>
      </c>
      <c r="J14" s="38">
        <f>SUMIFS(기상자료!$L$2:$L$53,기상자료!$A$2:$A$53,$A$5,기상자료!$D$2:$D$53,$R14)</f>
        <v/>
      </c>
      <c r="K14" s="38">
        <f>SUMIFS(기상자료!$M$2:$M$53,기상자료!$A$2:$A$53,$A$5,기상자료!$D$2:$D$53,$R14)</f>
        <v/>
      </c>
      <c r="L14" s="38">
        <f>SUMIFS(기상자료!$N$2:$N$53,기상자료!$A$2:$A$53,$A$5,기상자료!$D$2:$D$53,$R14)</f>
        <v/>
      </c>
      <c r="M14" s="38">
        <f>SUMIFS(기상자료!$O$2:$O$53,기상자료!$A$2:$A$53,$A$5,기상자료!$D$2:$D$53,$R14)</f>
        <v/>
      </c>
      <c r="N14" s="38">
        <f>SUMIFS(기상자료!$P$2:$P$53,기상자료!$A$2:$A$53,$A$5,기상자료!$D$2:$D$53,$R14)</f>
        <v/>
      </c>
      <c r="O14" s="38">
        <f>SUMIFS(기상자료!$Q$2:$Q$53,기상자료!$A$2:$A$53,$A$5,기상자료!$D$2:$D$53,$R14)</f>
        <v/>
      </c>
      <c r="P14" s="38">
        <f>SUM(D14:O14)</f>
        <v/>
      </c>
      <c r="Q14" s="132" t="inlineStr">
        <is>
          <t>일최대순간풍속 : 15m/s 이상</t>
        </is>
      </c>
      <c r="R14" t="n">
        <v>13</v>
      </c>
    </row>
    <row r="15" ht="24.95" customHeight="1" s="92">
      <c r="A15" s="110" t="n"/>
      <c r="B15" s="110"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6" t="n"/>
      <c r="F17" s="106" t="n"/>
      <c r="G17" s="106" t="n"/>
      <c r="H17" s="106" t="n"/>
      <c r="I17" s="106" t="n"/>
      <c r="J17" s="106" t="n"/>
      <c r="K17" s="106" t="n"/>
      <c r="L17" s="106" t="n"/>
      <c r="M17" s="106" t="n"/>
      <c r="N17" s="106" t="n"/>
      <c r="O17" s="107" t="n"/>
      <c r="P17" s="89" t="inlineStr">
        <is>
          <t>소계</t>
        </is>
      </c>
      <c r="Q17" s="89" t="inlineStr">
        <is>
          <t>비 고</t>
        </is>
      </c>
    </row>
    <row r="18" ht="24.95" customFormat="1" customHeight="1" s="36">
      <c r="A18" s="110" t="n"/>
      <c r="B18" s="110" t="n"/>
      <c r="C18" s="110"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0" t="n"/>
      <c r="Q18" s="110" t="n"/>
    </row>
    <row r="19" ht="24.95" customFormat="1" customHeight="1" s="36">
      <c r="A19" s="89">
        <f>INDEX(지점목록!$C$2:$C$5,MATCH($B$19,지점목록!$A$2:$A$5,0))</f>
        <v/>
      </c>
      <c r="B19" s="89" t="inlineStr">
        <is>
          <t>서귀포</t>
        </is>
      </c>
      <c r="C19" s="89" t="inlineStr">
        <is>
          <t>2015~2024</t>
        </is>
      </c>
      <c r="D19" s="38">
        <f>SUMIFS(기상자료!$F$2:$F$53,기상자료!$A$2:$A$53,$A$19,기상자료!$D$2:$D$53,$R19)</f>
        <v/>
      </c>
      <c r="E19" s="38">
        <f>SUMIFS(기상자료!$G$2:$G$53,기상자료!$A$2:$A$53,$A$19,기상자료!$D$2:$D$53,$R19)</f>
        <v/>
      </c>
      <c r="F19" s="38">
        <f>SUMIFS(기상자료!$H$2:$H$53,기상자료!$A$2:$A$53,$A$19,기상자료!$D$2:$D$53,$R19)</f>
        <v/>
      </c>
      <c r="G19" s="38">
        <f>SUMIFS(기상자료!$I$2:$I$53,기상자료!$A$2:$A$53,$A$19,기상자료!$D$2:$D$53,$R19)</f>
        <v/>
      </c>
      <c r="H19" s="38">
        <f>SUMIFS(기상자료!$J$2:$J$53,기상자료!$A$2:$A$53,$A$19,기상자료!$D$2:$D$53,$R19)</f>
        <v/>
      </c>
      <c r="I19" s="38">
        <f>SUMIFS(기상자료!$K$2:$K$53,기상자료!$A$2:$A$53,$A$19,기상자료!$D$2:$D$53,$R19)</f>
        <v/>
      </c>
      <c r="J19" s="38">
        <f>SUMIFS(기상자료!$L$2:$L$53,기상자료!$A$2:$A$53,$A$19,기상자료!$D$2:$D$53,$R19)</f>
        <v/>
      </c>
      <c r="K19" s="38">
        <f>SUMIFS(기상자료!$M$2:$M$53,기상자료!$A$2:$A$53,$A$19,기상자료!$D$2:$D$53,$R19)</f>
        <v/>
      </c>
      <c r="L19" s="38">
        <f>SUMIFS(기상자료!$N$2:$N$53,기상자료!$A$2:$A$53,$A$19,기상자료!$D$2:$D$53,$R19)</f>
        <v/>
      </c>
      <c r="M19" s="38">
        <f>SUMIFS(기상자료!$O$2:$O$53,기상자료!$A$2:$A$53,$A$19,기상자료!$D$2:$D$53,$R19)</f>
        <v/>
      </c>
      <c r="N19" s="38">
        <f>SUMIFS(기상자료!$P$2:$P$53,기상자료!$A$2:$A$53,$A$19,기상자료!$D$2:$D$53,$R19)</f>
        <v/>
      </c>
      <c r="O19" s="38">
        <f>SUMIFS(기상자료!$Q$2:$Q$53,기상자료!$A$2:$A$53,$A$19,기상자료!$D$2:$D$53,$R19)</f>
        <v/>
      </c>
      <c r="P19" s="38">
        <f>SUM(D19:O19)</f>
        <v/>
      </c>
      <c r="Q19" s="131">
        <f>IF($D$2="체감온도","혹서기
체감온도 33°C 이상","혹서기
일최고기온 33°C 이상")</f>
        <v/>
      </c>
      <c r="R19">
        <f>IF($D$2="체감온도",1,3)</f>
        <v/>
      </c>
    </row>
    <row r="20" ht="24.95" customFormat="1" customHeight="1" s="36">
      <c r="A20" s="114" t="n"/>
      <c r="B20" s="114" t="n"/>
      <c r="C20" s="89" t="inlineStr">
        <is>
          <t>2015~2024</t>
        </is>
      </c>
      <c r="D20" s="38">
        <f>SUMIFS(기상자료!$F$2:$F$53,기상자료!$A$2:$A$53,$A$19,기상자료!$D$2:$D$53,$R20)</f>
        <v/>
      </c>
      <c r="E20" s="38">
        <f>SUMIFS(기상자료!$G$2:$G$53,기상자료!$A$2:$A$53,$A$19,기상자료!$D$2:$D$53,$R20)</f>
        <v/>
      </c>
      <c r="F20" s="38">
        <f>SUMIFS(기상자료!$H$2:$H$53,기상자료!$A$2:$A$53,$A$19,기상자료!$D$2:$D$53,$R20)</f>
        <v/>
      </c>
      <c r="G20" s="38">
        <f>SUMIFS(기상자료!$I$2:$I$53,기상자료!$A$2:$A$53,$A$19,기상자료!$D$2:$D$53,$R20)</f>
        <v/>
      </c>
      <c r="H20" s="38">
        <f>SUMIFS(기상자료!$J$2:$J$53,기상자료!$A$2:$A$53,$A$19,기상자료!$D$2:$D$53,$R20)</f>
        <v/>
      </c>
      <c r="I20" s="38">
        <f>SUMIFS(기상자료!$K$2:$K$53,기상자료!$A$2:$A$53,$A$19,기상자료!$D$2:$D$53,$R20)</f>
        <v/>
      </c>
      <c r="J20" s="38">
        <f>SUMIFS(기상자료!$L$2:$L$53,기상자료!$A$2:$A$53,$A$19,기상자료!$D$2:$D$53,$R20)</f>
        <v/>
      </c>
      <c r="K20" s="38">
        <f>SUMIFS(기상자료!$M$2:$M$53,기상자료!$A$2:$A$53,$A$19,기상자료!$D$2:$D$53,$R20)</f>
        <v/>
      </c>
      <c r="L20" s="38">
        <f>SUMIFS(기상자료!$N$2:$N$53,기상자료!$A$2:$A$53,$A$19,기상자료!$D$2:$D$53,$R20)</f>
        <v/>
      </c>
      <c r="M20" s="38">
        <f>SUMIFS(기상자료!$O$2:$O$53,기상자료!$A$2:$A$53,$A$19,기상자료!$D$2:$D$53,$R20)</f>
        <v/>
      </c>
      <c r="N20" s="38">
        <f>SUMIFS(기상자료!$P$2:$P$53,기상자료!$A$2:$A$53,$A$19,기상자료!$D$2:$D$53,$R20)</f>
        <v/>
      </c>
      <c r="O20" s="38">
        <f>SUMIFS(기상자료!$Q$2:$Q$53,기상자료!$A$2:$A$53,$A$19,기상자료!$D$2:$D$53,$R20)</f>
        <v/>
      </c>
      <c r="P20" s="38">
        <f>SUM(D20:O20)</f>
        <v/>
      </c>
      <c r="Q20" s="131">
        <f>IF($D$2="체감온도","혹서기
체감온도 35°C 이상","혹서기
일최고기온 35°C 이상")</f>
        <v/>
      </c>
      <c r="R20">
        <f>IF($D$2="체감온도",2,4)</f>
        <v/>
      </c>
    </row>
    <row r="21" ht="24.95" customFormat="1" customHeight="1" s="36">
      <c r="A21" s="114" t="n"/>
      <c r="B21" s="114" t="n"/>
      <c r="C21" s="89" t="inlineStr">
        <is>
          <t>2015~2024</t>
        </is>
      </c>
      <c r="D21" s="38">
        <f>SUMIFS(기상자료!$F$2:$F$53,기상자료!$A$2:$A$53,$A$19,기상자료!$D$2:$D$53,$R21)</f>
        <v/>
      </c>
      <c r="E21" s="38">
        <f>SUMIFS(기상자료!$G$2:$G$53,기상자료!$A$2:$A$53,$A$19,기상자료!$D$2:$D$53,$R21)</f>
        <v/>
      </c>
      <c r="F21" s="38">
        <f>SUMIFS(기상자료!$H$2:$H$53,기상자료!$A$2:$A$53,$A$19,기상자료!$D$2:$D$53,$R21)</f>
        <v/>
      </c>
      <c r="G21" s="38">
        <f>SUMIFS(기상자료!$I$2:$I$53,기상자료!$A$2:$A$53,$A$19,기상자료!$D$2:$D$53,$R21)</f>
        <v/>
      </c>
      <c r="H21" s="38">
        <f>SUMIFS(기상자료!$J$2:$J$53,기상자료!$A$2:$A$53,$A$19,기상자료!$D$2:$D$53,$R21)</f>
        <v/>
      </c>
      <c r="I21" s="38">
        <f>SUMIFS(기상자료!$K$2:$K$53,기상자료!$A$2:$A$53,$A$19,기상자료!$D$2:$D$53,$R21)</f>
        <v/>
      </c>
      <c r="J21" s="38">
        <f>SUMIFS(기상자료!$L$2:$L$53,기상자료!$A$2:$A$53,$A$19,기상자료!$D$2:$D$53,$R21)</f>
        <v/>
      </c>
      <c r="K21" s="38">
        <f>SUMIFS(기상자료!$M$2:$M$53,기상자료!$A$2:$A$53,$A$19,기상자료!$D$2:$D$53,$R21)</f>
        <v/>
      </c>
      <c r="L21" s="38">
        <f>SUMIFS(기상자료!$N$2:$N$53,기상자료!$A$2:$A$53,$A$19,기상자료!$D$2:$D$53,$R21)</f>
        <v/>
      </c>
      <c r="M21" s="38">
        <f>SUMIFS(기상자료!$O$2:$O$53,기상자료!$A$2:$A$53,$A$19,기상자료!$D$2:$D$53,$R21)</f>
        <v/>
      </c>
      <c r="N21" s="38">
        <f>SUMIFS(기상자료!$P$2:$P$53,기상자료!$A$2:$A$53,$A$19,기상자료!$D$2:$D$53,$R21)</f>
        <v/>
      </c>
      <c r="O21" s="38">
        <f>SUMIFS(기상자료!$Q$2:$Q$53,기상자료!$A$2:$A$53,$A$19,기상자료!$D$2:$D$53,$R21)</f>
        <v/>
      </c>
      <c r="P21" s="38">
        <f>SUM(D21:O21)</f>
        <v/>
      </c>
      <c r="Q21" s="131" t="inlineStr">
        <is>
          <t>동절기
일최고기온 0°C 이하</t>
        </is>
      </c>
      <c r="R21" t="n">
        <v>5</v>
      </c>
    </row>
    <row r="22" ht="24.95" customFormat="1" customHeight="1" s="36">
      <c r="A22" s="114" t="n"/>
      <c r="B22" s="114" t="n"/>
      <c r="C22" s="89" t="inlineStr">
        <is>
          <t>2015~2024</t>
        </is>
      </c>
      <c r="D22" s="38">
        <f>SUMIFS(기상자료!$F$2:$F$53,기상자료!$A$2:$A$53,$A$19,기상자료!$D$2:$D$53,$R22)</f>
        <v/>
      </c>
      <c r="E22" s="38">
        <f>SUMIFS(기상자료!$G$2:$G$53,기상자료!$A$2:$A$53,$A$19,기상자료!$D$2:$D$53,$R22)</f>
        <v/>
      </c>
      <c r="F22" s="38">
        <f>SUMIFS(기상자료!$H$2:$H$53,기상자료!$A$2:$A$53,$A$19,기상자료!$D$2:$D$53,$R22)</f>
        <v/>
      </c>
      <c r="G22" s="38">
        <f>SUMIFS(기상자료!$I$2:$I$53,기상자료!$A$2:$A$53,$A$19,기상자료!$D$2:$D$53,$R22)</f>
        <v/>
      </c>
      <c r="H22" s="38">
        <f>SUMIFS(기상자료!$J$2:$J$53,기상자료!$A$2:$A$53,$A$19,기상자료!$D$2:$D$53,$R22)</f>
        <v/>
      </c>
      <c r="I22" s="38">
        <f>SUMIFS(기상자료!$K$2:$K$53,기상자료!$A$2:$A$53,$A$19,기상자료!$D$2:$D$53,$R22)</f>
        <v/>
      </c>
      <c r="J22" s="38">
        <f>SUMIFS(기상자료!$L$2:$L$53,기상자료!$A$2:$A$53,$A$19,기상자료!$D$2:$D$53,$R22)</f>
        <v/>
      </c>
      <c r="K22" s="38">
        <f>SUMIFS(기상자료!$M$2:$M$53,기상자료!$A$2:$A$53,$A$19,기상자료!$D$2:$D$53,$R22)</f>
        <v/>
      </c>
      <c r="L22" s="38">
        <f>SUMIFS(기상자료!$N$2:$N$53,기상자료!$A$2:$A$53,$A$19,기상자료!$D$2:$D$53,$R22)</f>
        <v/>
      </c>
      <c r="M22" s="38">
        <f>SUMIFS(기상자료!$O$2:$O$53,기상자료!$A$2:$A$53,$A$19,기상자료!$D$2:$D$53,$R22)</f>
        <v/>
      </c>
      <c r="N22" s="38">
        <f>SUMIFS(기상자료!$P$2:$P$53,기상자료!$A$2:$A$53,$A$19,기상자료!$D$2:$D$53,$R22)</f>
        <v/>
      </c>
      <c r="O22" s="38">
        <f>SUMIFS(기상자료!$Q$2:$Q$53,기상자료!$A$2:$A$53,$A$19,기상자료!$D$2:$D$53,$R22)</f>
        <v/>
      </c>
      <c r="P22" s="38">
        <f>SUM(D22:O22)</f>
        <v/>
      </c>
      <c r="Q22" s="131" t="inlineStr">
        <is>
          <t>동절기
신적설 5㎝ 이상</t>
        </is>
      </c>
      <c r="R22" t="n">
        <v>6</v>
      </c>
    </row>
    <row r="23" ht="24.95" customFormat="1" customHeight="1" s="36">
      <c r="A23" s="114" t="n"/>
      <c r="B23" s="114" t="n"/>
      <c r="C23" s="89" t="inlineStr">
        <is>
          <t>2015~2024</t>
        </is>
      </c>
      <c r="D23" s="38">
        <f>SUMIFS(기상자료!$F$2:$F$53,기상자료!$A$2:$A$53,$A$19,기상자료!$D$2:$D$53,$R23)</f>
        <v/>
      </c>
      <c r="E23" s="38">
        <f>SUMIFS(기상자료!$G$2:$G$53,기상자료!$A$2:$A$53,$A$19,기상자료!$D$2:$D$53,$R23)</f>
        <v/>
      </c>
      <c r="F23" s="38">
        <f>SUMIFS(기상자료!$H$2:$H$53,기상자료!$A$2:$A$53,$A$19,기상자료!$D$2:$D$53,$R23)</f>
        <v/>
      </c>
      <c r="G23" s="38">
        <f>SUMIFS(기상자료!$I$2:$I$53,기상자료!$A$2:$A$53,$A$19,기상자료!$D$2:$D$53,$R23)</f>
        <v/>
      </c>
      <c r="H23" s="38">
        <f>SUMIFS(기상자료!$J$2:$J$53,기상자료!$A$2:$A$53,$A$19,기상자료!$D$2:$D$53,$R23)</f>
        <v/>
      </c>
      <c r="I23" s="38">
        <f>SUMIFS(기상자료!$K$2:$K$53,기상자료!$A$2:$A$53,$A$19,기상자료!$D$2:$D$53,$R23)</f>
        <v/>
      </c>
      <c r="J23" s="38">
        <f>SUMIFS(기상자료!$L$2:$L$53,기상자료!$A$2:$A$53,$A$19,기상자료!$D$2:$D$53,$R23)</f>
        <v/>
      </c>
      <c r="K23" s="38">
        <f>SUMIFS(기상자료!$M$2:$M$53,기상자료!$A$2:$A$53,$A$19,기상자료!$D$2:$D$53,$R23)</f>
        <v/>
      </c>
      <c r="L23" s="38">
        <f>SUMIFS(기상자료!$N$2:$N$53,기상자료!$A$2:$A$53,$A$19,기상자료!$D$2:$D$53,$R23)</f>
        <v/>
      </c>
      <c r="M23" s="38">
        <f>SUMIFS(기상자료!$O$2:$O$53,기상자료!$A$2:$A$53,$A$19,기상자료!$D$2:$D$53,$R23)</f>
        <v/>
      </c>
      <c r="N23" s="38">
        <f>SUMIFS(기상자료!$P$2:$P$53,기상자료!$A$2:$A$53,$A$19,기상자료!$D$2:$D$53,$R23)</f>
        <v/>
      </c>
      <c r="O23" s="38">
        <f>SUMIFS(기상자료!$Q$2:$Q$53,기상자료!$A$2:$A$53,$A$19,기상자료!$D$2:$D$53,$R23)</f>
        <v/>
      </c>
      <c r="P23" s="38">
        <f>SUM(D23:O23)</f>
        <v/>
      </c>
      <c r="Q23" s="131" t="inlineStr">
        <is>
          <t>동절기 : 일최고기온 0°C 이하 및 신적설 5㎝ 이상</t>
        </is>
      </c>
      <c r="R23" t="n">
        <v>7</v>
      </c>
    </row>
    <row r="24" ht="24.95" customFormat="1" customHeight="1" s="36">
      <c r="A24" s="114" t="n"/>
      <c r="B24" s="114" t="n"/>
      <c r="C24" s="89" t="inlineStr">
        <is>
          <t>2015~2024</t>
        </is>
      </c>
      <c r="D24" s="38">
        <f>SUMIFS(기상자료!$F$2:$F$53,기상자료!$A$2:$A$53,$A$19,기상자료!$D$2:$D$53,$R24)</f>
        <v/>
      </c>
      <c r="E24" s="38">
        <f>SUMIFS(기상자료!$G$2:$G$53,기상자료!$A$2:$A$53,$A$19,기상자료!$D$2:$D$53,$R24)</f>
        <v/>
      </c>
      <c r="F24" s="38">
        <f>SUMIFS(기상자료!$H$2:$H$53,기상자료!$A$2:$A$53,$A$19,기상자료!$D$2:$D$53,$R24)</f>
        <v/>
      </c>
      <c r="G24" s="38">
        <f>SUMIFS(기상자료!$I$2:$I$53,기상자료!$A$2:$A$53,$A$19,기상자료!$D$2:$D$53,$R24)</f>
        <v/>
      </c>
      <c r="H24" s="38">
        <f>SUMIFS(기상자료!$J$2:$J$53,기상자료!$A$2:$A$53,$A$19,기상자료!$D$2:$D$53,$R24)</f>
        <v/>
      </c>
      <c r="I24" s="38">
        <f>SUMIFS(기상자료!$K$2:$K$53,기상자료!$A$2:$A$53,$A$19,기상자료!$D$2:$D$53,$R24)</f>
        <v/>
      </c>
      <c r="J24" s="38">
        <f>SUMIFS(기상자료!$L$2:$L$53,기상자료!$A$2:$A$53,$A$19,기상자료!$D$2:$D$53,$R24)</f>
        <v/>
      </c>
      <c r="K24" s="38">
        <f>SUMIFS(기상자료!$M$2:$M$53,기상자료!$A$2:$A$53,$A$19,기상자료!$D$2:$D$53,$R24)</f>
        <v/>
      </c>
      <c r="L24" s="38">
        <f>SUMIFS(기상자료!$N$2:$N$53,기상자료!$A$2:$A$53,$A$19,기상자료!$D$2:$D$53,$R24)</f>
        <v/>
      </c>
      <c r="M24" s="38">
        <f>SUMIFS(기상자료!$O$2:$O$53,기상자료!$A$2:$A$53,$A$19,기상자료!$D$2:$D$53,$R24)</f>
        <v/>
      </c>
      <c r="N24" s="38">
        <f>SUMIFS(기상자료!$P$2:$P$53,기상자료!$A$2:$A$53,$A$19,기상자료!$D$2:$D$53,$R24)</f>
        <v/>
      </c>
      <c r="O24" s="38">
        <f>SUMIFS(기상자료!$Q$2:$Q$53,기상자료!$A$2:$A$53,$A$19,기상자료!$D$2:$D$53,$R24)</f>
        <v/>
      </c>
      <c r="P24" s="38">
        <f>SUM(D24:O24)</f>
        <v/>
      </c>
      <c r="Q24" s="131" t="inlineStr">
        <is>
          <t>동절기 : 일최저기온 -12°C 이하</t>
        </is>
      </c>
      <c r="R24" t="n">
        <v>8</v>
      </c>
    </row>
    <row r="25" ht="24.95" customFormat="1" customHeight="1" s="36">
      <c r="A25" s="114" t="n"/>
      <c r="B25" s="114" t="n"/>
      <c r="C25" s="89" t="inlineStr">
        <is>
          <t>2015~2024</t>
        </is>
      </c>
      <c r="D25" s="38">
        <f>SUMIFS(기상자료!$F$2:$F$53,기상자료!$A$2:$A$53,$A$19,기상자료!$D$2:$D$53,$R25)</f>
        <v/>
      </c>
      <c r="E25" s="38">
        <f>SUMIFS(기상자료!$G$2:$G$53,기상자료!$A$2:$A$53,$A$19,기상자료!$D$2:$D$53,$R25)</f>
        <v/>
      </c>
      <c r="F25" s="38">
        <f>SUMIFS(기상자료!$H$2:$H$53,기상자료!$A$2:$A$53,$A$19,기상자료!$D$2:$D$53,$R25)</f>
        <v/>
      </c>
      <c r="G25" s="38">
        <f>SUMIFS(기상자료!$I$2:$I$53,기상자료!$A$2:$A$53,$A$19,기상자료!$D$2:$D$53,$R25)</f>
        <v/>
      </c>
      <c r="H25" s="38">
        <f>SUMIFS(기상자료!$J$2:$J$53,기상자료!$A$2:$A$53,$A$19,기상자료!$D$2:$D$53,$R25)</f>
        <v/>
      </c>
      <c r="I25" s="38">
        <f>SUMIFS(기상자료!$K$2:$K$53,기상자료!$A$2:$A$53,$A$19,기상자료!$D$2:$D$53,$R25)</f>
        <v/>
      </c>
      <c r="J25" s="38">
        <f>SUMIFS(기상자료!$L$2:$L$53,기상자료!$A$2:$A$53,$A$19,기상자료!$D$2:$D$53,$R25)</f>
        <v/>
      </c>
      <c r="K25" s="38">
        <f>SUMIFS(기상자료!$M$2:$M$53,기상자료!$A$2:$A$53,$A$19,기상자료!$D$2:$D$53,$R25)</f>
        <v/>
      </c>
      <c r="L25" s="38">
        <f>SUMIFS(기상자료!$N$2:$N$53,기상자료!$A$2:$A$53,$A$19,기상자료!$D$2:$D$53,$R25)</f>
        <v/>
      </c>
      <c r="M25" s="38">
        <f>SUMIFS(기상자료!$O$2:$O$53,기상자료!$A$2:$A$53,$A$19,기상자료!$D$2:$D$53,$R25)</f>
        <v/>
      </c>
      <c r="N25" s="38">
        <f>SUMIFS(기상자료!$P$2:$P$53,기상자료!$A$2:$A$53,$A$19,기상자료!$D$2:$D$53,$R25)</f>
        <v/>
      </c>
      <c r="O25" s="38">
        <f>SUMIFS(기상자료!$Q$2:$Q$53,기상자료!$A$2:$A$53,$A$19,기상자료!$D$2:$D$53,$R25)</f>
        <v/>
      </c>
      <c r="P25" s="38">
        <f>SUM(D25:O25)</f>
        <v/>
      </c>
      <c r="Q25" s="131" t="inlineStr">
        <is>
          <t>일강수량 : 5㎜ 이상</t>
        </is>
      </c>
      <c r="R25" t="n">
        <v>10</v>
      </c>
    </row>
    <row r="26" ht="24.95" customFormat="1" customHeight="1" s="36">
      <c r="A26" s="114" t="n"/>
      <c r="B26" s="114" t="n"/>
      <c r="C26" s="89" t="inlineStr">
        <is>
          <t>2015~2024</t>
        </is>
      </c>
      <c r="D26" s="38">
        <f>SUMIFS(기상자료!$F$2:$F$53,기상자료!$A$2:$A$53,$A$19,기상자료!$D$2:$D$53,$R26)</f>
        <v/>
      </c>
      <c r="E26" s="38">
        <f>SUMIFS(기상자료!$G$2:$G$53,기상자료!$A$2:$A$53,$A$19,기상자료!$D$2:$D$53,$R26)</f>
        <v/>
      </c>
      <c r="F26" s="38">
        <f>SUMIFS(기상자료!$H$2:$H$53,기상자료!$A$2:$A$53,$A$19,기상자료!$D$2:$D$53,$R26)</f>
        <v/>
      </c>
      <c r="G26" s="38">
        <f>SUMIFS(기상자료!$I$2:$I$53,기상자료!$A$2:$A$53,$A$19,기상자료!$D$2:$D$53,$R26)</f>
        <v/>
      </c>
      <c r="H26" s="38">
        <f>SUMIFS(기상자료!$J$2:$J$53,기상자료!$A$2:$A$53,$A$19,기상자료!$D$2:$D$53,$R26)</f>
        <v/>
      </c>
      <c r="I26" s="38">
        <f>SUMIFS(기상자료!$K$2:$K$53,기상자료!$A$2:$A$53,$A$19,기상자료!$D$2:$D$53,$R26)</f>
        <v/>
      </c>
      <c r="J26" s="38">
        <f>SUMIFS(기상자료!$L$2:$L$53,기상자료!$A$2:$A$53,$A$19,기상자료!$D$2:$D$53,$R26)</f>
        <v/>
      </c>
      <c r="K26" s="38">
        <f>SUMIFS(기상자료!$M$2:$M$53,기상자료!$A$2:$A$53,$A$19,기상자료!$D$2:$D$53,$R26)</f>
        <v/>
      </c>
      <c r="L26" s="38">
        <f>SUMIFS(기상자료!$N$2:$N$53,기상자료!$A$2:$A$53,$A$19,기상자료!$D$2:$D$53,$R26)</f>
        <v/>
      </c>
      <c r="M26" s="38">
        <f>SUMIFS(기상자료!$O$2:$O$53,기상자료!$A$2:$A$53,$A$19,기상자료!$D$2:$D$53,$R26)</f>
        <v/>
      </c>
      <c r="N26" s="38">
        <f>SUMIFS(기상자료!$P$2:$P$53,기상자료!$A$2:$A$53,$A$19,기상자료!$D$2:$D$53,$R26)</f>
        <v/>
      </c>
      <c r="O26" s="38">
        <f>SUMIFS(기상자료!$Q$2:$Q$53,기상자료!$A$2:$A$53,$A$19,기상자료!$D$2:$D$53,$R26)</f>
        <v/>
      </c>
      <c r="P26" s="38">
        <f>SUM(D26:O26)</f>
        <v/>
      </c>
      <c r="Q26" s="131" t="inlineStr">
        <is>
          <t>일강수량 : 10㎜ 이상</t>
        </is>
      </c>
      <c r="R26" t="n">
        <v>11</v>
      </c>
    </row>
    <row r="27" ht="24.95" customFormat="1" customHeight="1" s="36">
      <c r="A27" s="114" t="n"/>
      <c r="B27" s="114" t="n"/>
      <c r="C27" s="89" t="inlineStr">
        <is>
          <t>2015~2024</t>
        </is>
      </c>
      <c r="D27" s="38">
        <f>SUMIFS(기상자료!$F$2:$F$53,기상자료!$A$2:$A$53,$A$19,기상자료!$D$2:$D$53,$R27)</f>
        <v/>
      </c>
      <c r="E27" s="38">
        <f>SUMIFS(기상자료!$G$2:$G$53,기상자료!$A$2:$A$53,$A$19,기상자료!$D$2:$D$53,$R27)</f>
        <v/>
      </c>
      <c r="F27" s="38">
        <f>SUMIFS(기상자료!$H$2:$H$53,기상자료!$A$2:$A$53,$A$19,기상자료!$D$2:$D$53,$R27)</f>
        <v/>
      </c>
      <c r="G27" s="38">
        <f>SUMIFS(기상자료!$I$2:$I$53,기상자료!$A$2:$A$53,$A$19,기상자료!$D$2:$D$53,$R27)</f>
        <v/>
      </c>
      <c r="H27" s="38">
        <f>SUMIFS(기상자료!$J$2:$J$53,기상자료!$A$2:$A$53,$A$19,기상자료!$D$2:$D$53,$R27)</f>
        <v/>
      </c>
      <c r="I27" s="38">
        <f>SUMIFS(기상자료!$K$2:$K$53,기상자료!$A$2:$A$53,$A$19,기상자료!$D$2:$D$53,$R27)</f>
        <v/>
      </c>
      <c r="J27" s="38">
        <f>SUMIFS(기상자료!$L$2:$L$53,기상자료!$A$2:$A$53,$A$19,기상자료!$D$2:$D$53,$R27)</f>
        <v/>
      </c>
      <c r="K27" s="38">
        <f>SUMIFS(기상자료!$M$2:$M$53,기상자료!$A$2:$A$53,$A$19,기상자료!$D$2:$D$53,$R27)</f>
        <v/>
      </c>
      <c r="L27" s="38">
        <f>SUMIFS(기상자료!$N$2:$N$53,기상자료!$A$2:$A$53,$A$19,기상자료!$D$2:$D$53,$R27)</f>
        <v/>
      </c>
      <c r="M27" s="38">
        <f>SUMIFS(기상자료!$O$2:$O$53,기상자료!$A$2:$A$53,$A$19,기상자료!$D$2:$D$53,$R27)</f>
        <v/>
      </c>
      <c r="N27" s="38">
        <f>SUMIFS(기상자료!$P$2:$P$53,기상자료!$A$2:$A$53,$A$19,기상자료!$D$2:$D$53,$R27)</f>
        <v/>
      </c>
      <c r="O27" s="38">
        <f>SUMIFS(기상자료!$Q$2:$Q$53,기상자료!$A$2:$A$53,$A$19,기상자료!$D$2:$D$53,$R27)</f>
        <v/>
      </c>
      <c r="P27" s="38">
        <f>SUM(D27:O27)</f>
        <v/>
      </c>
      <c r="Q27" s="131" t="inlineStr">
        <is>
          <t>일강수량 : 20㎜ 이상</t>
        </is>
      </c>
      <c r="R27" t="n">
        <v>12</v>
      </c>
    </row>
    <row r="28" ht="24.95" customFormat="1" customHeight="1" s="36">
      <c r="A28" s="114" t="n"/>
      <c r="B28" s="114" t="n"/>
      <c r="C28" s="38" t="inlineStr">
        <is>
          <t>2015~2024</t>
        </is>
      </c>
      <c r="D28" s="38">
        <f>SUMIFS(기상자료!$F$2:$F$53,기상자료!$A$2:$A$53,$A$19,기상자료!$D$2:$D$53,$R28)</f>
        <v/>
      </c>
      <c r="E28" s="38">
        <f>SUMIFS(기상자료!$G$2:$G$53,기상자료!$A$2:$A$53,$A$19,기상자료!$D$2:$D$53,$R28)</f>
        <v/>
      </c>
      <c r="F28" s="38">
        <f>SUMIFS(기상자료!$H$2:$H$53,기상자료!$A$2:$A$53,$A$19,기상자료!$D$2:$D$53,$R28)</f>
        <v/>
      </c>
      <c r="G28" s="38">
        <f>SUMIFS(기상자료!$I$2:$I$53,기상자료!$A$2:$A$53,$A$19,기상자료!$D$2:$D$53,$R28)</f>
        <v/>
      </c>
      <c r="H28" s="38">
        <f>SUMIFS(기상자료!$J$2:$J$53,기상자료!$A$2:$A$53,$A$19,기상자료!$D$2:$D$53,$R28)</f>
        <v/>
      </c>
      <c r="I28" s="38">
        <f>SUMIFS(기상자료!$K$2:$K$53,기상자료!$A$2:$A$53,$A$19,기상자료!$D$2:$D$53,$R28)</f>
        <v/>
      </c>
      <c r="J28" s="38">
        <f>SUMIFS(기상자료!$L$2:$L$53,기상자료!$A$2:$A$53,$A$19,기상자료!$D$2:$D$53,$R28)</f>
        <v/>
      </c>
      <c r="K28" s="38">
        <f>SUMIFS(기상자료!$M$2:$M$53,기상자료!$A$2:$A$53,$A$19,기상자료!$D$2:$D$53,$R28)</f>
        <v/>
      </c>
      <c r="L28" s="38">
        <f>SUMIFS(기상자료!$N$2:$N$53,기상자료!$A$2:$A$53,$A$19,기상자료!$D$2:$D$53,$R28)</f>
        <v/>
      </c>
      <c r="M28" s="38">
        <f>SUMIFS(기상자료!$O$2:$O$53,기상자료!$A$2:$A$53,$A$19,기상자료!$D$2:$D$53,$R28)</f>
        <v/>
      </c>
      <c r="N28" s="38">
        <f>SUMIFS(기상자료!$P$2:$P$53,기상자료!$A$2:$A$53,$A$19,기상자료!$D$2:$D$53,$R28)</f>
        <v/>
      </c>
      <c r="O28" s="38">
        <f>SUMIFS(기상자료!$Q$2:$Q$53,기상자료!$A$2:$A$53,$A$19,기상자료!$D$2:$D$53,$R28)</f>
        <v/>
      </c>
      <c r="P28" s="38">
        <f>SUM(D28:O28)</f>
        <v/>
      </c>
      <c r="Q28" s="132" t="inlineStr">
        <is>
          <t>일최대순간풍속 : 15m/s 이상</t>
        </is>
      </c>
      <c r="R28" t="n">
        <v>13</v>
      </c>
    </row>
    <row r="29" ht="24.95" customFormat="1" customHeight="1" s="41">
      <c r="A29" s="110" t="n"/>
      <c r="B29" s="110"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row r="31" ht="24.95" customHeight="1" s="92">
      <c r="A31" s="89" t="inlineStr">
        <is>
          <t>지점코드</t>
        </is>
      </c>
      <c r="B31" s="89" t="inlineStr">
        <is>
          <t>지역 (선택)</t>
        </is>
      </c>
      <c r="C31" s="89" t="inlineStr">
        <is>
          <t>년</t>
        </is>
      </c>
      <c r="D31" s="89" t="inlineStr">
        <is>
          <t>월평균 기상데이터</t>
        </is>
      </c>
      <c r="E31" s="106" t="n"/>
      <c r="F31" s="106" t="n"/>
      <c r="G31" s="106" t="n"/>
      <c r="H31" s="106" t="n"/>
      <c r="I31" s="106" t="n"/>
      <c r="J31" s="106" t="n"/>
      <c r="K31" s="106" t="n"/>
      <c r="L31" s="106" t="n"/>
      <c r="M31" s="106" t="n"/>
      <c r="N31" s="106" t="n"/>
      <c r="O31" s="107" t="n"/>
      <c r="P31" s="89" t="inlineStr">
        <is>
          <t>소계</t>
        </is>
      </c>
      <c r="Q31" s="89" t="inlineStr">
        <is>
          <t>비 고</t>
        </is>
      </c>
    </row>
    <row r="32" ht="24.95" customHeight="1" s="92">
      <c r="A32" s="110" t="n"/>
      <c r="B32" s="110" t="n"/>
      <c r="C32" s="110" t="n"/>
      <c r="D32" s="89" t="inlineStr">
        <is>
          <t>1월</t>
        </is>
      </c>
      <c r="E32" s="89" t="inlineStr">
        <is>
          <t>2월</t>
        </is>
      </c>
      <c r="F32" s="89" t="inlineStr">
        <is>
          <t>3월</t>
        </is>
      </c>
      <c r="G32" s="89" t="inlineStr">
        <is>
          <t>4월</t>
        </is>
      </c>
      <c r="H32" s="89" t="inlineStr">
        <is>
          <t>5월</t>
        </is>
      </c>
      <c r="I32" s="89" t="inlineStr">
        <is>
          <t>6월</t>
        </is>
      </c>
      <c r="J32" s="89" t="inlineStr">
        <is>
          <t>7월</t>
        </is>
      </c>
      <c r="K32" s="89" t="inlineStr">
        <is>
          <t>8월</t>
        </is>
      </c>
      <c r="L32" s="89" t="inlineStr">
        <is>
          <t>9월</t>
        </is>
      </c>
      <c r="M32" s="89" t="inlineStr">
        <is>
          <t>10월</t>
        </is>
      </c>
      <c r="N32" s="89" t="inlineStr">
        <is>
          <t>11월</t>
        </is>
      </c>
      <c r="O32" s="89" t="inlineStr">
        <is>
          <t>12월</t>
        </is>
      </c>
      <c r="P32" s="110" t="n"/>
      <c r="Q32" s="110" t="n"/>
    </row>
    <row r="33" ht="24.95" customHeight="1" s="92">
      <c r="A33" s="89">
        <f>INDEX(지점목록!$C$2:$C$5,MATCH($B$33,지점목록!$A$2:$A$5,0))</f>
        <v/>
      </c>
      <c r="B33" s="89" t="inlineStr">
        <is>
          <t>고산</t>
        </is>
      </c>
      <c r="C33" s="89" t="inlineStr">
        <is>
          <t>2015~2024</t>
        </is>
      </c>
      <c r="D33" s="38">
        <f>SUMIFS(기상자료!$F$2:$F$53,기상자료!$A$2:$A$53,$A$33,기상자료!$D$2:$D$53,$R33)</f>
        <v/>
      </c>
      <c r="E33" s="38">
        <f>SUMIFS(기상자료!$G$2:$G$53,기상자료!$A$2:$A$53,$A$33,기상자료!$D$2:$D$53,$R33)</f>
        <v/>
      </c>
      <c r="F33" s="38">
        <f>SUMIFS(기상자료!$H$2:$H$53,기상자료!$A$2:$A$53,$A$33,기상자료!$D$2:$D$53,$R33)</f>
        <v/>
      </c>
      <c r="G33" s="38">
        <f>SUMIFS(기상자료!$I$2:$I$53,기상자료!$A$2:$A$53,$A$33,기상자료!$D$2:$D$53,$R33)</f>
        <v/>
      </c>
      <c r="H33" s="38">
        <f>SUMIFS(기상자료!$J$2:$J$53,기상자료!$A$2:$A$53,$A$33,기상자료!$D$2:$D$53,$R33)</f>
        <v/>
      </c>
      <c r="I33" s="38">
        <f>SUMIFS(기상자료!$K$2:$K$53,기상자료!$A$2:$A$53,$A$33,기상자료!$D$2:$D$53,$R33)</f>
        <v/>
      </c>
      <c r="J33" s="38">
        <f>SUMIFS(기상자료!$L$2:$L$53,기상자료!$A$2:$A$53,$A$33,기상자료!$D$2:$D$53,$R33)</f>
        <v/>
      </c>
      <c r="K33" s="38">
        <f>SUMIFS(기상자료!$M$2:$M$53,기상자료!$A$2:$A$53,$A$33,기상자료!$D$2:$D$53,$R33)</f>
        <v/>
      </c>
      <c r="L33" s="38">
        <f>SUMIFS(기상자료!$N$2:$N$53,기상자료!$A$2:$A$53,$A$33,기상자료!$D$2:$D$53,$R33)</f>
        <v/>
      </c>
      <c r="M33" s="38">
        <f>SUMIFS(기상자료!$O$2:$O$53,기상자료!$A$2:$A$53,$A$33,기상자료!$D$2:$D$53,$R33)</f>
        <v/>
      </c>
      <c r="N33" s="38">
        <f>SUMIFS(기상자료!$P$2:$P$53,기상자료!$A$2:$A$53,$A$33,기상자료!$D$2:$D$53,$R33)</f>
        <v/>
      </c>
      <c r="O33" s="38">
        <f>SUMIFS(기상자료!$Q$2:$Q$53,기상자료!$A$2:$A$53,$A$33,기상자료!$D$2:$D$53,$R33)</f>
        <v/>
      </c>
      <c r="P33" s="38">
        <f>SUM(D33:O33)</f>
        <v/>
      </c>
      <c r="Q33" s="131">
        <f>IF($D$2="체감온도","혹서기
체감온도 33°C 이상","혹서기
일최고기온 33°C 이상")</f>
        <v/>
      </c>
      <c r="R33">
        <f>IF($D$2="체감온도",1,3)</f>
        <v/>
      </c>
    </row>
    <row r="34" ht="24.95" customHeight="1" s="92">
      <c r="A34" s="114" t="n"/>
      <c r="B34" s="114" t="n"/>
      <c r="C34" s="89" t="inlineStr">
        <is>
          <t>2015~2024</t>
        </is>
      </c>
      <c r="D34" s="38">
        <f>SUMIFS(기상자료!$F$2:$F$53,기상자료!$A$2:$A$53,$A$33,기상자료!$D$2:$D$53,$R34)</f>
        <v/>
      </c>
      <c r="E34" s="38">
        <f>SUMIFS(기상자료!$G$2:$G$53,기상자료!$A$2:$A$53,$A$33,기상자료!$D$2:$D$53,$R34)</f>
        <v/>
      </c>
      <c r="F34" s="38">
        <f>SUMIFS(기상자료!$H$2:$H$53,기상자료!$A$2:$A$53,$A$33,기상자료!$D$2:$D$53,$R34)</f>
        <v/>
      </c>
      <c r="G34" s="38">
        <f>SUMIFS(기상자료!$I$2:$I$53,기상자료!$A$2:$A$53,$A$33,기상자료!$D$2:$D$53,$R34)</f>
        <v/>
      </c>
      <c r="H34" s="38">
        <f>SUMIFS(기상자료!$J$2:$J$53,기상자료!$A$2:$A$53,$A$33,기상자료!$D$2:$D$53,$R34)</f>
        <v/>
      </c>
      <c r="I34" s="38">
        <f>SUMIFS(기상자료!$K$2:$K$53,기상자료!$A$2:$A$53,$A$33,기상자료!$D$2:$D$53,$R34)</f>
        <v/>
      </c>
      <c r="J34" s="38">
        <f>SUMIFS(기상자료!$L$2:$L$53,기상자료!$A$2:$A$53,$A$33,기상자료!$D$2:$D$53,$R34)</f>
        <v/>
      </c>
      <c r="K34" s="38">
        <f>SUMIFS(기상자료!$M$2:$M$53,기상자료!$A$2:$A$53,$A$33,기상자료!$D$2:$D$53,$R34)</f>
        <v/>
      </c>
      <c r="L34" s="38">
        <f>SUMIFS(기상자료!$N$2:$N$53,기상자료!$A$2:$A$53,$A$33,기상자료!$D$2:$D$53,$R34)</f>
        <v/>
      </c>
      <c r="M34" s="38">
        <f>SUMIFS(기상자료!$O$2:$O$53,기상자료!$A$2:$A$53,$A$33,기상자료!$D$2:$D$53,$R34)</f>
        <v/>
      </c>
      <c r="N34" s="38">
        <f>SUMIFS(기상자료!$P$2:$P$53,기상자료!$A$2:$A$53,$A$33,기상자료!$D$2:$D$53,$R34)</f>
        <v/>
      </c>
      <c r="O34" s="38">
        <f>SUMIFS(기상자료!$Q$2:$Q$53,기상자료!$A$2:$A$53,$A$33,기상자료!$D$2:$D$53,$R34)</f>
        <v/>
      </c>
      <c r="P34" s="38">
        <f>SUM(D34:O34)</f>
        <v/>
      </c>
      <c r="Q34" s="131">
        <f>IF($D$2="체감온도","혹서기
체감온도 35°C 이상","혹서기
일최고기온 35°C 이상")</f>
        <v/>
      </c>
      <c r="R34">
        <f>IF($D$2="체감온도",2,4)</f>
        <v/>
      </c>
    </row>
    <row r="35" ht="24.95" customHeight="1" s="92">
      <c r="A35" s="114" t="n"/>
      <c r="B35" s="114" t="n"/>
      <c r="C35" s="89" t="inlineStr">
        <is>
          <t>2015~2024</t>
        </is>
      </c>
      <c r="D35" s="38">
        <f>SUMIFS(기상자료!$F$2:$F$53,기상자료!$A$2:$A$53,$A$33,기상자료!$D$2:$D$53,$R35)</f>
        <v/>
      </c>
      <c r="E35" s="38">
        <f>SUMIFS(기상자료!$G$2:$G$53,기상자료!$A$2:$A$53,$A$33,기상자료!$D$2:$D$53,$R35)</f>
        <v/>
      </c>
      <c r="F35" s="38">
        <f>SUMIFS(기상자료!$H$2:$H$53,기상자료!$A$2:$A$53,$A$33,기상자료!$D$2:$D$53,$R35)</f>
        <v/>
      </c>
      <c r="G35" s="38">
        <f>SUMIFS(기상자료!$I$2:$I$53,기상자료!$A$2:$A$53,$A$33,기상자료!$D$2:$D$53,$R35)</f>
        <v/>
      </c>
      <c r="H35" s="38">
        <f>SUMIFS(기상자료!$J$2:$J$53,기상자료!$A$2:$A$53,$A$33,기상자료!$D$2:$D$53,$R35)</f>
        <v/>
      </c>
      <c r="I35" s="38">
        <f>SUMIFS(기상자료!$K$2:$K$53,기상자료!$A$2:$A$53,$A$33,기상자료!$D$2:$D$53,$R35)</f>
        <v/>
      </c>
      <c r="J35" s="38">
        <f>SUMIFS(기상자료!$L$2:$L$53,기상자료!$A$2:$A$53,$A$33,기상자료!$D$2:$D$53,$R35)</f>
        <v/>
      </c>
      <c r="K35" s="38">
        <f>SUMIFS(기상자료!$M$2:$M$53,기상자료!$A$2:$A$53,$A$33,기상자료!$D$2:$D$53,$R35)</f>
        <v/>
      </c>
      <c r="L35" s="38">
        <f>SUMIFS(기상자료!$N$2:$N$53,기상자료!$A$2:$A$53,$A$33,기상자료!$D$2:$D$53,$R35)</f>
        <v/>
      </c>
      <c r="M35" s="38">
        <f>SUMIFS(기상자료!$O$2:$O$53,기상자료!$A$2:$A$53,$A$33,기상자료!$D$2:$D$53,$R35)</f>
        <v/>
      </c>
      <c r="N35" s="38">
        <f>SUMIFS(기상자료!$P$2:$P$53,기상자료!$A$2:$A$53,$A$33,기상자료!$D$2:$D$53,$R35)</f>
        <v/>
      </c>
      <c r="O35" s="38">
        <f>SUMIFS(기상자료!$Q$2:$Q$53,기상자료!$A$2:$A$53,$A$33,기상자료!$D$2:$D$53,$R35)</f>
        <v/>
      </c>
      <c r="P35" s="38">
        <f>SUM(D35:O35)</f>
        <v/>
      </c>
      <c r="Q35" s="131" t="inlineStr">
        <is>
          <t>동절기
일최고기온 0°C 이하</t>
        </is>
      </c>
      <c r="R35" t="n">
        <v>5</v>
      </c>
    </row>
    <row r="36" ht="24.95" customHeight="1" s="92">
      <c r="A36" s="114" t="n"/>
      <c r="B36" s="114" t="n"/>
      <c r="C36" s="89" t="inlineStr">
        <is>
          <t>2015~2024</t>
        </is>
      </c>
      <c r="D36" s="38">
        <f>SUMIFS(기상자료!$F$2:$F$53,기상자료!$A$2:$A$53,$A$33,기상자료!$D$2:$D$53,$R36)</f>
        <v/>
      </c>
      <c r="E36" s="38">
        <f>SUMIFS(기상자료!$G$2:$G$53,기상자료!$A$2:$A$53,$A$33,기상자료!$D$2:$D$53,$R36)</f>
        <v/>
      </c>
      <c r="F36" s="38">
        <f>SUMIFS(기상자료!$H$2:$H$53,기상자료!$A$2:$A$53,$A$33,기상자료!$D$2:$D$53,$R36)</f>
        <v/>
      </c>
      <c r="G36" s="38">
        <f>SUMIFS(기상자료!$I$2:$I$53,기상자료!$A$2:$A$53,$A$33,기상자료!$D$2:$D$53,$R36)</f>
        <v/>
      </c>
      <c r="H36" s="38">
        <f>SUMIFS(기상자료!$J$2:$J$53,기상자료!$A$2:$A$53,$A$33,기상자료!$D$2:$D$53,$R36)</f>
        <v/>
      </c>
      <c r="I36" s="38">
        <f>SUMIFS(기상자료!$K$2:$K$53,기상자료!$A$2:$A$53,$A$33,기상자료!$D$2:$D$53,$R36)</f>
        <v/>
      </c>
      <c r="J36" s="38">
        <f>SUMIFS(기상자료!$L$2:$L$53,기상자료!$A$2:$A$53,$A$33,기상자료!$D$2:$D$53,$R36)</f>
        <v/>
      </c>
      <c r="K36" s="38">
        <f>SUMIFS(기상자료!$M$2:$M$53,기상자료!$A$2:$A$53,$A$33,기상자료!$D$2:$D$53,$R36)</f>
        <v/>
      </c>
      <c r="L36" s="38">
        <f>SUMIFS(기상자료!$N$2:$N$53,기상자료!$A$2:$A$53,$A$33,기상자료!$D$2:$D$53,$R36)</f>
        <v/>
      </c>
      <c r="M36" s="38">
        <f>SUMIFS(기상자료!$O$2:$O$53,기상자료!$A$2:$A$53,$A$33,기상자료!$D$2:$D$53,$R36)</f>
        <v/>
      </c>
      <c r="N36" s="38">
        <f>SUMIFS(기상자료!$P$2:$P$53,기상자료!$A$2:$A$53,$A$33,기상자료!$D$2:$D$53,$R36)</f>
        <v/>
      </c>
      <c r="O36" s="38">
        <f>SUMIFS(기상자료!$Q$2:$Q$53,기상자료!$A$2:$A$53,$A$33,기상자료!$D$2:$D$53,$R36)</f>
        <v/>
      </c>
      <c r="P36" s="38">
        <f>SUM(D36:O36)</f>
        <v/>
      </c>
      <c r="Q36" s="131" t="inlineStr">
        <is>
          <t>동절기
신적설 5㎝ 이상</t>
        </is>
      </c>
      <c r="R36" t="n">
        <v>6</v>
      </c>
    </row>
    <row r="37" ht="24.95" customHeight="1" s="92">
      <c r="A37" s="114" t="n"/>
      <c r="B37" s="114" t="n"/>
      <c r="C37" s="89" t="inlineStr">
        <is>
          <t>2015~2024</t>
        </is>
      </c>
      <c r="D37" s="38">
        <f>SUMIFS(기상자료!$F$2:$F$53,기상자료!$A$2:$A$53,$A$33,기상자료!$D$2:$D$53,$R37)</f>
        <v/>
      </c>
      <c r="E37" s="38">
        <f>SUMIFS(기상자료!$G$2:$G$53,기상자료!$A$2:$A$53,$A$33,기상자료!$D$2:$D$53,$R37)</f>
        <v/>
      </c>
      <c r="F37" s="38">
        <f>SUMIFS(기상자료!$H$2:$H$53,기상자료!$A$2:$A$53,$A$33,기상자료!$D$2:$D$53,$R37)</f>
        <v/>
      </c>
      <c r="G37" s="38">
        <f>SUMIFS(기상자료!$I$2:$I$53,기상자료!$A$2:$A$53,$A$33,기상자료!$D$2:$D$53,$R37)</f>
        <v/>
      </c>
      <c r="H37" s="38">
        <f>SUMIFS(기상자료!$J$2:$J$53,기상자료!$A$2:$A$53,$A$33,기상자료!$D$2:$D$53,$R37)</f>
        <v/>
      </c>
      <c r="I37" s="38">
        <f>SUMIFS(기상자료!$K$2:$K$53,기상자료!$A$2:$A$53,$A$33,기상자료!$D$2:$D$53,$R37)</f>
        <v/>
      </c>
      <c r="J37" s="38">
        <f>SUMIFS(기상자료!$L$2:$L$53,기상자료!$A$2:$A$53,$A$33,기상자료!$D$2:$D$53,$R37)</f>
        <v/>
      </c>
      <c r="K37" s="38">
        <f>SUMIFS(기상자료!$M$2:$M$53,기상자료!$A$2:$A$53,$A$33,기상자료!$D$2:$D$53,$R37)</f>
        <v/>
      </c>
      <c r="L37" s="38">
        <f>SUMIFS(기상자료!$N$2:$N$53,기상자료!$A$2:$A$53,$A$33,기상자료!$D$2:$D$53,$R37)</f>
        <v/>
      </c>
      <c r="M37" s="38">
        <f>SUMIFS(기상자료!$O$2:$O$53,기상자료!$A$2:$A$53,$A$33,기상자료!$D$2:$D$53,$R37)</f>
        <v/>
      </c>
      <c r="N37" s="38">
        <f>SUMIFS(기상자료!$P$2:$P$53,기상자료!$A$2:$A$53,$A$33,기상자료!$D$2:$D$53,$R37)</f>
        <v/>
      </c>
      <c r="O37" s="38">
        <f>SUMIFS(기상자료!$Q$2:$Q$53,기상자료!$A$2:$A$53,$A$33,기상자료!$D$2:$D$53,$R37)</f>
        <v/>
      </c>
      <c r="P37" s="38">
        <f>SUM(D37:O37)</f>
        <v/>
      </c>
      <c r="Q37" s="131" t="inlineStr">
        <is>
          <t>동절기 : 일최고기온 0°C 이하 및 신적설 5㎝ 이상</t>
        </is>
      </c>
      <c r="R37" t="n">
        <v>7</v>
      </c>
    </row>
    <row r="38" ht="24.95" customHeight="1" s="92">
      <c r="A38" s="114" t="n"/>
      <c r="B38" s="114" t="n"/>
      <c r="C38" s="89" t="inlineStr">
        <is>
          <t>2015~2024</t>
        </is>
      </c>
      <c r="D38" s="38">
        <f>SUMIFS(기상자료!$F$2:$F$53,기상자료!$A$2:$A$53,$A$33,기상자료!$D$2:$D$53,$R38)</f>
        <v/>
      </c>
      <c r="E38" s="38">
        <f>SUMIFS(기상자료!$G$2:$G$53,기상자료!$A$2:$A$53,$A$33,기상자료!$D$2:$D$53,$R38)</f>
        <v/>
      </c>
      <c r="F38" s="38">
        <f>SUMIFS(기상자료!$H$2:$H$53,기상자료!$A$2:$A$53,$A$33,기상자료!$D$2:$D$53,$R38)</f>
        <v/>
      </c>
      <c r="G38" s="38">
        <f>SUMIFS(기상자료!$I$2:$I$53,기상자료!$A$2:$A$53,$A$33,기상자료!$D$2:$D$53,$R38)</f>
        <v/>
      </c>
      <c r="H38" s="38">
        <f>SUMIFS(기상자료!$J$2:$J$53,기상자료!$A$2:$A$53,$A$33,기상자료!$D$2:$D$53,$R38)</f>
        <v/>
      </c>
      <c r="I38" s="38">
        <f>SUMIFS(기상자료!$K$2:$K$53,기상자료!$A$2:$A$53,$A$33,기상자료!$D$2:$D$53,$R38)</f>
        <v/>
      </c>
      <c r="J38" s="38">
        <f>SUMIFS(기상자료!$L$2:$L$53,기상자료!$A$2:$A$53,$A$33,기상자료!$D$2:$D$53,$R38)</f>
        <v/>
      </c>
      <c r="K38" s="38">
        <f>SUMIFS(기상자료!$M$2:$M$53,기상자료!$A$2:$A$53,$A$33,기상자료!$D$2:$D$53,$R38)</f>
        <v/>
      </c>
      <c r="L38" s="38">
        <f>SUMIFS(기상자료!$N$2:$N$53,기상자료!$A$2:$A$53,$A$33,기상자료!$D$2:$D$53,$R38)</f>
        <v/>
      </c>
      <c r="M38" s="38">
        <f>SUMIFS(기상자료!$O$2:$O$53,기상자료!$A$2:$A$53,$A$33,기상자료!$D$2:$D$53,$R38)</f>
        <v/>
      </c>
      <c r="N38" s="38">
        <f>SUMIFS(기상자료!$P$2:$P$53,기상자료!$A$2:$A$53,$A$33,기상자료!$D$2:$D$53,$R38)</f>
        <v/>
      </c>
      <c r="O38" s="38">
        <f>SUMIFS(기상자료!$Q$2:$Q$53,기상자료!$A$2:$A$53,$A$33,기상자료!$D$2:$D$53,$R38)</f>
        <v/>
      </c>
      <c r="P38" s="38">
        <f>SUM(D38:O38)</f>
        <v/>
      </c>
      <c r="Q38" s="131" t="inlineStr">
        <is>
          <t>동절기 : 일최저기온 -12°C 이하</t>
        </is>
      </c>
      <c r="R38" t="n">
        <v>8</v>
      </c>
    </row>
    <row r="39" ht="24.95" customHeight="1" s="92">
      <c r="A39" s="114" t="n"/>
      <c r="B39" s="114" t="n"/>
      <c r="C39" s="89" t="inlineStr">
        <is>
          <t>2015~2024</t>
        </is>
      </c>
      <c r="D39" s="38">
        <f>SUMIFS(기상자료!$F$2:$F$53,기상자료!$A$2:$A$53,$A$33,기상자료!$D$2:$D$53,$R39)</f>
        <v/>
      </c>
      <c r="E39" s="38">
        <f>SUMIFS(기상자료!$G$2:$G$53,기상자료!$A$2:$A$53,$A$33,기상자료!$D$2:$D$53,$R39)</f>
        <v/>
      </c>
      <c r="F39" s="38">
        <f>SUMIFS(기상자료!$H$2:$H$53,기상자료!$A$2:$A$53,$A$33,기상자료!$D$2:$D$53,$R39)</f>
        <v/>
      </c>
      <c r="G39" s="38">
        <f>SUMIFS(기상자료!$I$2:$I$53,기상자료!$A$2:$A$53,$A$33,기상자료!$D$2:$D$53,$R39)</f>
        <v/>
      </c>
      <c r="H39" s="38">
        <f>SUMIFS(기상자료!$J$2:$J$53,기상자료!$A$2:$A$53,$A$33,기상자료!$D$2:$D$53,$R39)</f>
        <v/>
      </c>
      <c r="I39" s="38">
        <f>SUMIFS(기상자료!$K$2:$K$53,기상자료!$A$2:$A$53,$A$33,기상자료!$D$2:$D$53,$R39)</f>
        <v/>
      </c>
      <c r="J39" s="38">
        <f>SUMIFS(기상자료!$L$2:$L$53,기상자료!$A$2:$A$53,$A$33,기상자료!$D$2:$D$53,$R39)</f>
        <v/>
      </c>
      <c r="K39" s="38">
        <f>SUMIFS(기상자료!$M$2:$M$53,기상자료!$A$2:$A$53,$A$33,기상자료!$D$2:$D$53,$R39)</f>
        <v/>
      </c>
      <c r="L39" s="38">
        <f>SUMIFS(기상자료!$N$2:$N$53,기상자료!$A$2:$A$53,$A$33,기상자료!$D$2:$D$53,$R39)</f>
        <v/>
      </c>
      <c r="M39" s="38">
        <f>SUMIFS(기상자료!$O$2:$O$53,기상자료!$A$2:$A$53,$A$33,기상자료!$D$2:$D$53,$R39)</f>
        <v/>
      </c>
      <c r="N39" s="38">
        <f>SUMIFS(기상자료!$P$2:$P$53,기상자료!$A$2:$A$53,$A$33,기상자료!$D$2:$D$53,$R39)</f>
        <v/>
      </c>
      <c r="O39" s="38">
        <f>SUMIFS(기상자료!$Q$2:$Q$53,기상자료!$A$2:$A$53,$A$33,기상자료!$D$2:$D$53,$R39)</f>
        <v/>
      </c>
      <c r="P39" s="38">
        <f>SUM(D39:O39)</f>
        <v/>
      </c>
      <c r="Q39" s="131" t="inlineStr">
        <is>
          <t>일강수량 : 5㎜ 이상</t>
        </is>
      </c>
      <c r="R39" t="n">
        <v>10</v>
      </c>
    </row>
    <row r="40" ht="24.95" customHeight="1" s="92">
      <c r="A40" s="114" t="n"/>
      <c r="B40" s="114" t="n"/>
      <c r="C40" s="89" t="inlineStr">
        <is>
          <t>2015~2024</t>
        </is>
      </c>
      <c r="D40" s="38">
        <f>SUMIFS(기상자료!$F$2:$F$53,기상자료!$A$2:$A$53,$A$33,기상자료!$D$2:$D$53,$R40)</f>
        <v/>
      </c>
      <c r="E40" s="38">
        <f>SUMIFS(기상자료!$G$2:$G$53,기상자료!$A$2:$A$53,$A$33,기상자료!$D$2:$D$53,$R40)</f>
        <v/>
      </c>
      <c r="F40" s="38">
        <f>SUMIFS(기상자료!$H$2:$H$53,기상자료!$A$2:$A$53,$A$33,기상자료!$D$2:$D$53,$R40)</f>
        <v/>
      </c>
      <c r="G40" s="38">
        <f>SUMIFS(기상자료!$I$2:$I$53,기상자료!$A$2:$A$53,$A$33,기상자료!$D$2:$D$53,$R40)</f>
        <v/>
      </c>
      <c r="H40" s="38">
        <f>SUMIFS(기상자료!$J$2:$J$53,기상자료!$A$2:$A$53,$A$33,기상자료!$D$2:$D$53,$R40)</f>
        <v/>
      </c>
      <c r="I40" s="38">
        <f>SUMIFS(기상자료!$K$2:$K$53,기상자료!$A$2:$A$53,$A$33,기상자료!$D$2:$D$53,$R40)</f>
        <v/>
      </c>
      <c r="J40" s="38">
        <f>SUMIFS(기상자료!$L$2:$L$53,기상자료!$A$2:$A$53,$A$33,기상자료!$D$2:$D$53,$R40)</f>
        <v/>
      </c>
      <c r="K40" s="38">
        <f>SUMIFS(기상자료!$M$2:$M$53,기상자료!$A$2:$A$53,$A$33,기상자료!$D$2:$D$53,$R40)</f>
        <v/>
      </c>
      <c r="L40" s="38">
        <f>SUMIFS(기상자료!$N$2:$N$53,기상자료!$A$2:$A$53,$A$33,기상자료!$D$2:$D$53,$R40)</f>
        <v/>
      </c>
      <c r="M40" s="38">
        <f>SUMIFS(기상자료!$O$2:$O$53,기상자료!$A$2:$A$53,$A$33,기상자료!$D$2:$D$53,$R40)</f>
        <v/>
      </c>
      <c r="N40" s="38">
        <f>SUMIFS(기상자료!$P$2:$P$53,기상자료!$A$2:$A$53,$A$33,기상자료!$D$2:$D$53,$R40)</f>
        <v/>
      </c>
      <c r="O40" s="38">
        <f>SUMIFS(기상자료!$Q$2:$Q$53,기상자료!$A$2:$A$53,$A$33,기상자료!$D$2:$D$53,$R40)</f>
        <v/>
      </c>
      <c r="P40" s="38">
        <f>SUM(D40:O40)</f>
        <v/>
      </c>
      <c r="Q40" s="131" t="inlineStr">
        <is>
          <t>일강수량 : 10㎜ 이상</t>
        </is>
      </c>
      <c r="R40" t="n">
        <v>11</v>
      </c>
    </row>
    <row r="41" ht="24.95" customHeight="1" s="92">
      <c r="A41" s="114" t="n"/>
      <c r="B41" s="114" t="n"/>
      <c r="C41" s="89" t="inlineStr">
        <is>
          <t>2015~2024</t>
        </is>
      </c>
      <c r="D41" s="38">
        <f>SUMIFS(기상자료!$F$2:$F$53,기상자료!$A$2:$A$53,$A$33,기상자료!$D$2:$D$53,$R41)</f>
        <v/>
      </c>
      <c r="E41" s="38">
        <f>SUMIFS(기상자료!$G$2:$G$53,기상자료!$A$2:$A$53,$A$33,기상자료!$D$2:$D$53,$R41)</f>
        <v/>
      </c>
      <c r="F41" s="38">
        <f>SUMIFS(기상자료!$H$2:$H$53,기상자료!$A$2:$A$53,$A$33,기상자료!$D$2:$D$53,$R41)</f>
        <v/>
      </c>
      <c r="G41" s="38">
        <f>SUMIFS(기상자료!$I$2:$I$53,기상자료!$A$2:$A$53,$A$33,기상자료!$D$2:$D$53,$R41)</f>
        <v/>
      </c>
      <c r="H41" s="38">
        <f>SUMIFS(기상자료!$J$2:$J$53,기상자료!$A$2:$A$53,$A$33,기상자료!$D$2:$D$53,$R41)</f>
        <v/>
      </c>
      <c r="I41" s="38">
        <f>SUMIFS(기상자료!$K$2:$K$53,기상자료!$A$2:$A$53,$A$33,기상자료!$D$2:$D$53,$R41)</f>
        <v/>
      </c>
      <c r="J41" s="38">
        <f>SUMIFS(기상자료!$L$2:$L$53,기상자료!$A$2:$A$53,$A$33,기상자료!$D$2:$D$53,$R41)</f>
        <v/>
      </c>
      <c r="K41" s="38">
        <f>SUMIFS(기상자료!$M$2:$M$53,기상자료!$A$2:$A$53,$A$33,기상자료!$D$2:$D$53,$R41)</f>
        <v/>
      </c>
      <c r="L41" s="38">
        <f>SUMIFS(기상자료!$N$2:$N$53,기상자료!$A$2:$A$53,$A$33,기상자료!$D$2:$D$53,$R41)</f>
        <v/>
      </c>
      <c r="M41" s="38">
        <f>SUMIFS(기상자료!$O$2:$O$53,기상자료!$A$2:$A$53,$A$33,기상자료!$D$2:$D$53,$R41)</f>
        <v/>
      </c>
      <c r="N41" s="38">
        <f>SUMIFS(기상자료!$P$2:$P$53,기상자료!$A$2:$A$53,$A$33,기상자료!$D$2:$D$53,$R41)</f>
        <v/>
      </c>
      <c r="O41" s="38">
        <f>SUMIFS(기상자료!$Q$2:$Q$53,기상자료!$A$2:$A$53,$A$33,기상자료!$D$2:$D$53,$R41)</f>
        <v/>
      </c>
      <c r="P41" s="38">
        <f>SUM(D41:O41)</f>
        <v/>
      </c>
      <c r="Q41" s="131" t="inlineStr">
        <is>
          <t>일강수량 : 20㎜ 이상</t>
        </is>
      </c>
      <c r="R41" t="n">
        <v>12</v>
      </c>
    </row>
    <row r="42" ht="24.95" customHeight="1" s="92">
      <c r="A42" s="114" t="n"/>
      <c r="B42" s="114" t="n"/>
      <c r="C42" s="38" t="inlineStr">
        <is>
          <t>2015~2024</t>
        </is>
      </c>
      <c r="D42" s="38">
        <f>SUMIFS(기상자료!$F$2:$F$53,기상자료!$A$2:$A$53,$A$33,기상자료!$D$2:$D$53,$R42)</f>
        <v/>
      </c>
      <c r="E42" s="38">
        <f>SUMIFS(기상자료!$G$2:$G$53,기상자료!$A$2:$A$53,$A$33,기상자료!$D$2:$D$53,$R42)</f>
        <v/>
      </c>
      <c r="F42" s="38">
        <f>SUMIFS(기상자료!$H$2:$H$53,기상자료!$A$2:$A$53,$A$33,기상자료!$D$2:$D$53,$R42)</f>
        <v/>
      </c>
      <c r="G42" s="38">
        <f>SUMIFS(기상자료!$I$2:$I$53,기상자료!$A$2:$A$53,$A$33,기상자료!$D$2:$D$53,$R42)</f>
        <v/>
      </c>
      <c r="H42" s="38">
        <f>SUMIFS(기상자료!$J$2:$J$53,기상자료!$A$2:$A$53,$A$33,기상자료!$D$2:$D$53,$R42)</f>
        <v/>
      </c>
      <c r="I42" s="38">
        <f>SUMIFS(기상자료!$K$2:$K$53,기상자료!$A$2:$A$53,$A$33,기상자료!$D$2:$D$53,$R42)</f>
        <v/>
      </c>
      <c r="J42" s="38">
        <f>SUMIFS(기상자료!$L$2:$L$53,기상자료!$A$2:$A$53,$A$33,기상자료!$D$2:$D$53,$R42)</f>
        <v/>
      </c>
      <c r="K42" s="38">
        <f>SUMIFS(기상자료!$M$2:$M$53,기상자료!$A$2:$A$53,$A$33,기상자료!$D$2:$D$53,$R42)</f>
        <v/>
      </c>
      <c r="L42" s="38">
        <f>SUMIFS(기상자료!$N$2:$N$53,기상자료!$A$2:$A$53,$A$33,기상자료!$D$2:$D$53,$R42)</f>
        <v/>
      </c>
      <c r="M42" s="38">
        <f>SUMIFS(기상자료!$O$2:$O$53,기상자료!$A$2:$A$53,$A$33,기상자료!$D$2:$D$53,$R42)</f>
        <v/>
      </c>
      <c r="N42" s="38">
        <f>SUMIFS(기상자료!$P$2:$P$53,기상자료!$A$2:$A$53,$A$33,기상자료!$D$2:$D$53,$R42)</f>
        <v/>
      </c>
      <c r="O42" s="38">
        <f>SUMIFS(기상자료!$Q$2:$Q$53,기상자료!$A$2:$A$53,$A$33,기상자료!$D$2:$D$53,$R42)</f>
        <v/>
      </c>
      <c r="P42" s="38">
        <f>SUM(D42:O42)</f>
        <v/>
      </c>
      <c r="Q42" s="132" t="inlineStr">
        <is>
          <t>일최대순간풍속 : 15m/s 이상</t>
        </is>
      </c>
      <c r="R42" t="n">
        <v>13</v>
      </c>
    </row>
    <row r="43" ht="24.95" customHeight="1" s="92">
      <c r="A43" s="110" t="n"/>
      <c r="B43" s="110" t="n"/>
      <c r="C43" s="39" t="inlineStr">
        <is>
          <t>적  용</t>
        </is>
      </c>
      <c r="D43" s="40">
        <f>SUM(D33:D42)</f>
        <v/>
      </c>
      <c r="E43" s="40">
        <f>SUM(E33:E42)</f>
        <v/>
      </c>
      <c r="F43" s="40">
        <f>SUM(F33:F42)</f>
        <v/>
      </c>
      <c r="G43" s="40">
        <f>SUM(G33:G42)</f>
        <v/>
      </c>
      <c r="H43" s="40">
        <f>SUM(H33:H42)</f>
        <v/>
      </c>
      <c r="I43" s="40">
        <f>SUM(I33:I42)</f>
        <v/>
      </c>
      <c r="J43" s="40">
        <f>SUM(J33:J42)</f>
        <v/>
      </c>
      <c r="K43" s="40">
        <f>SUM(K33:K42)</f>
        <v/>
      </c>
      <c r="L43" s="40">
        <f>SUM(L33:L42)</f>
        <v/>
      </c>
      <c r="M43" s="40">
        <f>SUM(M33:M42)</f>
        <v/>
      </c>
      <c r="N43" s="40">
        <f>SUM(N33:N42)</f>
        <v/>
      </c>
      <c r="O43" s="40">
        <f>SUM(O33:O42)</f>
        <v/>
      </c>
      <c r="P43" s="40">
        <f>SUM(D43:O43)</f>
        <v/>
      </c>
      <c r="Q43" s="39" t="n"/>
    </row>
    <row r="45" ht="24.95" customHeight="1" s="92">
      <c r="A45" s="89" t="inlineStr">
        <is>
          <t>지점코드</t>
        </is>
      </c>
      <c r="B45" s="89" t="inlineStr">
        <is>
          <t>지역 (선택)</t>
        </is>
      </c>
      <c r="C45" s="89" t="inlineStr">
        <is>
          <t>년</t>
        </is>
      </c>
      <c r="D45" s="89" t="inlineStr">
        <is>
          <t>월평균 기상데이터</t>
        </is>
      </c>
      <c r="E45" s="106" t="n"/>
      <c r="F45" s="106" t="n"/>
      <c r="G45" s="106" t="n"/>
      <c r="H45" s="106" t="n"/>
      <c r="I45" s="106" t="n"/>
      <c r="J45" s="106" t="n"/>
      <c r="K45" s="106" t="n"/>
      <c r="L45" s="106" t="n"/>
      <c r="M45" s="106" t="n"/>
      <c r="N45" s="106" t="n"/>
      <c r="O45" s="107" t="n"/>
      <c r="P45" s="89" t="inlineStr">
        <is>
          <t>소계</t>
        </is>
      </c>
      <c r="Q45" s="89" t="inlineStr">
        <is>
          <t>비 고</t>
        </is>
      </c>
    </row>
    <row r="46" ht="24.95" customHeight="1" s="92">
      <c r="A46" s="110" t="n"/>
      <c r="B46" s="110" t="n"/>
      <c r="C46" s="110" t="n"/>
      <c r="D46" s="89" t="inlineStr">
        <is>
          <t>1월</t>
        </is>
      </c>
      <c r="E46" s="89" t="inlineStr">
        <is>
          <t>2월</t>
        </is>
      </c>
      <c r="F46" s="89" t="inlineStr">
        <is>
          <t>3월</t>
        </is>
      </c>
      <c r="G46" s="89" t="inlineStr">
        <is>
          <t>4월</t>
        </is>
      </c>
      <c r="H46" s="89" t="inlineStr">
        <is>
          <t>5월</t>
        </is>
      </c>
      <c r="I46" s="89" t="inlineStr">
        <is>
          <t>6월</t>
        </is>
      </c>
      <c r="J46" s="89" t="inlineStr">
        <is>
          <t>7월</t>
        </is>
      </c>
      <c r="K46" s="89" t="inlineStr">
        <is>
          <t>8월</t>
        </is>
      </c>
      <c r="L46" s="89" t="inlineStr">
        <is>
          <t>9월</t>
        </is>
      </c>
      <c r="M46" s="89" t="inlineStr">
        <is>
          <t>10월</t>
        </is>
      </c>
      <c r="N46" s="89" t="inlineStr">
        <is>
          <t>11월</t>
        </is>
      </c>
      <c r="O46" s="89" t="inlineStr">
        <is>
          <t>12월</t>
        </is>
      </c>
      <c r="P46" s="110" t="n"/>
      <c r="Q46" s="110" t="n"/>
    </row>
    <row r="47" ht="24.95" customHeight="1" s="92">
      <c r="A47" s="89">
        <f>INDEX(지점목록!$C$2:$C$5,MATCH($B$47,지점목록!$A$2:$A$5,0))</f>
        <v/>
      </c>
      <c r="B47" s="89" t="inlineStr">
        <is>
          <t>성산</t>
        </is>
      </c>
      <c r="C47" s="89" t="inlineStr">
        <is>
          <t>2015~2024</t>
        </is>
      </c>
      <c r="D47" s="38">
        <f>SUMIFS(기상자료!$F$2:$F$53,기상자료!$A$2:$A$53,$A$47,기상자료!$D$2:$D$53,$R47)</f>
        <v/>
      </c>
      <c r="E47" s="38">
        <f>SUMIFS(기상자료!$G$2:$G$53,기상자료!$A$2:$A$53,$A$47,기상자료!$D$2:$D$53,$R47)</f>
        <v/>
      </c>
      <c r="F47" s="38">
        <f>SUMIFS(기상자료!$H$2:$H$53,기상자료!$A$2:$A$53,$A$47,기상자료!$D$2:$D$53,$R47)</f>
        <v/>
      </c>
      <c r="G47" s="38">
        <f>SUMIFS(기상자료!$I$2:$I$53,기상자료!$A$2:$A$53,$A$47,기상자료!$D$2:$D$53,$R47)</f>
        <v/>
      </c>
      <c r="H47" s="38">
        <f>SUMIFS(기상자료!$J$2:$J$53,기상자료!$A$2:$A$53,$A$47,기상자료!$D$2:$D$53,$R47)</f>
        <v/>
      </c>
      <c r="I47" s="38">
        <f>SUMIFS(기상자료!$K$2:$K$53,기상자료!$A$2:$A$53,$A$47,기상자료!$D$2:$D$53,$R47)</f>
        <v/>
      </c>
      <c r="J47" s="38">
        <f>SUMIFS(기상자료!$L$2:$L$53,기상자료!$A$2:$A$53,$A$47,기상자료!$D$2:$D$53,$R47)</f>
        <v/>
      </c>
      <c r="K47" s="38">
        <f>SUMIFS(기상자료!$M$2:$M$53,기상자료!$A$2:$A$53,$A$47,기상자료!$D$2:$D$53,$R47)</f>
        <v/>
      </c>
      <c r="L47" s="38">
        <f>SUMIFS(기상자료!$N$2:$N$53,기상자료!$A$2:$A$53,$A$47,기상자료!$D$2:$D$53,$R47)</f>
        <v/>
      </c>
      <c r="M47" s="38">
        <f>SUMIFS(기상자료!$O$2:$O$53,기상자료!$A$2:$A$53,$A$47,기상자료!$D$2:$D$53,$R47)</f>
        <v/>
      </c>
      <c r="N47" s="38">
        <f>SUMIFS(기상자료!$P$2:$P$53,기상자료!$A$2:$A$53,$A$47,기상자료!$D$2:$D$53,$R47)</f>
        <v/>
      </c>
      <c r="O47" s="38">
        <f>SUMIFS(기상자료!$Q$2:$Q$53,기상자료!$A$2:$A$53,$A$47,기상자료!$D$2:$D$53,$R47)</f>
        <v/>
      </c>
      <c r="P47" s="38">
        <f>SUM(D47:O47)</f>
        <v/>
      </c>
      <c r="Q47" s="131">
        <f>IF($D$2="체감온도","혹서기
체감온도 33°C 이상","혹서기
일최고기온 33°C 이상")</f>
        <v/>
      </c>
      <c r="R47">
        <f>IF($D$2="체감온도",1,3)</f>
        <v/>
      </c>
    </row>
    <row r="48" ht="24.95" customHeight="1" s="92">
      <c r="A48" s="114" t="n"/>
      <c r="B48" s="114" t="n"/>
      <c r="C48" s="89" t="inlineStr">
        <is>
          <t>2015~2024</t>
        </is>
      </c>
      <c r="D48" s="38">
        <f>SUMIFS(기상자료!$F$2:$F$53,기상자료!$A$2:$A$53,$A$47,기상자료!$D$2:$D$53,$R48)</f>
        <v/>
      </c>
      <c r="E48" s="38">
        <f>SUMIFS(기상자료!$G$2:$G$53,기상자료!$A$2:$A$53,$A$47,기상자료!$D$2:$D$53,$R48)</f>
        <v/>
      </c>
      <c r="F48" s="38">
        <f>SUMIFS(기상자료!$H$2:$H$53,기상자료!$A$2:$A$53,$A$47,기상자료!$D$2:$D$53,$R48)</f>
        <v/>
      </c>
      <c r="G48" s="38">
        <f>SUMIFS(기상자료!$I$2:$I$53,기상자료!$A$2:$A$53,$A$47,기상자료!$D$2:$D$53,$R48)</f>
        <v/>
      </c>
      <c r="H48" s="38">
        <f>SUMIFS(기상자료!$J$2:$J$53,기상자료!$A$2:$A$53,$A$47,기상자료!$D$2:$D$53,$R48)</f>
        <v/>
      </c>
      <c r="I48" s="38">
        <f>SUMIFS(기상자료!$K$2:$K$53,기상자료!$A$2:$A$53,$A$47,기상자료!$D$2:$D$53,$R48)</f>
        <v/>
      </c>
      <c r="J48" s="38">
        <f>SUMIFS(기상자료!$L$2:$L$53,기상자료!$A$2:$A$53,$A$47,기상자료!$D$2:$D$53,$R48)</f>
        <v/>
      </c>
      <c r="K48" s="38">
        <f>SUMIFS(기상자료!$M$2:$M$53,기상자료!$A$2:$A$53,$A$47,기상자료!$D$2:$D$53,$R48)</f>
        <v/>
      </c>
      <c r="L48" s="38">
        <f>SUMIFS(기상자료!$N$2:$N$53,기상자료!$A$2:$A$53,$A$47,기상자료!$D$2:$D$53,$R48)</f>
        <v/>
      </c>
      <c r="M48" s="38">
        <f>SUMIFS(기상자료!$O$2:$O$53,기상자료!$A$2:$A$53,$A$47,기상자료!$D$2:$D$53,$R48)</f>
        <v/>
      </c>
      <c r="N48" s="38">
        <f>SUMIFS(기상자료!$P$2:$P$53,기상자료!$A$2:$A$53,$A$47,기상자료!$D$2:$D$53,$R48)</f>
        <v/>
      </c>
      <c r="O48" s="38">
        <f>SUMIFS(기상자료!$Q$2:$Q$53,기상자료!$A$2:$A$53,$A$47,기상자료!$D$2:$D$53,$R48)</f>
        <v/>
      </c>
      <c r="P48" s="38">
        <f>SUM(D48:O48)</f>
        <v/>
      </c>
      <c r="Q48" s="131">
        <f>IF($D$2="체감온도","혹서기
체감온도 35°C 이상","혹서기
일최고기온 35°C 이상")</f>
        <v/>
      </c>
      <c r="R48">
        <f>IF($D$2="체감온도",2,4)</f>
        <v/>
      </c>
    </row>
    <row r="49" ht="24.95" customHeight="1" s="92">
      <c r="A49" s="114" t="n"/>
      <c r="B49" s="114" t="n"/>
      <c r="C49" s="89" t="inlineStr">
        <is>
          <t>2015~2024</t>
        </is>
      </c>
      <c r="D49" s="38">
        <f>SUMIFS(기상자료!$F$2:$F$53,기상자료!$A$2:$A$53,$A$47,기상자료!$D$2:$D$53,$R49)</f>
        <v/>
      </c>
      <c r="E49" s="38">
        <f>SUMIFS(기상자료!$G$2:$G$53,기상자료!$A$2:$A$53,$A$47,기상자료!$D$2:$D$53,$R49)</f>
        <v/>
      </c>
      <c r="F49" s="38">
        <f>SUMIFS(기상자료!$H$2:$H$53,기상자료!$A$2:$A$53,$A$47,기상자료!$D$2:$D$53,$R49)</f>
        <v/>
      </c>
      <c r="G49" s="38">
        <f>SUMIFS(기상자료!$I$2:$I$53,기상자료!$A$2:$A$53,$A$47,기상자료!$D$2:$D$53,$R49)</f>
        <v/>
      </c>
      <c r="H49" s="38">
        <f>SUMIFS(기상자료!$J$2:$J$53,기상자료!$A$2:$A$53,$A$47,기상자료!$D$2:$D$53,$R49)</f>
        <v/>
      </c>
      <c r="I49" s="38">
        <f>SUMIFS(기상자료!$K$2:$K$53,기상자료!$A$2:$A$53,$A$47,기상자료!$D$2:$D$53,$R49)</f>
        <v/>
      </c>
      <c r="J49" s="38">
        <f>SUMIFS(기상자료!$L$2:$L$53,기상자료!$A$2:$A$53,$A$47,기상자료!$D$2:$D$53,$R49)</f>
        <v/>
      </c>
      <c r="K49" s="38">
        <f>SUMIFS(기상자료!$M$2:$M$53,기상자료!$A$2:$A$53,$A$47,기상자료!$D$2:$D$53,$R49)</f>
        <v/>
      </c>
      <c r="L49" s="38">
        <f>SUMIFS(기상자료!$N$2:$N$53,기상자료!$A$2:$A$53,$A$47,기상자료!$D$2:$D$53,$R49)</f>
        <v/>
      </c>
      <c r="M49" s="38">
        <f>SUMIFS(기상자료!$O$2:$O$53,기상자료!$A$2:$A$53,$A$47,기상자료!$D$2:$D$53,$R49)</f>
        <v/>
      </c>
      <c r="N49" s="38">
        <f>SUMIFS(기상자료!$P$2:$P$53,기상자료!$A$2:$A$53,$A$47,기상자료!$D$2:$D$53,$R49)</f>
        <v/>
      </c>
      <c r="O49" s="38">
        <f>SUMIFS(기상자료!$Q$2:$Q$53,기상자료!$A$2:$A$53,$A$47,기상자료!$D$2:$D$53,$R49)</f>
        <v/>
      </c>
      <c r="P49" s="38">
        <f>SUM(D49:O49)</f>
        <v/>
      </c>
      <c r="Q49" s="131" t="inlineStr">
        <is>
          <t>동절기
일최고기온 0°C 이하</t>
        </is>
      </c>
      <c r="R49" t="n">
        <v>5</v>
      </c>
    </row>
    <row r="50" ht="24.95" customHeight="1" s="92">
      <c r="A50" s="114" t="n"/>
      <c r="B50" s="114" t="n"/>
      <c r="C50" s="89" t="inlineStr">
        <is>
          <t>2015~2024</t>
        </is>
      </c>
      <c r="D50" s="38">
        <f>SUMIFS(기상자료!$F$2:$F$53,기상자료!$A$2:$A$53,$A$47,기상자료!$D$2:$D$53,$R50)</f>
        <v/>
      </c>
      <c r="E50" s="38">
        <f>SUMIFS(기상자료!$G$2:$G$53,기상자료!$A$2:$A$53,$A$47,기상자료!$D$2:$D$53,$R50)</f>
        <v/>
      </c>
      <c r="F50" s="38">
        <f>SUMIFS(기상자료!$H$2:$H$53,기상자료!$A$2:$A$53,$A$47,기상자료!$D$2:$D$53,$R50)</f>
        <v/>
      </c>
      <c r="G50" s="38">
        <f>SUMIFS(기상자료!$I$2:$I$53,기상자료!$A$2:$A$53,$A$47,기상자료!$D$2:$D$53,$R50)</f>
        <v/>
      </c>
      <c r="H50" s="38">
        <f>SUMIFS(기상자료!$J$2:$J$53,기상자료!$A$2:$A$53,$A$47,기상자료!$D$2:$D$53,$R50)</f>
        <v/>
      </c>
      <c r="I50" s="38">
        <f>SUMIFS(기상자료!$K$2:$K$53,기상자료!$A$2:$A$53,$A$47,기상자료!$D$2:$D$53,$R50)</f>
        <v/>
      </c>
      <c r="J50" s="38">
        <f>SUMIFS(기상자료!$L$2:$L$53,기상자료!$A$2:$A$53,$A$47,기상자료!$D$2:$D$53,$R50)</f>
        <v/>
      </c>
      <c r="K50" s="38">
        <f>SUMIFS(기상자료!$M$2:$M$53,기상자료!$A$2:$A$53,$A$47,기상자료!$D$2:$D$53,$R50)</f>
        <v/>
      </c>
      <c r="L50" s="38">
        <f>SUMIFS(기상자료!$N$2:$N$53,기상자료!$A$2:$A$53,$A$47,기상자료!$D$2:$D$53,$R50)</f>
        <v/>
      </c>
      <c r="M50" s="38">
        <f>SUMIFS(기상자료!$O$2:$O$53,기상자료!$A$2:$A$53,$A$47,기상자료!$D$2:$D$53,$R50)</f>
        <v/>
      </c>
      <c r="N50" s="38">
        <f>SUMIFS(기상자료!$P$2:$P$53,기상자료!$A$2:$A$53,$A$47,기상자료!$D$2:$D$53,$R50)</f>
        <v/>
      </c>
      <c r="O50" s="38">
        <f>SUMIFS(기상자료!$Q$2:$Q$53,기상자료!$A$2:$A$53,$A$47,기상자료!$D$2:$D$53,$R50)</f>
        <v/>
      </c>
      <c r="P50" s="38">
        <f>SUM(D50:O50)</f>
        <v/>
      </c>
      <c r="Q50" s="131" t="inlineStr">
        <is>
          <t>동절기
신적설 5㎝ 이상</t>
        </is>
      </c>
      <c r="R50" t="n">
        <v>6</v>
      </c>
    </row>
    <row r="51" ht="24.95" customHeight="1" s="92">
      <c r="A51" s="114" t="n"/>
      <c r="B51" s="114" t="n"/>
      <c r="C51" s="89" t="inlineStr">
        <is>
          <t>2015~2024</t>
        </is>
      </c>
      <c r="D51" s="38">
        <f>SUMIFS(기상자료!$F$2:$F$53,기상자료!$A$2:$A$53,$A$47,기상자료!$D$2:$D$53,$R51)</f>
        <v/>
      </c>
      <c r="E51" s="38">
        <f>SUMIFS(기상자료!$G$2:$G$53,기상자료!$A$2:$A$53,$A$47,기상자료!$D$2:$D$53,$R51)</f>
        <v/>
      </c>
      <c r="F51" s="38">
        <f>SUMIFS(기상자료!$H$2:$H$53,기상자료!$A$2:$A$53,$A$47,기상자료!$D$2:$D$53,$R51)</f>
        <v/>
      </c>
      <c r="G51" s="38">
        <f>SUMIFS(기상자료!$I$2:$I$53,기상자료!$A$2:$A$53,$A$47,기상자료!$D$2:$D$53,$R51)</f>
        <v/>
      </c>
      <c r="H51" s="38">
        <f>SUMIFS(기상자료!$J$2:$J$53,기상자료!$A$2:$A$53,$A$47,기상자료!$D$2:$D$53,$R51)</f>
        <v/>
      </c>
      <c r="I51" s="38">
        <f>SUMIFS(기상자료!$K$2:$K$53,기상자료!$A$2:$A$53,$A$47,기상자료!$D$2:$D$53,$R51)</f>
        <v/>
      </c>
      <c r="J51" s="38">
        <f>SUMIFS(기상자료!$L$2:$L$53,기상자료!$A$2:$A$53,$A$47,기상자료!$D$2:$D$53,$R51)</f>
        <v/>
      </c>
      <c r="K51" s="38">
        <f>SUMIFS(기상자료!$M$2:$M$53,기상자료!$A$2:$A$53,$A$47,기상자료!$D$2:$D$53,$R51)</f>
        <v/>
      </c>
      <c r="L51" s="38">
        <f>SUMIFS(기상자료!$N$2:$N$53,기상자료!$A$2:$A$53,$A$47,기상자료!$D$2:$D$53,$R51)</f>
        <v/>
      </c>
      <c r="M51" s="38">
        <f>SUMIFS(기상자료!$O$2:$O$53,기상자료!$A$2:$A$53,$A$47,기상자료!$D$2:$D$53,$R51)</f>
        <v/>
      </c>
      <c r="N51" s="38">
        <f>SUMIFS(기상자료!$P$2:$P$53,기상자료!$A$2:$A$53,$A$47,기상자료!$D$2:$D$53,$R51)</f>
        <v/>
      </c>
      <c r="O51" s="38">
        <f>SUMIFS(기상자료!$Q$2:$Q$53,기상자료!$A$2:$A$53,$A$47,기상자료!$D$2:$D$53,$R51)</f>
        <v/>
      </c>
      <c r="P51" s="38">
        <f>SUM(D51:O51)</f>
        <v/>
      </c>
      <c r="Q51" s="131" t="inlineStr">
        <is>
          <t>동절기 : 일최고기온 0°C 이하 및 신적설 5㎝ 이상</t>
        </is>
      </c>
      <c r="R51" t="n">
        <v>7</v>
      </c>
    </row>
    <row r="52" ht="24.95" customHeight="1" s="92">
      <c r="A52" s="114" t="n"/>
      <c r="B52" s="114" t="n"/>
      <c r="C52" s="89" t="inlineStr">
        <is>
          <t>2015~2024</t>
        </is>
      </c>
      <c r="D52" s="38">
        <f>SUMIFS(기상자료!$F$2:$F$53,기상자료!$A$2:$A$53,$A$47,기상자료!$D$2:$D$53,$R52)</f>
        <v/>
      </c>
      <c r="E52" s="38">
        <f>SUMIFS(기상자료!$G$2:$G$53,기상자료!$A$2:$A$53,$A$47,기상자료!$D$2:$D$53,$R52)</f>
        <v/>
      </c>
      <c r="F52" s="38">
        <f>SUMIFS(기상자료!$H$2:$H$53,기상자료!$A$2:$A$53,$A$47,기상자료!$D$2:$D$53,$R52)</f>
        <v/>
      </c>
      <c r="G52" s="38">
        <f>SUMIFS(기상자료!$I$2:$I$53,기상자료!$A$2:$A$53,$A$47,기상자료!$D$2:$D$53,$R52)</f>
        <v/>
      </c>
      <c r="H52" s="38">
        <f>SUMIFS(기상자료!$J$2:$J$53,기상자료!$A$2:$A$53,$A$47,기상자료!$D$2:$D$53,$R52)</f>
        <v/>
      </c>
      <c r="I52" s="38">
        <f>SUMIFS(기상자료!$K$2:$K$53,기상자료!$A$2:$A$53,$A$47,기상자료!$D$2:$D$53,$R52)</f>
        <v/>
      </c>
      <c r="J52" s="38">
        <f>SUMIFS(기상자료!$L$2:$L$53,기상자료!$A$2:$A$53,$A$47,기상자료!$D$2:$D$53,$R52)</f>
        <v/>
      </c>
      <c r="K52" s="38">
        <f>SUMIFS(기상자료!$M$2:$M$53,기상자료!$A$2:$A$53,$A$47,기상자료!$D$2:$D$53,$R52)</f>
        <v/>
      </c>
      <c r="L52" s="38">
        <f>SUMIFS(기상자료!$N$2:$N$53,기상자료!$A$2:$A$53,$A$47,기상자료!$D$2:$D$53,$R52)</f>
        <v/>
      </c>
      <c r="M52" s="38">
        <f>SUMIFS(기상자료!$O$2:$O$53,기상자료!$A$2:$A$53,$A$47,기상자료!$D$2:$D$53,$R52)</f>
        <v/>
      </c>
      <c r="N52" s="38">
        <f>SUMIFS(기상자료!$P$2:$P$53,기상자료!$A$2:$A$53,$A$47,기상자료!$D$2:$D$53,$R52)</f>
        <v/>
      </c>
      <c r="O52" s="38">
        <f>SUMIFS(기상자료!$Q$2:$Q$53,기상자료!$A$2:$A$53,$A$47,기상자료!$D$2:$D$53,$R52)</f>
        <v/>
      </c>
      <c r="P52" s="38">
        <f>SUM(D52:O52)</f>
        <v/>
      </c>
      <c r="Q52" s="131" t="inlineStr">
        <is>
          <t>동절기 : 일최저기온 -12°C 이하</t>
        </is>
      </c>
      <c r="R52" t="n">
        <v>8</v>
      </c>
    </row>
    <row r="53" ht="24.95" customHeight="1" s="92">
      <c r="A53" s="114" t="n"/>
      <c r="B53" s="114" t="n"/>
      <c r="C53" s="89" t="inlineStr">
        <is>
          <t>2015~2024</t>
        </is>
      </c>
      <c r="D53" s="38">
        <f>SUMIFS(기상자료!$F$2:$F$53,기상자료!$A$2:$A$53,$A$47,기상자료!$D$2:$D$53,$R53)</f>
        <v/>
      </c>
      <c r="E53" s="38">
        <f>SUMIFS(기상자료!$G$2:$G$53,기상자료!$A$2:$A$53,$A$47,기상자료!$D$2:$D$53,$R53)</f>
        <v/>
      </c>
      <c r="F53" s="38">
        <f>SUMIFS(기상자료!$H$2:$H$53,기상자료!$A$2:$A$53,$A$47,기상자료!$D$2:$D$53,$R53)</f>
        <v/>
      </c>
      <c r="G53" s="38">
        <f>SUMIFS(기상자료!$I$2:$I$53,기상자료!$A$2:$A$53,$A$47,기상자료!$D$2:$D$53,$R53)</f>
        <v/>
      </c>
      <c r="H53" s="38">
        <f>SUMIFS(기상자료!$J$2:$J$53,기상자료!$A$2:$A$53,$A$47,기상자료!$D$2:$D$53,$R53)</f>
        <v/>
      </c>
      <c r="I53" s="38">
        <f>SUMIFS(기상자료!$K$2:$K$53,기상자료!$A$2:$A$53,$A$47,기상자료!$D$2:$D$53,$R53)</f>
        <v/>
      </c>
      <c r="J53" s="38">
        <f>SUMIFS(기상자료!$L$2:$L$53,기상자료!$A$2:$A$53,$A$47,기상자료!$D$2:$D$53,$R53)</f>
        <v/>
      </c>
      <c r="K53" s="38">
        <f>SUMIFS(기상자료!$M$2:$M$53,기상자료!$A$2:$A$53,$A$47,기상자료!$D$2:$D$53,$R53)</f>
        <v/>
      </c>
      <c r="L53" s="38">
        <f>SUMIFS(기상자료!$N$2:$N$53,기상자료!$A$2:$A$53,$A$47,기상자료!$D$2:$D$53,$R53)</f>
        <v/>
      </c>
      <c r="M53" s="38">
        <f>SUMIFS(기상자료!$O$2:$O$53,기상자료!$A$2:$A$53,$A$47,기상자료!$D$2:$D$53,$R53)</f>
        <v/>
      </c>
      <c r="N53" s="38">
        <f>SUMIFS(기상자료!$P$2:$P$53,기상자료!$A$2:$A$53,$A$47,기상자료!$D$2:$D$53,$R53)</f>
        <v/>
      </c>
      <c r="O53" s="38">
        <f>SUMIFS(기상자료!$Q$2:$Q$53,기상자료!$A$2:$A$53,$A$47,기상자료!$D$2:$D$53,$R53)</f>
        <v/>
      </c>
      <c r="P53" s="38">
        <f>SUM(D53:O53)</f>
        <v/>
      </c>
      <c r="Q53" s="131" t="inlineStr">
        <is>
          <t>일강수량 : 5㎜ 이상</t>
        </is>
      </c>
      <c r="R53" t="n">
        <v>10</v>
      </c>
    </row>
    <row r="54" ht="24.95" customHeight="1" s="92">
      <c r="A54" s="114" t="n"/>
      <c r="B54" s="114" t="n"/>
      <c r="C54" s="89" t="inlineStr">
        <is>
          <t>2015~2024</t>
        </is>
      </c>
      <c r="D54" s="38">
        <f>SUMIFS(기상자료!$F$2:$F$53,기상자료!$A$2:$A$53,$A$47,기상자료!$D$2:$D$53,$R54)</f>
        <v/>
      </c>
      <c r="E54" s="38">
        <f>SUMIFS(기상자료!$G$2:$G$53,기상자료!$A$2:$A$53,$A$47,기상자료!$D$2:$D$53,$R54)</f>
        <v/>
      </c>
      <c r="F54" s="38">
        <f>SUMIFS(기상자료!$H$2:$H$53,기상자료!$A$2:$A$53,$A$47,기상자료!$D$2:$D$53,$R54)</f>
        <v/>
      </c>
      <c r="G54" s="38">
        <f>SUMIFS(기상자료!$I$2:$I$53,기상자료!$A$2:$A$53,$A$47,기상자료!$D$2:$D$53,$R54)</f>
        <v/>
      </c>
      <c r="H54" s="38">
        <f>SUMIFS(기상자료!$J$2:$J$53,기상자료!$A$2:$A$53,$A$47,기상자료!$D$2:$D$53,$R54)</f>
        <v/>
      </c>
      <c r="I54" s="38">
        <f>SUMIFS(기상자료!$K$2:$K$53,기상자료!$A$2:$A$53,$A$47,기상자료!$D$2:$D$53,$R54)</f>
        <v/>
      </c>
      <c r="J54" s="38">
        <f>SUMIFS(기상자료!$L$2:$L$53,기상자료!$A$2:$A$53,$A$47,기상자료!$D$2:$D$53,$R54)</f>
        <v/>
      </c>
      <c r="K54" s="38">
        <f>SUMIFS(기상자료!$M$2:$M$53,기상자료!$A$2:$A$53,$A$47,기상자료!$D$2:$D$53,$R54)</f>
        <v/>
      </c>
      <c r="L54" s="38">
        <f>SUMIFS(기상자료!$N$2:$N$53,기상자료!$A$2:$A$53,$A$47,기상자료!$D$2:$D$53,$R54)</f>
        <v/>
      </c>
      <c r="M54" s="38">
        <f>SUMIFS(기상자료!$O$2:$O$53,기상자료!$A$2:$A$53,$A$47,기상자료!$D$2:$D$53,$R54)</f>
        <v/>
      </c>
      <c r="N54" s="38">
        <f>SUMIFS(기상자료!$P$2:$P$53,기상자료!$A$2:$A$53,$A$47,기상자료!$D$2:$D$53,$R54)</f>
        <v/>
      </c>
      <c r="O54" s="38">
        <f>SUMIFS(기상자료!$Q$2:$Q$53,기상자료!$A$2:$A$53,$A$47,기상자료!$D$2:$D$53,$R54)</f>
        <v/>
      </c>
      <c r="P54" s="38">
        <f>SUM(D54:O54)</f>
        <v/>
      </c>
      <c r="Q54" s="131" t="inlineStr">
        <is>
          <t>일강수량 : 10㎜ 이상</t>
        </is>
      </c>
      <c r="R54" t="n">
        <v>11</v>
      </c>
    </row>
    <row r="55" ht="24.95" customHeight="1" s="92">
      <c r="A55" s="114" t="n"/>
      <c r="B55" s="114" t="n"/>
      <c r="C55" s="89" t="inlineStr">
        <is>
          <t>2015~2024</t>
        </is>
      </c>
      <c r="D55" s="38">
        <f>SUMIFS(기상자료!$F$2:$F$53,기상자료!$A$2:$A$53,$A$47,기상자료!$D$2:$D$53,$R55)</f>
        <v/>
      </c>
      <c r="E55" s="38">
        <f>SUMIFS(기상자료!$G$2:$G$53,기상자료!$A$2:$A$53,$A$47,기상자료!$D$2:$D$53,$R55)</f>
        <v/>
      </c>
      <c r="F55" s="38">
        <f>SUMIFS(기상자료!$H$2:$H$53,기상자료!$A$2:$A$53,$A$47,기상자료!$D$2:$D$53,$R55)</f>
        <v/>
      </c>
      <c r="G55" s="38">
        <f>SUMIFS(기상자료!$I$2:$I$53,기상자료!$A$2:$A$53,$A$47,기상자료!$D$2:$D$53,$R55)</f>
        <v/>
      </c>
      <c r="H55" s="38">
        <f>SUMIFS(기상자료!$J$2:$J$53,기상자료!$A$2:$A$53,$A$47,기상자료!$D$2:$D$53,$R55)</f>
        <v/>
      </c>
      <c r="I55" s="38">
        <f>SUMIFS(기상자료!$K$2:$K$53,기상자료!$A$2:$A$53,$A$47,기상자료!$D$2:$D$53,$R55)</f>
        <v/>
      </c>
      <c r="J55" s="38">
        <f>SUMIFS(기상자료!$L$2:$L$53,기상자료!$A$2:$A$53,$A$47,기상자료!$D$2:$D$53,$R55)</f>
        <v/>
      </c>
      <c r="K55" s="38">
        <f>SUMIFS(기상자료!$M$2:$M$53,기상자료!$A$2:$A$53,$A$47,기상자료!$D$2:$D$53,$R55)</f>
        <v/>
      </c>
      <c r="L55" s="38">
        <f>SUMIFS(기상자료!$N$2:$N$53,기상자료!$A$2:$A$53,$A$47,기상자료!$D$2:$D$53,$R55)</f>
        <v/>
      </c>
      <c r="M55" s="38">
        <f>SUMIFS(기상자료!$O$2:$O$53,기상자료!$A$2:$A$53,$A$47,기상자료!$D$2:$D$53,$R55)</f>
        <v/>
      </c>
      <c r="N55" s="38">
        <f>SUMIFS(기상자료!$P$2:$P$53,기상자료!$A$2:$A$53,$A$47,기상자료!$D$2:$D$53,$R55)</f>
        <v/>
      </c>
      <c r="O55" s="38">
        <f>SUMIFS(기상자료!$Q$2:$Q$53,기상자료!$A$2:$A$53,$A$47,기상자료!$D$2:$D$53,$R55)</f>
        <v/>
      </c>
      <c r="P55" s="38">
        <f>SUM(D55:O55)</f>
        <v/>
      </c>
      <c r="Q55" s="131" t="inlineStr">
        <is>
          <t>일강수량 : 20㎜ 이상</t>
        </is>
      </c>
      <c r="R55" t="n">
        <v>12</v>
      </c>
    </row>
    <row r="56" ht="24.95" customHeight="1" s="92">
      <c r="A56" s="114" t="n"/>
      <c r="B56" s="114" t="n"/>
      <c r="C56" s="38" t="inlineStr">
        <is>
          <t>2015~2024</t>
        </is>
      </c>
      <c r="D56" s="38">
        <f>SUMIFS(기상자료!$F$2:$F$53,기상자료!$A$2:$A$53,$A$47,기상자료!$D$2:$D$53,$R56)</f>
        <v/>
      </c>
      <c r="E56" s="38">
        <f>SUMIFS(기상자료!$G$2:$G$53,기상자료!$A$2:$A$53,$A$47,기상자료!$D$2:$D$53,$R56)</f>
        <v/>
      </c>
      <c r="F56" s="38">
        <f>SUMIFS(기상자료!$H$2:$H$53,기상자료!$A$2:$A$53,$A$47,기상자료!$D$2:$D$53,$R56)</f>
        <v/>
      </c>
      <c r="G56" s="38">
        <f>SUMIFS(기상자료!$I$2:$I$53,기상자료!$A$2:$A$53,$A$47,기상자료!$D$2:$D$53,$R56)</f>
        <v/>
      </c>
      <c r="H56" s="38">
        <f>SUMIFS(기상자료!$J$2:$J$53,기상자료!$A$2:$A$53,$A$47,기상자료!$D$2:$D$53,$R56)</f>
        <v/>
      </c>
      <c r="I56" s="38">
        <f>SUMIFS(기상자료!$K$2:$K$53,기상자료!$A$2:$A$53,$A$47,기상자료!$D$2:$D$53,$R56)</f>
        <v/>
      </c>
      <c r="J56" s="38">
        <f>SUMIFS(기상자료!$L$2:$L$53,기상자료!$A$2:$A$53,$A$47,기상자료!$D$2:$D$53,$R56)</f>
        <v/>
      </c>
      <c r="K56" s="38">
        <f>SUMIFS(기상자료!$M$2:$M$53,기상자료!$A$2:$A$53,$A$47,기상자료!$D$2:$D$53,$R56)</f>
        <v/>
      </c>
      <c r="L56" s="38">
        <f>SUMIFS(기상자료!$N$2:$N$53,기상자료!$A$2:$A$53,$A$47,기상자료!$D$2:$D$53,$R56)</f>
        <v/>
      </c>
      <c r="M56" s="38">
        <f>SUMIFS(기상자료!$O$2:$O$53,기상자료!$A$2:$A$53,$A$47,기상자료!$D$2:$D$53,$R56)</f>
        <v/>
      </c>
      <c r="N56" s="38">
        <f>SUMIFS(기상자료!$P$2:$P$53,기상자료!$A$2:$A$53,$A$47,기상자료!$D$2:$D$53,$R56)</f>
        <v/>
      </c>
      <c r="O56" s="38">
        <f>SUMIFS(기상자료!$Q$2:$Q$53,기상자료!$A$2:$A$53,$A$47,기상자료!$D$2:$D$53,$R56)</f>
        <v/>
      </c>
      <c r="P56" s="38">
        <f>SUM(D56:O56)</f>
        <v/>
      </c>
      <c r="Q56" s="132" t="inlineStr">
        <is>
          <t>일최대순간풍속 : 15m/s 이상</t>
        </is>
      </c>
      <c r="R56" t="n">
        <v>13</v>
      </c>
    </row>
    <row r="57" ht="24.95" customHeight="1" s="92">
      <c r="A57" s="110" t="n"/>
      <c r="B57" s="110" t="n"/>
      <c r="C57" s="39" t="inlineStr">
        <is>
          <t>적  용</t>
        </is>
      </c>
      <c r="D57" s="40">
        <f>SUM(D47:D56)</f>
        <v/>
      </c>
      <c r="E57" s="40">
        <f>SUM(E47:E56)</f>
        <v/>
      </c>
      <c r="F57" s="40">
        <f>SUM(F47:F56)</f>
        <v/>
      </c>
      <c r="G57" s="40">
        <f>SUM(G47:G56)</f>
        <v/>
      </c>
      <c r="H57" s="40">
        <f>SUM(H47:H56)</f>
        <v/>
      </c>
      <c r="I57" s="40">
        <f>SUM(I47:I56)</f>
        <v/>
      </c>
      <c r="J57" s="40">
        <f>SUM(J47:J56)</f>
        <v/>
      </c>
      <c r="K57" s="40">
        <f>SUM(K47:K56)</f>
        <v/>
      </c>
      <c r="L57" s="40">
        <f>SUM(L47:L56)</f>
        <v/>
      </c>
      <c r="M57" s="40">
        <f>SUM(M47:M56)</f>
        <v/>
      </c>
      <c r="N57" s="40">
        <f>SUM(N47:N56)</f>
        <v/>
      </c>
      <c r="O57" s="40">
        <f>SUM(O47:O56)</f>
        <v/>
      </c>
      <c r="P57" s="40">
        <f>SUM(D57:O57)</f>
        <v/>
      </c>
      <c r="Q57" s="39" t="n"/>
    </row>
  </sheetData>
  <mergeCells count="32">
    <mergeCell ref="B3:B4"/>
    <mergeCell ref="B17:B18"/>
    <mergeCell ref="A45:A46"/>
    <mergeCell ref="C45:C46"/>
    <mergeCell ref="D17:O17"/>
    <mergeCell ref="P31:P32"/>
    <mergeCell ref="B19:B29"/>
    <mergeCell ref="A3:A4"/>
    <mergeCell ref="P17:P18"/>
    <mergeCell ref="C31:C32"/>
    <mergeCell ref="A33:A43"/>
    <mergeCell ref="D3:O3"/>
    <mergeCell ref="B33:B43"/>
    <mergeCell ref="A5:A15"/>
    <mergeCell ref="B5:B15"/>
    <mergeCell ref="Q31:Q32"/>
    <mergeCell ref="A17:A18"/>
    <mergeCell ref="C17:C18"/>
    <mergeCell ref="A47:A57"/>
    <mergeCell ref="P3:P4"/>
    <mergeCell ref="Q17:Q18"/>
    <mergeCell ref="A19:A29"/>
    <mergeCell ref="Q45:Q46"/>
    <mergeCell ref="B45:B46"/>
    <mergeCell ref="C3:C4"/>
    <mergeCell ref="B47:B57"/>
    <mergeCell ref="Q3:Q4"/>
    <mergeCell ref="D31:O31"/>
    <mergeCell ref="A31:A32"/>
    <mergeCell ref="D45:O45"/>
    <mergeCell ref="P45:P46"/>
    <mergeCell ref="B31:B32"/>
  </mergeCells>
  <dataValidations count="5">
    <dataValidation sqref="D2" showDropDown="0" showInputMessage="0" showErrorMessage="0" allowBlank="0" type="list">
      <formula1>"체감온도,일최고기온"</formula1>
    </dataValidation>
    <dataValidation sqref="B5" showDropDown="0" showInputMessage="0" showErrorMessage="0" allowBlank="0" type="list">
      <formula1>=지점목록!$A$2:$A$5</formula1>
    </dataValidation>
    <dataValidation sqref="B19" showDropDown="0" showInputMessage="0" showErrorMessage="0" allowBlank="0" type="list">
      <formula1>=지점목록!$A$2:$A$5</formula1>
    </dataValidation>
    <dataValidation sqref="B33" showDropDown="0" showInputMessage="0" showErrorMessage="0" allowBlank="0" type="list">
      <formula1>=지점목록!$A$2:$A$5</formula1>
    </dataValidation>
    <dataValidation sqref="B47" showDropDown="0" showInputMessage="0" showErrorMessage="0" allowBlank="0" type="list">
      <formula1>=지점목록!$A$2:$A$5</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53"/>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0" t="inlineStr">
        <is>
          <t>지점코드</t>
        </is>
      </c>
      <c r="B1" s="130" t="inlineStr">
        <is>
          <t>행정구역</t>
        </is>
      </c>
      <c r="C1" s="130" t="inlineStr">
        <is>
          <t>지점명</t>
        </is>
      </c>
      <c r="D1" s="130" t="inlineStr">
        <is>
          <t>조건번호</t>
        </is>
      </c>
      <c r="E1" s="130" t="inlineStr">
        <is>
          <t>조건</t>
        </is>
      </c>
      <c r="F1" s="130" t="inlineStr">
        <is>
          <t>1월</t>
        </is>
      </c>
      <c r="G1" s="130" t="inlineStr">
        <is>
          <t>2월</t>
        </is>
      </c>
      <c r="H1" s="130" t="inlineStr">
        <is>
          <t>3월</t>
        </is>
      </c>
      <c r="I1" s="130" t="inlineStr">
        <is>
          <t>4월</t>
        </is>
      </c>
      <c r="J1" s="130" t="inlineStr">
        <is>
          <t>5월</t>
        </is>
      </c>
      <c r="K1" s="130" t="inlineStr">
        <is>
          <t>6월</t>
        </is>
      </c>
      <c r="L1" s="130" t="inlineStr">
        <is>
          <t>7월</t>
        </is>
      </c>
      <c r="M1" s="130" t="inlineStr">
        <is>
          <t>8월</t>
        </is>
      </c>
      <c r="N1" s="130" t="inlineStr">
        <is>
          <t>9월</t>
        </is>
      </c>
      <c r="O1" s="130" t="inlineStr">
        <is>
          <t>10월</t>
        </is>
      </c>
      <c r="P1" s="130" t="inlineStr">
        <is>
          <t>11월</t>
        </is>
      </c>
      <c r="Q1" s="130" t="inlineStr">
        <is>
          <t>12월</t>
        </is>
      </c>
      <c r="R1" s="130" t="inlineStr">
        <is>
          <t>소계</t>
        </is>
      </c>
    </row>
    <row r="2">
      <c r="A2" t="n">
        <v>184</v>
      </c>
      <c r="B2" t="inlineStr">
        <is>
          <t>제주특별시</t>
        </is>
      </c>
      <c r="C2" t="inlineStr">
        <is>
          <t>제주</t>
        </is>
      </c>
      <c r="D2" t="n">
        <v>1</v>
      </c>
      <c r="E2" t="inlineStr">
        <is>
          <t>혹서기：체감온도 33°C 이상</t>
        </is>
      </c>
      <c r="F2" t="n">
        <v>0</v>
      </c>
      <c r="G2" t="n">
        <v>0</v>
      </c>
      <c r="H2" t="n">
        <v>0</v>
      </c>
      <c r="I2" t="n">
        <v>0</v>
      </c>
      <c r="J2" t="n">
        <v>0</v>
      </c>
      <c r="K2" t="n">
        <v>0.7</v>
      </c>
      <c r="L2" t="n">
        <v>13</v>
      </c>
      <c r="M2" t="n">
        <v>18.4</v>
      </c>
      <c r="N2" t="n">
        <v>1.5</v>
      </c>
      <c r="O2" t="n">
        <v>0</v>
      </c>
      <c r="P2" t="n">
        <v>0</v>
      </c>
      <c r="Q2" t="n">
        <v>0</v>
      </c>
      <c r="R2" t="n">
        <v>33.6</v>
      </c>
    </row>
    <row r="3">
      <c r="A3" t="n">
        <v>184</v>
      </c>
      <c r="B3" t="inlineStr">
        <is>
          <t>제주특별시</t>
        </is>
      </c>
      <c r="C3" t="inlineStr">
        <is>
          <t>제주</t>
        </is>
      </c>
      <c r="D3" t="n">
        <v>2</v>
      </c>
      <c r="E3" t="inlineStr">
        <is>
          <t>혹서기：체감온도 35°C 이상</t>
        </is>
      </c>
      <c r="F3" t="n">
        <v>0</v>
      </c>
      <c r="G3" t="n">
        <v>0</v>
      </c>
      <c r="H3" t="n">
        <v>0</v>
      </c>
      <c r="I3" t="n">
        <v>0</v>
      </c>
      <c r="J3" t="n">
        <v>0</v>
      </c>
      <c r="K3" t="n">
        <v>0</v>
      </c>
      <c r="L3" t="n">
        <v>2.1</v>
      </c>
      <c r="M3" t="n">
        <v>3.3</v>
      </c>
      <c r="N3" t="n">
        <v>0</v>
      </c>
      <c r="O3" t="n">
        <v>0</v>
      </c>
      <c r="P3" t="n">
        <v>0</v>
      </c>
      <c r="Q3" t="n">
        <v>0</v>
      </c>
      <c r="R3" t="n">
        <v>5.4</v>
      </c>
    </row>
    <row r="4">
      <c r="A4" t="n">
        <v>184</v>
      </c>
      <c r="B4" t="inlineStr">
        <is>
          <t>제주특별시</t>
        </is>
      </c>
      <c r="C4" t="inlineStr">
        <is>
          <t>제주</t>
        </is>
      </c>
      <c r="D4" t="n">
        <v>3</v>
      </c>
      <c r="E4" t="inlineStr">
        <is>
          <t>혹서기：일최고온도 33°C 이상</t>
        </is>
      </c>
      <c r="F4" t="n">
        <v>0</v>
      </c>
      <c r="G4" t="n">
        <v>0</v>
      </c>
      <c r="H4" t="n">
        <v>0</v>
      </c>
      <c r="I4" t="n">
        <v>0</v>
      </c>
      <c r="J4" t="n">
        <v>0.1</v>
      </c>
      <c r="K4" t="n">
        <v>0.5</v>
      </c>
      <c r="L4" t="n">
        <v>7</v>
      </c>
      <c r="M4" t="n">
        <v>9.800000000000001</v>
      </c>
      <c r="N4" t="n">
        <v>1</v>
      </c>
      <c r="O4" t="n">
        <v>0</v>
      </c>
      <c r="P4" t="n">
        <v>0</v>
      </c>
      <c r="Q4" t="n">
        <v>0</v>
      </c>
      <c r="R4" t="n">
        <v>18.4</v>
      </c>
    </row>
    <row r="5">
      <c r="A5" t="n">
        <v>184</v>
      </c>
      <c r="B5" t="inlineStr">
        <is>
          <t>제주특별시</t>
        </is>
      </c>
      <c r="C5" t="inlineStr">
        <is>
          <t>제주</t>
        </is>
      </c>
      <c r="D5" t="n">
        <v>4</v>
      </c>
      <c r="E5" t="inlineStr">
        <is>
          <t>혹서기：일최고온도 35°C 이상</t>
        </is>
      </c>
      <c r="F5" t="n">
        <v>0</v>
      </c>
      <c r="G5" t="n">
        <v>0</v>
      </c>
      <c r="H5" t="n">
        <v>0</v>
      </c>
      <c r="I5" t="n">
        <v>0</v>
      </c>
      <c r="J5" t="n">
        <v>0</v>
      </c>
      <c r="K5" t="n">
        <v>0</v>
      </c>
      <c r="L5" t="n">
        <v>1.5</v>
      </c>
      <c r="M5" t="n">
        <v>1.8</v>
      </c>
      <c r="N5" t="n">
        <v>0.2</v>
      </c>
      <c r="O5" t="n">
        <v>0</v>
      </c>
      <c r="P5" t="n">
        <v>0</v>
      </c>
      <c r="Q5" t="n">
        <v>0</v>
      </c>
      <c r="R5" t="n">
        <v>3.5</v>
      </c>
    </row>
    <row r="6">
      <c r="A6" t="n">
        <v>184</v>
      </c>
      <c r="B6" t="inlineStr">
        <is>
          <t>제주특별시</t>
        </is>
      </c>
      <c r="C6" t="inlineStr">
        <is>
          <t>제주</t>
        </is>
      </c>
      <c r="D6" t="n">
        <v>5</v>
      </c>
      <c r="E6" t="inlineStr">
        <is>
          <t>동절기：일최고기온 0°C 이하</t>
        </is>
      </c>
      <c r="F6" t="n">
        <v>0.2</v>
      </c>
      <c r="G6" t="n">
        <v>0</v>
      </c>
      <c r="H6" t="n">
        <v>0</v>
      </c>
      <c r="I6" t="n">
        <v>0</v>
      </c>
      <c r="J6" t="n">
        <v>0</v>
      </c>
      <c r="K6" t="n">
        <v>0</v>
      </c>
      <c r="L6" t="n">
        <v>0</v>
      </c>
      <c r="M6" t="n">
        <v>0</v>
      </c>
      <c r="N6" t="n">
        <v>0</v>
      </c>
      <c r="O6" t="n">
        <v>0</v>
      </c>
      <c r="P6" t="n">
        <v>0</v>
      </c>
      <c r="Q6" t="n">
        <v>0</v>
      </c>
      <c r="R6" t="n">
        <v>0.2</v>
      </c>
    </row>
    <row r="7">
      <c r="A7" t="n">
        <v>184</v>
      </c>
      <c r="B7" t="inlineStr">
        <is>
          <t>제주특별시</t>
        </is>
      </c>
      <c r="C7" t="inlineStr">
        <is>
          <t>제주</t>
        </is>
      </c>
      <c r="D7" t="n">
        <v>6</v>
      </c>
      <c r="E7" t="inlineStr">
        <is>
          <t>동절기：일최심신적설 5㎝ 이상</t>
        </is>
      </c>
      <c r="F7" t="n">
        <v>0.4</v>
      </c>
      <c r="G7" t="n">
        <v>0.2</v>
      </c>
      <c r="H7" t="n">
        <v>0</v>
      </c>
      <c r="I7" t="n">
        <v>0</v>
      </c>
      <c r="J7" t="n">
        <v>0</v>
      </c>
      <c r="K7" t="n">
        <v>0</v>
      </c>
      <c r="L7" t="n">
        <v>0</v>
      </c>
      <c r="M7" t="n">
        <v>0</v>
      </c>
      <c r="N7" t="n">
        <v>0</v>
      </c>
      <c r="O7" t="n">
        <v>0</v>
      </c>
      <c r="P7" t="n">
        <v>0</v>
      </c>
      <c r="Q7" t="n">
        <v>0.2</v>
      </c>
      <c r="R7" t="n">
        <v>0.8</v>
      </c>
    </row>
    <row r="8">
      <c r="A8" t="n">
        <v>184</v>
      </c>
      <c r="B8" t="inlineStr">
        <is>
          <t>제주특별시</t>
        </is>
      </c>
      <c r="C8" t="inlineStr">
        <is>
          <t>제주</t>
        </is>
      </c>
      <c r="D8" t="n">
        <v>7</v>
      </c>
      <c r="E8" t="inlineStr">
        <is>
          <t>동절기：일최고기온 0°C 이하 이거나 일최심신적설 5㎝ 이상</t>
        </is>
      </c>
      <c r="F8" t="n">
        <v>0.6</v>
      </c>
      <c r="G8" t="n">
        <v>0.2</v>
      </c>
      <c r="H8" t="n">
        <v>0</v>
      </c>
      <c r="I8" t="n">
        <v>0</v>
      </c>
      <c r="J8" t="n">
        <v>0</v>
      </c>
      <c r="K8" t="n">
        <v>0</v>
      </c>
      <c r="L8" t="n">
        <v>0</v>
      </c>
      <c r="M8" t="n">
        <v>0</v>
      </c>
      <c r="N8" t="n">
        <v>0</v>
      </c>
      <c r="O8" t="n">
        <v>0</v>
      </c>
      <c r="P8" t="n">
        <v>0</v>
      </c>
      <c r="Q8" t="n">
        <v>0.2</v>
      </c>
      <c r="R8" t="n">
        <v>1</v>
      </c>
    </row>
    <row r="9">
      <c r="A9" t="n">
        <v>184</v>
      </c>
      <c r="B9" t="inlineStr">
        <is>
          <t>제주특별시</t>
        </is>
      </c>
      <c r="C9" t="inlineStr">
        <is>
          <t>제주</t>
        </is>
      </c>
      <c r="D9" t="n">
        <v>8</v>
      </c>
      <c r="E9" t="inlineStr">
        <is>
          <t>동절기：일최저기온 -12°C 이하</t>
        </is>
      </c>
      <c r="F9" t="n">
        <v>0</v>
      </c>
      <c r="G9" t="n">
        <v>0</v>
      </c>
      <c r="H9" t="n">
        <v>0</v>
      </c>
      <c r="I9" t="n">
        <v>0</v>
      </c>
      <c r="J9" t="n">
        <v>0</v>
      </c>
      <c r="K9" t="n">
        <v>0</v>
      </c>
      <c r="L9" t="n">
        <v>0</v>
      </c>
      <c r="M9" t="n">
        <v>0</v>
      </c>
      <c r="N9" t="n">
        <v>0</v>
      </c>
      <c r="O9" t="n">
        <v>0</v>
      </c>
      <c r="P9" t="n">
        <v>0</v>
      </c>
      <c r="Q9" t="n">
        <v>0</v>
      </c>
      <c r="R9" t="n">
        <v>0</v>
      </c>
    </row>
    <row r="10">
      <c r="A10" t="n">
        <v>184</v>
      </c>
      <c r="B10" t="inlineStr">
        <is>
          <t>제주특별시</t>
        </is>
      </c>
      <c r="C10" t="inlineStr">
        <is>
          <t>제주</t>
        </is>
      </c>
      <c r="D10" t="n">
        <v>9</v>
      </c>
      <c r="E10" t="inlineStr">
        <is>
          <t>일강수량：3㎜ 이상</t>
        </is>
      </c>
      <c r="F10" t="n">
        <v>5.2</v>
      </c>
      <c r="G10" t="n">
        <v>4.7</v>
      </c>
      <c r="H10" t="n">
        <v>5.9</v>
      </c>
      <c r="I10" t="n">
        <v>6</v>
      </c>
      <c r="J10" t="n">
        <v>5.3</v>
      </c>
      <c r="K10" t="n">
        <v>6.2</v>
      </c>
      <c r="L10" t="n">
        <v>6.2</v>
      </c>
      <c r="M10" t="n">
        <v>6</v>
      </c>
      <c r="N10" t="n">
        <v>8.1</v>
      </c>
      <c r="O10" t="n">
        <v>4.6</v>
      </c>
      <c r="P10" t="n">
        <v>5.2</v>
      </c>
      <c r="Q10" t="n">
        <v>4.2</v>
      </c>
      <c r="R10" t="n">
        <v>67.59999999999999</v>
      </c>
    </row>
    <row r="11">
      <c r="A11" t="n">
        <v>184</v>
      </c>
      <c r="B11" t="inlineStr">
        <is>
          <t>제주특별시</t>
        </is>
      </c>
      <c r="C11" t="inlineStr">
        <is>
          <t>제주</t>
        </is>
      </c>
      <c r="D11" t="n">
        <v>10</v>
      </c>
      <c r="E11" t="inlineStr">
        <is>
          <t>일강수량：5㎜ 이상</t>
        </is>
      </c>
      <c r="F11" t="n">
        <v>3.4</v>
      </c>
      <c r="G11" t="n">
        <v>3.6</v>
      </c>
      <c r="H11" t="n">
        <v>4.5</v>
      </c>
      <c r="I11" t="n">
        <v>5.1</v>
      </c>
      <c r="J11" t="n">
        <v>3.8</v>
      </c>
      <c r="K11" t="n">
        <v>5.3</v>
      </c>
      <c r="L11" t="n">
        <v>5.2</v>
      </c>
      <c r="M11" t="n">
        <v>4.4</v>
      </c>
      <c r="N11" t="n">
        <v>7.1</v>
      </c>
      <c r="O11" t="n">
        <v>3.8</v>
      </c>
      <c r="P11" t="n">
        <v>3.9</v>
      </c>
      <c r="Q11" t="n">
        <v>3.1</v>
      </c>
      <c r="R11" t="n">
        <v>53.2</v>
      </c>
    </row>
    <row r="12">
      <c r="A12" t="n">
        <v>184</v>
      </c>
      <c r="B12" t="inlineStr">
        <is>
          <t>제주특별시</t>
        </is>
      </c>
      <c r="C12" t="inlineStr">
        <is>
          <t>제주</t>
        </is>
      </c>
      <c r="D12" t="n">
        <v>11</v>
      </c>
      <c r="E12" t="inlineStr">
        <is>
          <t>일강수량：10㎜ 이상</t>
        </is>
      </c>
      <c r="F12" t="n">
        <v>2.1</v>
      </c>
      <c r="G12" t="n">
        <v>2.3</v>
      </c>
      <c r="H12" t="n">
        <v>2.6</v>
      </c>
      <c r="I12" t="n">
        <v>3</v>
      </c>
      <c r="J12" t="n">
        <v>2.8</v>
      </c>
      <c r="K12" t="n">
        <v>4.4</v>
      </c>
      <c r="L12" t="n">
        <v>4.1</v>
      </c>
      <c r="M12" t="n">
        <v>3.6</v>
      </c>
      <c r="N12" t="n">
        <v>5.6</v>
      </c>
      <c r="O12" t="n">
        <v>2.6</v>
      </c>
      <c r="P12" t="n">
        <v>2.3</v>
      </c>
      <c r="Q12" t="n">
        <v>1.6</v>
      </c>
      <c r="R12" t="n">
        <v>37</v>
      </c>
    </row>
    <row r="13">
      <c r="A13" t="n">
        <v>184</v>
      </c>
      <c r="B13" t="inlineStr">
        <is>
          <t>제주특별시</t>
        </is>
      </c>
      <c r="C13" t="inlineStr">
        <is>
          <t>제주</t>
        </is>
      </c>
      <c r="D13" t="n">
        <v>12</v>
      </c>
      <c r="E13" t="inlineStr">
        <is>
          <t>일강수량：20㎜ 이상</t>
        </is>
      </c>
      <c r="F13" t="n">
        <v>0.8</v>
      </c>
      <c r="G13" t="n">
        <v>0.9</v>
      </c>
      <c r="H13" t="n">
        <v>1.2</v>
      </c>
      <c r="I13" t="n">
        <v>1.2</v>
      </c>
      <c r="J13" t="n">
        <v>1.6</v>
      </c>
      <c r="K13" t="n">
        <v>3.1</v>
      </c>
      <c r="L13" t="n">
        <v>2.8</v>
      </c>
      <c r="M13" t="n">
        <v>2.6</v>
      </c>
      <c r="N13" t="n">
        <v>3.7</v>
      </c>
      <c r="O13" t="n">
        <v>1.5</v>
      </c>
      <c r="P13" t="n">
        <v>0.8</v>
      </c>
      <c r="Q13" t="n">
        <v>0.5</v>
      </c>
      <c r="R13" t="n">
        <v>20.7</v>
      </c>
    </row>
    <row r="14">
      <c r="A14" t="n">
        <v>184</v>
      </c>
      <c r="B14" t="inlineStr">
        <is>
          <t>제주특별시</t>
        </is>
      </c>
      <c r="C14" t="inlineStr">
        <is>
          <t>제주</t>
        </is>
      </c>
      <c r="D14" t="n">
        <v>13</v>
      </c>
      <c r="E14" t="inlineStr">
        <is>
          <t>일최대순간풍속：15m/s 이상</t>
        </is>
      </c>
      <c r="F14" t="n">
        <v>6.5</v>
      </c>
      <c r="G14" t="n">
        <v>5.6</v>
      </c>
      <c r="H14" t="n">
        <v>5.4</v>
      </c>
      <c r="I14" t="n">
        <v>4</v>
      </c>
      <c r="J14" t="n">
        <v>3</v>
      </c>
      <c r="K14" t="n">
        <v>2.6</v>
      </c>
      <c r="L14" t="n">
        <v>3.7</v>
      </c>
      <c r="M14" t="n">
        <v>2.4</v>
      </c>
      <c r="N14" t="n">
        <v>2.5</v>
      </c>
      <c r="O14" t="n">
        <v>3.6</v>
      </c>
      <c r="P14" t="n">
        <v>4.2</v>
      </c>
      <c r="Q14" t="n">
        <v>8.199999999999999</v>
      </c>
      <c r="R14" t="n">
        <v>51.7</v>
      </c>
    </row>
    <row r="15">
      <c r="A15" t="n">
        <v>189</v>
      </c>
      <c r="B15" t="inlineStr">
        <is>
          <t>제주특별시</t>
        </is>
      </c>
      <c r="C15" t="inlineStr">
        <is>
          <t>서귀포</t>
        </is>
      </c>
      <c r="D15" t="n">
        <v>1</v>
      </c>
      <c r="E15" t="inlineStr">
        <is>
          <t>혹서기：체감온도 33°C 이상</t>
        </is>
      </c>
      <c r="F15" t="n">
        <v>0</v>
      </c>
      <c r="G15" t="n">
        <v>0</v>
      </c>
      <c r="H15" t="n">
        <v>0</v>
      </c>
      <c r="I15" t="n">
        <v>0</v>
      </c>
      <c r="J15" t="n">
        <v>0</v>
      </c>
      <c r="K15" t="n">
        <v>0</v>
      </c>
      <c r="L15" t="n">
        <v>6.1</v>
      </c>
      <c r="M15" t="n">
        <v>16.2</v>
      </c>
      <c r="N15" t="n">
        <v>1.7</v>
      </c>
      <c r="O15" t="n">
        <v>0</v>
      </c>
      <c r="P15" t="n">
        <v>0</v>
      </c>
      <c r="Q15" t="n">
        <v>0</v>
      </c>
      <c r="R15" t="n">
        <v>24</v>
      </c>
    </row>
    <row r="16">
      <c r="A16" t="n">
        <v>189</v>
      </c>
      <c r="B16" t="inlineStr">
        <is>
          <t>제주특별시</t>
        </is>
      </c>
      <c r="C16" t="inlineStr">
        <is>
          <t>서귀포</t>
        </is>
      </c>
      <c r="D16" t="n">
        <v>2</v>
      </c>
      <c r="E16" t="inlineStr">
        <is>
          <t>혹서기：체감온도 35°C 이상</t>
        </is>
      </c>
      <c r="F16" t="n">
        <v>0</v>
      </c>
      <c r="G16" t="n">
        <v>0</v>
      </c>
      <c r="H16" t="n">
        <v>0</v>
      </c>
      <c r="I16" t="n">
        <v>0</v>
      </c>
      <c r="J16" t="n">
        <v>0</v>
      </c>
      <c r="K16" t="n">
        <v>0</v>
      </c>
      <c r="L16" t="n">
        <v>0.5</v>
      </c>
      <c r="M16" t="n">
        <v>1.9</v>
      </c>
      <c r="N16" t="n">
        <v>0</v>
      </c>
      <c r="O16" t="n">
        <v>0</v>
      </c>
      <c r="P16" t="n">
        <v>0</v>
      </c>
      <c r="Q16" t="n">
        <v>0</v>
      </c>
      <c r="R16" t="n">
        <v>2.4</v>
      </c>
    </row>
    <row r="17">
      <c r="A17" t="n">
        <v>189</v>
      </c>
      <c r="B17" t="inlineStr">
        <is>
          <t>제주특별시</t>
        </is>
      </c>
      <c r="C17" t="inlineStr">
        <is>
          <t>서귀포</t>
        </is>
      </c>
      <c r="D17" t="n">
        <v>3</v>
      </c>
      <c r="E17" t="inlineStr">
        <is>
          <t>혹서기：일최고온도 33°C 이상</t>
        </is>
      </c>
      <c r="F17" t="n">
        <v>0</v>
      </c>
      <c r="G17" t="n">
        <v>0</v>
      </c>
      <c r="H17" t="n">
        <v>0</v>
      </c>
      <c r="I17" t="n">
        <v>0</v>
      </c>
      <c r="J17" t="n">
        <v>0</v>
      </c>
      <c r="K17" t="n">
        <v>0</v>
      </c>
      <c r="L17" t="n">
        <v>0.4</v>
      </c>
      <c r="M17" t="n">
        <v>2.6</v>
      </c>
      <c r="N17" t="n">
        <v>0.9</v>
      </c>
      <c r="O17" t="n">
        <v>0</v>
      </c>
      <c r="P17" t="n">
        <v>0</v>
      </c>
      <c r="Q17" t="n">
        <v>0</v>
      </c>
      <c r="R17" t="n">
        <v>3.9</v>
      </c>
    </row>
    <row r="18">
      <c r="A18" t="n">
        <v>189</v>
      </c>
      <c r="B18" t="inlineStr">
        <is>
          <t>제주특별시</t>
        </is>
      </c>
      <c r="C18" t="inlineStr">
        <is>
          <t>서귀포</t>
        </is>
      </c>
      <c r="D18" t="n">
        <v>4</v>
      </c>
      <c r="E18" t="inlineStr">
        <is>
          <t>혹서기：일최고온도 35°C 이상</t>
        </is>
      </c>
      <c r="F18" t="n">
        <v>0</v>
      </c>
      <c r="G18" t="n">
        <v>0</v>
      </c>
      <c r="H18" t="n">
        <v>0</v>
      </c>
      <c r="I18" t="n">
        <v>0</v>
      </c>
      <c r="J18" t="n">
        <v>0</v>
      </c>
      <c r="K18" t="n">
        <v>0</v>
      </c>
      <c r="L18" t="n">
        <v>0.1</v>
      </c>
      <c r="M18" t="n">
        <v>0.2</v>
      </c>
      <c r="N18" t="n">
        <v>0</v>
      </c>
      <c r="O18" t="n">
        <v>0</v>
      </c>
      <c r="P18" t="n">
        <v>0</v>
      </c>
      <c r="Q18" t="n">
        <v>0</v>
      </c>
      <c r="R18" t="n">
        <v>0.3</v>
      </c>
    </row>
    <row r="19">
      <c r="A19" t="n">
        <v>189</v>
      </c>
      <c r="B19" t="inlineStr">
        <is>
          <t>제주특별시</t>
        </is>
      </c>
      <c r="C19" t="inlineStr">
        <is>
          <t>서귀포</t>
        </is>
      </c>
      <c r="D19" t="n">
        <v>5</v>
      </c>
      <c r="E19" t="inlineStr">
        <is>
          <t>동절기：일최고기온 0°C 이하</t>
        </is>
      </c>
      <c r="F19" t="n">
        <v>0.1</v>
      </c>
      <c r="G19" t="n">
        <v>0</v>
      </c>
      <c r="H19" t="n">
        <v>0</v>
      </c>
      <c r="I19" t="n">
        <v>0</v>
      </c>
      <c r="J19" t="n">
        <v>0</v>
      </c>
      <c r="K19" t="n">
        <v>0</v>
      </c>
      <c r="L19" t="n">
        <v>0</v>
      </c>
      <c r="M19" t="n">
        <v>0</v>
      </c>
      <c r="N19" t="n">
        <v>0</v>
      </c>
      <c r="O19" t="n">
        <v>0</v>
      </c>
      <c r="P19" t="n">
        <v>0</v>
      </c>
      <c r="Q19" t="n">
        <v>0</v>
      </c>
      <c r="R19" t="n">
        <v>0.1</v>
      </c>
    </row>
    <row r="20">
      <c r="A20" t="n">
        <v>189</v>
      </c>
      <c r="B20" t="inlineStr">
        <is>
          <t>제주특별시</t>
        </is>
      </c>
      <c r="C20" t="inlineStr">
        <is>
          <t>서귀포</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189</v>
      </c>
      <c r="B21" t="inlineStr">
        <is>
          <t>제주특별시</t>
        </is>
      </c>
      <c r="C21" t="inlineStr">
        <is>
          <t>서귀포</t>
        </is>
      </c>
      <c r="D21" t="n">
        <v>7</v>
      </c>
      <c r="E21" t="inlineStr">
        <is>
          <t>동절기：일최고기온 0°C 이하 이거나 일최심신적설 5㎝ 이상</t>
        </is>
      </c>
      <c r="F21" t="n">
        <v>0.1</v>
      </c>
      <c r="G21" t="n">
        <v>0</v>
      </c>
      <c r="H21" t="n">
        <v>0</v>
      </c>
      <c r="I21" t="n">
        <v>0</v>
      </c>
      <c r="J21" t="n">
        <v>0</v>
      </c>
      <c r="K21" t="n">
        <v>0</v>
      </c>
      <c r="L21" t="n">
        <v>0</v>
      </c>
      <c r="M21" t="n">
        <v>0</v>
      </c>
      <c r="N21" t="n">
        <v>0</v>
      </c>
      <c r="O21" t="n">
        <v>0</v>
      </c>
      <c r="P21" t="n">
        <v>0</v>
      </c>
      <c r="Q21" t="n">
        <v>0</v>
      </c>
      <c r="R21" t="n">
        <v>0.1</v>
      </c>
    </row>
    <row r="22">
      <c r="A22" t="n">
        <v>189</v>
      </c>
      <c r="B22" t="inlineStr">
        <is>
          <t>제주특별시</t>
        </is>
      </c>
      <c r="C22" t="inlineStr">
        <is>
          <t>서귀포</t>
        </is>
      </c>
      <c r="D22" t="n">
        <v>8</v>
      </c>
      <c r="E22" t="inlineStr">
        <is>
          <t>동절기：일최저기온 -12°C 이하</t>
        </is>
      </c>
      <c r="F22" t="n">
        <v>0</v>
      </c>
      <c r="G22" t="n">
        <v>0</v>
      </c>
      <c r="H22" t="n">
        <v>0</v>
      </c>
      <c r="I22" t="n">
        <v>0</v>
      </c>
      <c r="J22" t="n">
        <v>0</v>
      </c>
      <c r="K22" t="n">
        <v>0</v>
      </c>
      <c r="L22" t="n">
        <v>0</v>
      </c>
      <c r="M22" t="n">
        <v>0</v>
      </c>
      <c r="N22" t="n">
        <v>0</v>
      </c>
      <c r="O22" t="n">
        <v>0</v>
      </c>
      <c r="P22" t="n">
        <v>0</v>
      </c>
      <c r="Q22" t="n">
        <v>0</v>
      </c>
      <c r="R22" t="n">
        <v>0</v>
      </c>
    </row>
    <row r="23">
      <c r="A23" t="n">
        <v>189</v>
      </c>
      <c r="B23" t="inlineStr">
        <is>
          <t>제주특별시</t>
        </is>
      </c>
      <c r="C23" t="inlineStr">
        <is>
          <t>서귀포</t>
        </is>
      </c>
      <c r="D23" t="n">
        <v>9</v>
      </c>
      <c r="E23" t="inlineStr">
        <is>
          <t>일강수량：3㎜ 이상</t>
        </is>
      </c>
      <c r="F23" t="n">
        <v>4.4</v>
      </c>
      <c r="G23" t="n">
        <v>4.4</v>
      </c>
      <c r="H23" t="n">
        <v>6.1</v>
      </c>
      <c r="I23" t="n">
        <v>6.6</v>
      </c>
      <c r="J23" t="n">
        <v>7.5</v>
      </c>
      <c r="K23" t="n">
        <v>7.3</v>
      </c>
      <c r="L23" t="n">
        <v>7.9</v>
      </c>
      <c r="M23" t="n">
        <v>7.2</v>
      </c>
      <c r="N23" t="n">
        <v>9</v>
      </c>
      <c r="O23" t="n">
        <v>4</v>
      </c>
      <c r="P23" t="n">
        <v>4.4</v>
      </c>
      <c r="Q23" t="n">
        <v>3.5</v>
      </c>
      <c r="R23" t="n">
        <v>72.3</v>
      </c>
    </row>
    <row r="24">
      <c r="A24" t="n">
        <v>189</v>
      </c>
      <c r="B24" t="inlineStr">
        <is>
          <t>제주특별시</t>
        </is>
      </c>
      <c r="C24" t="inlineStr">
        <is>
          <t>서귀포</t>
        </is>
      </c>
      <c r="D24" t="n">
        <v>10</v>
      </c>
      <c r="E24" t="inlineStr">
        <is>
          <t>일강수량：5㎜ 이상</t>
        </is>
      </c>
      <c r="F24" t="n">
        <v>3.1</v>
      </c>
      <c r="G24" t="n">
        <v>3.5</v>
      </c>
      <c r="H24" t="n">
        <v>5.2</v>
      </c>
      <c r="I24" t="n">
        <v>5.8</v>
      </c>
      <c r="J24" t="n">
        <v>5.9</v>
      </c>
      <c r="K24" t="n">
        <v>6.8</v>
      </c>
      <c r="L24" t="n">
        <v>6.5</v>
      </c>
      <c r="M24" t="n">
        <v>6.4</v>
      </c>
      <c r="N24" t="n">
        <v>8</v>
      </c>
      <c r="O24" t="n">
        <v>3.6</v>
      </c>
      <c r="P24" t="n">
        <v>3.6</v>
      </c>
      <c r="Q24" t="n">
        <v>2</v>
      </c>
      <c r="R24" t="n">
        <v>60.4</v>
      </c>
    </row>
    <row r="25">
      <c r="A25" t="n">
        <v>189</v>
      </c>
      <c r="B25" t="inlineStr">
        <is>
          <t>제주특별시</t>
        </is>
      </c>
      <c r="C25" t="inlineStr">
        <is>
          <t>서귀포</t>
        </is>
      </c>
      <c r="D25" t="n">
        <v>11</v>
      </c>
      <c r="E25" t="inlineStr">
        <is>
          <t>일강수량：10㎜ 이상</t>
        </is>
      </c>
      <c r="F25" t="n">
        <v>2.2</v>
      </c>
      <c r="G25" t="n">
        <v>2.1</v>
      </c>
      <c r="H25" t="n">
        <v>3.7</v>
      </c>
      <c r="I25" t="n">
        <v>4.1</v>
      </c>
      <c r="J25" t="n">
        <v>4.6</v>
      </c>
      <c r="K25" t="n">
        <v>5.4</v>
      </c>
      <c r="L25" t="n">
        <v>4.8</v>
      </c>
      <c r="M25" t="n">
        <v>5.1</v>
      </c>
      <c r="N25" t="n">
        <v>6.3</v>
      </c>
      <c r="O25" t="n">
        <v>2.4</v>
      </c>
      <c r="P25" t="n">
        <v>1.6</v>
      </c>
      <c r="Q25" t="n">
        <v>1.3</v>
      </c>
      <c r="R25" t="n">
        <v>43.6</v>
      </c>
    </row>
    <row r="26">
      <c r="A26" t="n">
        <v>189</v>
      </c>
      <c r="B26" t="inlineStr">
        <is>
          <t>제주특별시</t>
        </is>
      </c>
      <c r="C26" t="inlineStr">
        <is>
          <t>서귀포</t>
        </is>
      </c>
      <c r="D26" t="n">
        <v>12</v>
      </c>
      <c r="E26" t="inlineStr">
        <is>
          <t>일강수량：20㎜ 이상</t>
        </is>
      </c>
      <c r="F26" t="n">
        <v>1</v>
      </c>
      <c r="G26" t="n">
        <v>0.8</v>
      </c>
      <c r="H26" t="n">
        <v>1.3</v>
      </c>
      <c r="I26" t="n">
        <v>3.3</v>
      </c>
      <c r="J26" t="n">
        <v>2.9</v>
      </c>
      <c r="K26" t="n">
        <v>4.5</v>
      </c>
      <c r="L26" t="n">
        <v>3.6</v>
      </c>
      <c r="M26" t="n">
        <v>3.6</v>
      </c>
      <c r="N26" t="n">
        <v>3.8</v>
      </c>
      <c r="O26" t="n">
        <v>1.6</v>
      </c>
      <c r="P26" t="n">
        <v>0.7</v>
      </c>
      <c r="Q26" t="n">
        <v>0.6</v>
      </c>
      <c r="R26" t="n">
        <v>27.7</v>
      </c>
    </row>
    <row r="27">
      <c r="A27" t="n">
        <v>189</v>
      </c>
      <c r="B27" t="inlineStr">
        <is>
          <t>제주특별시</t>
        </is>
      </c>
      <c r="C27" t="inlineStr">
        <is>
          <t>서귀포</t>
        </is>
      </c>
      <c r="D27" t="n">
        <v>13</v>
      </c>
      <c r="E27" t="inlineStr">
        <is>
          <t>일최대순간풍속：15m/s 이상</t>
        </is>
      </c>
      <c r="F27" t="n">
        <v>0.1</v>
      </c>
      <c r="G27" t="n">
        <v>0.7</v>
      </c>
      <c r="H27" t="n">
        <v>0.6</v>
      </c>
      <c r="I27" t="n">
        <v>0.3</v>
      </c>
      <c r="J27" t="n">
        <v>0.4</v>
      </c>
      <c r="K27" t="n">
        <v>0.3</v>
      </c>
      <c r="L27" t="n">
        <v>0.4</v>
      </c>
      <c r="M27" t="n">
        <v>0.6</v>
      </c>
      <c r="N27" t="n">
        <v>0.8</v>
      </c>
      <c r="O27" t="n">
        <v>0.9</v>
      </c>
      <c r="P27" t="n">
        <v>0.4</v>
      </c>
      <c r="Q27" t="n">
        <v>0.1</v>
      </c>
      <c r="R27" t="n">
        <v>5.6</v>
      </c>
    </row>
    <row r="28">
      <c r="A28" t="n">
        <v>185</v>
      </c>
      <c r="B28" t="inlineStr">
        <is>
          <t>제주특별시</t>
        </is>
      </c>
      <c r="C28" t="inlineStr">
        <is>
          <t>고산</t>
        </is>
      </c>
      <c r="D28" t="n">
        <v>1</v>
      </c>
      <c r="E28" t="inlineStr">
        <is>
          <t>혹서기：체감온도 33°C 이상</t>
        </is>
      </c>
      <c r="F28" t="n">
        <v>0</v>
      </c>
      <c r="G28" t="n">
        <v>0</v>
      </c>
      <c r="H28" t="n">
        <v>0</v>
      </c>
      <c r="I28" t="n">
        <v>0</v>
      </c>
      <c r="J28" t="n">
        <v>0</v>
      </c>
      <c r="K28" t="n">
        <v>0</v>
      </c>
      <c r="L28" t="n">
        <v>6.5</v>
      </c>
      <c r="M28" t="n">
        <v>15.3</v>
      </c>
      <c r="N28" t="n">
        <v>1</v>
      </c>
      <c r="O28" t="n">
        <v>0</v>
      </c>
      <c r="P28" t="n">
        <v>0</v>
      </c>
      <c r="Q28" t="n">
        <v>0</v>
      </c>
      <c r="R28" t="n">
        <v>22.8</v>
      </c>
    </row>
    <row r="29">
      <c r="A29" t="n">
        <v>185</v>
      </c>
      <c r="B29" t="inlineStr">
        <is>
          <t>제주특별시</t>
        </is>
      </c>
      <c r="C29" t="inlineStr">
        <is>
          <t>고산</t>
        </is>
      </c>
      <c r="D29" t="n">
        <v>2</v>
      </c>
      <c r="E29" t="inlineStr">
        <is>
          <t>혹서기：체감온도 35°C 이상</t>
        </is>
      </c>
      <c r="F29" t="n">
        <v>0</v>
      </c>
      <c r="G29" t="n">
        <v>0</v>
      </c>
      <c r="H29" t="n">
        <v>0</v>
      </c>
      <c r="I29" t="n">
        <v>0</v>
      </c>
      <c r="J29" t="n">
        <v>0</v>
      </c>
      <c r="K29" t="n">
        <v>0</v>
      </c>
      <c r="L29" t="n">
        <v>1.1</v>
      </c>
      <c r="M29" t="n">
        <v>2.1</v>
      </c>
      <c r="N29" t="n">
        <v>0</v>
      </c>
      <c r="O29" t="n">
        <v>0</v>
      </c>
      <c r="P29" t="n">
        <v>0</v>
      </c>
      <c r="Q29" t="n">
        <v>0</v>
      </c>
      <c r="R29" t="n">
        <v>3.2</v>
      </c>
    </row>
    <row r="30">
      <c r="A30" t="n">
        <v>185</v>
      </c>
      <c r="B30" t="inlineStr">
        <is>
          <t>제주특별시</t>
        </is>
      </c>
      <c r="C30" t="inlineStr">
        <is>
          <t>고산</t>
        </is>
      </c>
      <c r="D30" t="n">
        <v>3</v>
      </c>
      <c r="E30" t="inlineStr">
        <is>
          <t>혹서기：일최고온도 33°C 이상</t>
        </is>
      </c>
      <c r="F30" t="n">
        <v>0</v>
      </c>
      <c r="G30" t="n">
        <v>0</v>
      </c>
      <c r="H30" t="n">
        <v>0</v>
      </c>
      <c r="I30" t="n">
        <v>0</v>
      </c>
      <c r="J30" t="n">
        <v>0</v>
      </c>
      <c r="K30" t="n">
        <v>0</v>
      </c>
      <c r="L30" t="n">
        <v>0.8</v>
      </c>
      <c r="M30" t="n">
        <v>2.6</v>
      </c>
      <c r="N30" t="n">
        <v>0.3</v>
      </c>
      <c r="O30" t="n">
        <v>0</v>
      </c>
      <c r="P30" t="n">
        <v>0</v>
      </c>
      <c r="Q30" t="n">
        <v>0</v>
      </c>
      <c r="R30" t="n">
        <v>3.7</v>
      </c>
    </row>
    <row r="31">
      <c r="A31" t="n">
        <v>185</v>
      </c>
      <c r="B31" t="inlineStr">
        <is>
          <t>제주특별시</t>
        </is>
      </c>
      <c r="C31" t="inlineStr">
        <is>
          <t>고산</t>
        </is>
      </c>
      <c r="D31" t="n">
        <v>4</v>
      </c>
      <c r="E31" t="inlineStr">
        <is>
          <t>혹서기：일최고온도 35°C 이상</t>
        </is>
      </c>
      <c r="F31" t="n">
        <v>0</v>
      </c>
      <c r="G31" t="n">
        <v>0</v>
      </c>
      <c r="H31" t="n">
        <v>0</v>
      </c>
      <c r="I31" t="n">
        <v>0</v>
      </c>
      <c r="J31" t="n">
        <v>0</v>
      </c>
      <c r="K31" t="n">
        <v>0</v>
      </c>
      <c r="L31" t="n">
        <v>0</v>
      </c>
      <c r="M31" t="n">
        <v>0.2</v>
      </c>
      <c r="N31" t="n">
        <v>0</v>
      </c>
      <c r="O31" t="n">
        <v>0</v>
      </c>
      <c r="P31" t="n">
        <v>0</v>
      </c>
      <c r="Q31" t="n">
        <v>0</v>
      </c>
      <c r="R31" t="n">
        <v>0.2</v>
      </c>
    </row>
    <row r="32">
      <c r="A32" t="n">
        <v>185</v>
      </c>
      <c r="B32" t="inlineStr">
        <is>
          <t>제주특별시</t>
        </is>
      </c>
      <c r="C32" t="inlineStr">
        <is>
          <t>고산</t>
        </is>
      </c>
      <c r="D32" t="n">
        <v>5</v>
      </c>
      <c r="E32" t="inlineStr">
        <is>
          <t>동절기：일최고기온 0°C 이하</t>
        </is>
      </c>
      <c r="F32" t="n">
        <v>0.2</v>
      </c>
      <c r="G32" t="n">
        <v>0</v>
      </c>
      <c r="H32" t="n">
        <v>0</v>
      </c>
      <c r="I32" t="n">
        <v>0</v>
      </c>
      <c r="J32" t="n">
        <v>0</v>
      </c>
      <c r="K32" t="n">
        <v>0</v>
      </c>
      <c r="L32" t="n">
        <v>0</v>
      </c>
      <c r="M32" t="n">
        <v>0</v>
      </c>
      <c r="N32" t="n">
        <v>0</v>
      </c>
      <c r="O32" t="n">
        <v>0</v>
      </c>
      <c r="P32" t="n">
        <v>0</v>
      </c>
      <c r="Q32" t="n">
        <v>0</v>
      </c>
      <c r="R32" t="n">
        <v>0.2</v>
      </c>
    </row>
    <row r="33">
      <c r="A33" t="n">
        <v>185</v>
      </c>
      <c r="B33" t="inlineStr">
        <is>
          <t>제주특별시</t>
        </is>
      </c>
      <c r="C33" t="inlineStr">
        <is>
          <t>고산</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185</v>
      </c>
      <c r="B34" t="inlineStr">
        <is>
          <t>제주특별시</t>
        </is>
      </c>
      <c r="C34" t="inlineStr">
        <is>
          <t>고산</t>
        </is>
      </c>
      <c r="D34" t="n">
        <v>7</v>
      </c>
      <c r="E34" t="inlineStr">
        <is>
          <t>동절기：일최고기온 0°C 이하 이거나 일최심신적설 5㎝ 이상</t>
        </is>
      </c>
      <c r="F34" t="n">
        <v>0.2</v>
      </c>
      <c r="G34" t="n">
        <v>0</v>
      </c>
      <c r="H34" t="n">
        <v>0</v>
      </c>
      <c r="I34" t="n">
        <v>0</v>
      </c>
      <c r="J34" t="n">
        <v>0</v>
      </c>
      <c r="K34" t="n">
        <v>0</v>
      </c>
      <c r="L34" t="n">
        <v>0</v>
      </c>
      <c r="M34" t="n">
        <v>0</v>
      </c>
      <c r="N34" t="n">
        <v>0</v>
      </c>
      <c r="O34" t="n">
        <v>0</v>
      </c>
      <c r="P34" t="n">
        <v>0</v>
      </c>
      <c r="Q34" t="n">
        <v>0</v>
      </c>
      <c r="R34" t="n">
        <v>0.2</v>
      </c>
    </row>
    <row r="35">
      <c r="A35" t="n">
        <v>185</v>
      </c>
      <c r="B35" t="inlineStr">
        <is>
          <t>제주특별시</t>
        </is>
      </c>
      <c r="C35" t="inlineStr">
        <is>
          <t>고산</t>
        </is>
      </c>
      <c r="D35" t="n">
        <v>8</v>
      </c>
      <c r="E35" t="inlineStr">
        <is>
          <t>동절기：일최저기온 -12°C 이하</t>
        </is>
      </c>
      <c r="F35" t="n">
        <v>0</v>
      </c>
      <c r="G35" t="n">
        <v>0</v>
      </c>
      <c r="H35" t="n">
        <v>0</v>
      </c>
      <c r="I35" t="n">
        <v>0</v>
      </c>
      <c r="J35" t="n">
        <v>0</v>
      </c>
      <c r="K35" t="n">
        <v>0</v>
      </c>
      <c r="L35" t="n">
        <v>0</v>
      </c>
      <c r="M35" t="n">
        <v>0</v>
      </c>
      <c r="N35" t="n">
        <v>0</v>
      </c>
      <c r="O35" t="n">
        <v>0</v>
      </c>
      <c r="P35" t="n">
        <v>0</v>
      </c>
      <c r="Q35" t="n">
        <v>0</v>
      </c>
      <c r="R35" t="n">
        <v>0</v>
      </c>
    </row>
    <row r="36">
      <c r="A36" t="n">
        <v>185</v>
      </c>
      <c r="B36" t="inlineStr">
        <is>
          <t>제주특별시</t>
        </is>
      </c>
      <c r="C36" t="inlineStr">
        <is>
          <t>고산</t>
        </is>
      </c>
      <c r="D36" t="n">
        <v>9</v>
      </c>
      <c r="E36" t="inlineStr">
        <is>
          <t>일강수량：3㎜ 이상</t>
        </is>
      </c>
      <c r="F36" t="n">
        <v>3.6</v>
      </c>
      <c r="G36" t="n">
        <v>3.4</v>
      </c>
      <c r="H36" t="n">
        <v>5.5</v>
      </c>
      <c r="I36" t="n">
        <v>5.3</v>
      </c>
      <c r="J36" t="n">
        <v>5.5</v>
      </c>
      <c r="K36" t="n">
        <v>6.6</v>
      </c>
      <c r="L36" t="n">
        <v>6.1</v>
      </c>
      <c r="M36" t="n">
        <v>6.2</v>
      </c>
      <c r="N36" t="n">
        <v>7.3</v>
      </c>
      <c r="O36" t="n">
        <v>3.6</v>
      </c>
      <c r="P36" t="n">
        <v>4</v>
      </c>
      <c r="Q36" t="n">
        <v>3.4</v>
      </c>
      <c r="R36" t="n">
        <v>60.5</v>
      </c>
    </row>
    <row r="37">
      <c r="A37" t="n">
        <v>185</v>
      </c>
      <c r="B37" t="inlineStr">
        <is>
          <t>제주특별시</t>
        </is>
      </c>
      <c r="C37" t="inlineStr">
        <is>
          <t>고산</t>
        </is>
      </c>
      <c r="D37" t="n">
        <v>10</v>
      </c>
      <c r="E37" t="inlineStr">
        <is>
          <t>일강수량：5㎜ 이상</t>
        </is>
      </c>
      <c r="F37" t="n">
        <v>2.9</v>
      </c>
      <c r="G37" t="n">
        <v>2.6</v>
      </c>
      <c r="H37" t="n">
        <v>4.5</v>
      </c>
      <c r="I37" t="n">
        <v>4.7</v>
      </c>
      <c r="J37" t="n">
        <v>4.9</v>
      </c>
      <c r="K37" t="n">
        <v>5.6</v>
      </c>
      <c r="L37" t="n">
        <v>4.8</v>
      </c>
      <c r="M37" t="n">
        <v>4.9</v>
      </c>
      <c r="N37" t="n">
        <v>6.7</v>
      </c>
      <c r="O37" t="n">
        <v>2.6</v>
      </c>
      <c r="P37" t="n">
        <v>3.1</v>
      </c>
      <c r="Q37" t="n">
        <v>2.6</v>
      </c>
      <c r="R37" t="n">
        <v>49.9</v>
      </c>
    </row>
    <row r="38">
      <c r="A38" t="n">
        <v>185</v>
      </c>
      <c r="B38" t="inlineStr">
        <is>
          <t>제주특별시</t>
        </is>
      </c>
      <c r="C38" t="inlineStr">
        <is>
          <t>고산</t>
        </is>
      </c>
      <c r="D38" t="n">
        <v>11</v>
      </c>
      <c r="E38" t="inlineStr">
        <is>
          <t>일강수량：10㎜ 이상</t>
        </is>
      </c>
      <c r="F38" t="n">
        <v>1.8</v>
      </c>
      <c r="G38" t="n">
        <v>1.6</v>
      </c>
      <c r="H38" t="n">
        <v>2.3</v>
      </c>
      <c r="I38" t="n">
        <v>3.3</v>
      </c>
      <c r="J38" t="n">
        <v>3.5</v>
      </c>
      <c r="K38" t="n">
        <v>4.7</v>
      </c>
      <c r="L38" t="n">
        <v>3.6</v>
      </c>
      <c r="M38" t="n">
        <v>3.8</v>
      </c>
      <c r="N38" t="n">
        <v>5.3</v>
      </c>
      <c r="O38" t="n">
        <v>1.7</v>
      </c>
      <c r="P38" t="n">
        <v>1.8</v>
      </c>
      <c r="Q38" t="n">
        <v>1.6</v>
      </c>
      <c r="R38" t="n">
        <v>35</v>
      </c>
    </row>
    <row r="39">
      <c r="A39" t="n">
        <v>185</v>
      </c>
      <c r="B39" t="inlineStr">
        <is>
          <t>제주특별시</t>
        </is>
      </c>
      <c r="C39" t="inlineStr">
        <is>
          <t>고산</t>
        </is>
      </c>
      <c r="D39" t="n">
        <v>12</v>
      </c>
      <c r="E39" t="inlineStr">
        <is>
          <t>일강수량：20㎜ 이상</t>
        </is>
      </c>
      <c r="F39" t="n">
        <v>0.6</v>
      </c>
      <c r="G39" t="n">
        <v>0.7</v>
      </c>
      <c r="H39" t="n">
        <v>1</v>
      </c>
      <c r="I39" t="n">
        <v>1.4</v>
      </c>
      <c r="J39" t="n">
        <v>2.3</v>
      </c>
      <c r="K39" t="n">
        <v>3.5</v>
      </c>
      <c r="L39" t="n">
        <v>2.4</v>
      </c>
      <c r="M39" t="n">
        <v>2.6</v>
      </c>
      <c r="N39" t="n">
        <v>2.8</v>
      </c>
      <c r="O39" t="n">
        <v>0.9</v>
      </c>
      <c r="P39" t="n">
        <v>0.7</v>
      </c>
      <c r="Q39" t="n">
        <v>0.6</v>
      </c>
      <c r="R39" t="n">
        <v>19.5</v>
      </c>
    </row>
    <row r="40">
      <c r="A40" t="n">
        <v>185</v>
      </c>
      <c r="B40" t="inlineStr">
        <is>
          <t>제주특별시</t>
        </is>
      </c>
      <c r="C40" t="inlineStr">
        <is>
          <t>고산</t>
        </is>
      </c>
      <c r="D40" t="n">
        <v>13</v>
      </c>
      <c r="E40" t="inlineStr">
        <is>
          <t>일최대순간풍속：15m/s 이상</t>
        </is>
      </c>
      <c r="F40" t="n">
        <v>19.6</v>
      </c>
      <c r="G40" t="n">
        <v>17.4</v>
      </c>
      <c r="H40" t="n">
        <v>12.5</v>
      </c>
      <c r="I40" t="n">
        <v>9.6</v>
      </c>
      <c r="J40" t="n">
        <v>6</v>
      </c>
      <c r="K40" t="n">
        <v>3</v>
      </c>
      <c r="L40" t="n">
        <v>4.1</v>
      </c>
      <c r="M40" t="n">
        <v>5.5</v>
      </c>
      <c r="N40" t="n">
        <v>5.5</v>
      </c>
      <c r="O40" t="n">
        <v>9.9</v>
      </c>
      <c r="P40" t="n">
        <v>12.2</v>
      </c>
      <c r="Q40" t="n">
        <v>19.7</v>
      </c>
      <c r="R40" t="n">
        <v>125</v>
      </c>
    </row>
    <row r="41">
      <c r="A41" t="n">
        <v>188</v>
      </c>
      <c r="B41" t="inlineStr">
        <is>
          <t>제주특별시</t>
        </is>
      </c>
      <c r="C41" t="inlineStr">
        <is>
          <t>성산</t>
        </is>
      </c>
      <c r="D41" t="n">
        <v>1</v>
      </c>
      <c r="E41" t="inlineStr">
        <is>
          <t>혹서기：체감온도 33°C 이상</t>
        </is>
      </c>
      <c r="F41" t="n">
        <v>0</v>
      </c>
      <c r="G41" t="n">
        <v>0</v>
      </c>
      <c r="H41" t="n">
        <v>0</v>
      </c>
      <c r="I41" t="n">
        <v>0</v>
      </c>
      <c r="J41" t="n">
        <v>0</v>
      </c>
      <c r="K41" t="n">
        <v>0</v>
      </c>
      <c r="L41" t="n">
        <v>8</v>
      </c>
      <c r="M41" t="n">
        <v>15.8</v>
      </c>
      <c r="N41" t="n">
        <v>1.8</v>
      </c>
      <c r="O41" t="n">
        <v>0</v>
      </c>
      <c r="P41" t="n">
        <v>0</v>
      </c>
      <c r="Q41" t="n">
        <v>0</v>
      </c>
      <c r="R41" t="n">
        <v>25.6</v>
      </c>
    </row>
    <row r="42">
      <c r="A42" t="n">
        <v>188</v>
      </c>
      <c r="B42" t="inlineStr">
        <is>
          <t>제주특별시</t>
        </is>
      </c>
      <c r="C42" t="inlineStr">
        <is>
          <t>성산</t>
        </is>
      </c>
      <c r="D42" t="n">
        <v>2</v>
      </c>
      <c r="E42" t="inlineStr">
        <is>
          <t>혹서기：체감온도 35°C 이상</t>
        </is>
      </c>
      <c r="F42" t="n">
        <v>0</v>
      </c>
      <c r="G42" t="n">
        <v>0</v>
      </c>
      <c r="H42" t="n">
        <v>0</v>
      </c>
      <c r="I42" t="n">
        <v>0</v>
      </c>
      <c r="J42" t="n">
        <v>0</v>
      </c>
      <c r="K42" t="n">
        <v>0</v>
      </c>
      <c r="L42" t="n">
        <v>0.8</v>
      </c>
      <c r="M42" t="n">
        <v>1.3</v>
      </c>
      <c r="N42" t="n">
        <v>0</v>
      </c>
      <c r="O42" t="n">
        <v>0</v>
      </c>
      <c r="P42" t="n">
        <v>0</v>
      </c>
      <c r="Q42" t="n">
        <v>0</v>
      </c>
      <c r="R42" t="n">
        <v>2.1</v>
      </c>
    </row>
    <row r="43">
      <c r="A43" t="n">
        <v>188</v>
      </c>
      <c r="B43" t="inlineStr">
        <is>
          <t>제주특별시</t>
        </is>
      </c>
      <c r="C43" t="inlineStr">
        <is>
          <t>성산</t>
        </is>
      </c>
      <c r="D43" t="n">
        <v>3</v>
      </c>
      <c r="E43" t="inlineStr">
        <is>
          <t>혹서기：일최고온도 33°C 이상</t>
        </is>
      </c>
      <c r="F43" t="n">
        <v>0</v>
      </c>
      <c r="G43" t="n">
        <v>0</v>
      </c>
      <c r="H43" t="n">
        <v>0</v>
      </c>
      <c r="I43" t="n">
        <v>0</v>
      </c>
      <c r="J43" t="n">
        <v>0</v>
      </c>
      <c r="K43" t="n">
        <v>0</v>
      </c>
      <c r="L43" t="n">
        <v>1.5</v>
      </c>
      <c r="M43" t="n">
        <v>3.2</v>
      </c>
      <c r="N43" t="n">
        <v>0.1</v>
      </c>
      <c r="O43" t="n">
        <v>0</v>
      </c>
      <c r="P43" t="n">
        <v>0</v>
      </c>
      <c r="Q43" t="n">
        <v>0</v>
      </c>
      <c r="R43" t="n">
        <v>4.8</v>
      </c>
    </row>
    <row r="44">
      <c r="A44" t="n">
        <v>188</v>
      </c>
      <c r="B44" t="inlineStr">
        <is>
          <t>제주특별시</t>
        </is>
      </c>
      <c r="C44" t="inlineStr">
        <is>
          <t>성산</t>
        </is>
      </c>
      <c r="D44" t="n">
        <v>4</v>
      </c>
      <c r="E44" t="inlineStr">
        <is>
          <t>혹서기：일최고온도 35°C 이상</t>
        </is>
      </c>
      <c r="F44" t="n">
        <v>0</v>
      </c>
      <c r="G44" t="n">
        <v>0</v>
      </c>
      <c r="H44" t="n">
        <v>0</v>
      </c>
      <c r="I44" t="n">
        <v>0</v>
      </c>
      <c r="J44" t="n">
        <v>0</v>
      </c>
      <c r="K44" t="n">
        <v>0</v>
      </c>
      <c r="L44" t="n">
        <v>0</v>
      </c>
      <c r="M44" t="n">
        <v>0.1</v>
      </c>
      <c r="N44" t="n">
        <v>0</v>
      </c>
      <c r="O44" t="n">
        <v>0</v>
      </c>
      <c r="P44" t="n">
        <v>0</v>
      </c>
      <c r="Q44" t="n">
        <v>0</v>
      </c>
      <c r="R44" t="n">
        <v>0.1</v>
      </c>
    </row>
    <row r="45">
      <c r="A45" t="n">
        <v>188</v>
      </c>
      <c r="B45" t="inlineStr">
        <is>
          <t>제주특별시</t>
        </is>
      </c>
      <c r="C45" t="inlineStr">
        <is>
          <t>성산</t>
        </is>
      </c>
      <c r="D45" t="n">
        <v>5</v>
      </c>
      <c r="E45" t="inlineStr">
        <is>
          <t>동절기：일최고기온 0°C 이하</t>
        </is>
      </c>
      <c r="F45" t="n">
        <v>0.5</v>
      </c>
      <c r="G45" t="n">
        <v>0.1</v>
      </c>
      <c r="H45" t="n">
        <v>0</v>
      </c>
      <c r="I45" t="n">
        <v>0</v>
      </c>
      <c r="J45" t="n">
        <v>0</v>
      </c>
      <c r="K45" t="n">
        <v>0</v>
      </c>
      <c r="L45" t="n">
        <v>0</v>
      </c>
      <c r="M45" t="n">
        <v>0</v>
      </c>
      <c r="N45" t="n">
        <v>0</v>
      </c>
      <c r="O45" t="n">
        <v>0</v>
      </c>
      <c r="P45" t="n">
        <v>0</v>
      </c>
      <c r="Q45" t="n">
        <v>0</v>
      </c>
      <c r="R45" t="n">
        <v>0.6</v>
      </c>
    </row>
    <row r="46">
      <c r="A46" t="n">
        <v>188</v>
      </c>
      <c r="B46" t="inlineStr">
        <is>
          <t>제주특별시</t>
        </is>
      </c>
      <c r="C46" t="inlineStr">
        <is>
          <t>성산</t>
        </is>
      </c>
      <c r="D46" t="n">
        <v>6</v>
      </c>
      <c r="E46" t="inlineStr">
        <is>
          <t>동절기：일최심신적설 5㎝ 이상</t>
        </is>
      </c>
      <c r="F46" t="n">
        <v>0.1</v>
      </c>
      <c r="G46" t="n">
        <v>0</v>
      </c>
      <c r="H46" t="n">
        <v>0</v>
      </c>
      <c r="I46" t="n">
        <v>0</v>
      </c>
      <c r="J46" t="n">
        <v>0</v>
      </c>
      <c r="K46" t="n">
        <v>0</v>
      </c>
      <c r="L46" t="n">
        <v>0</v>
      </c>
      <c r="M46" t="n">
        <v>0</v>
      </c>
      <c r="N46" t="n">
        <v>0</v>
      </c>
      <c r="O46" t="n">
        <v>0</v>
      </c>
      <c r="P46" t="n">
        <v>0</v>
      </c>
      <c r="Q46" t="n">
        <v>0</v>
      </c>
      <c r="R46" t="n">
        <v>0.1</v>
      </c>
    </row>
    <row r="47">
      <c r="A47" t="n">
        <v>188</v>
      </c>
      <c r="B47" t="inlineStr">
        <is>
          <t>제주특별시</t>
        </is>
      </c>
      <c r="C47" t="inlineStr">
        <is>
          <t>성산</t>
        </is>
      </c>
      <c r="D47" t="n">
        <v>7</v>
      </c>
      <c r="E47" t="inlineStr">
        <is>
          <t>동절기：일최고기온 0°C 이하 이거나 일최심신적설 5㎝ 이상</t>
        </is>
      </c>
      <c r="F47" t="n">
        <v>0.6</v>
      </c>
      <c r="G47" t="n">
        <v>0.1</v>
      </c>
      <c r="H47" t="n">
        <v>0</v>
      </c>
      <c r="I47" t="n">
        <v>0</v>
      </c>
      <c r="J47" t="n">
        <v>0</v>
      </c>
      <c r="K47" t="n">
        <v>0</v>
      </c>
      <c r="L47" t="n">
        <v>0</v>
      </c>
      <c r="M47" t="n">
        <v>0</v>
      </c>
      <c r="N47" t="n">
        <v>0</v>
      </c>
      <c r="O47" t="n">
        <v>0</v>
      </c>
      <c r="P47" t="n">
        <v>0</v>
      </c>
      <c r="Q47" t="n">
        <v>0</v>
      </c>
      <c r="R47" t="n">
        <v>0.7</v>
      </c>
    </row>
    <row r="48">
      <c r="A48" t="n">
        <v>188</v>
      </c>
      <c r="B48" t="inlineStr">
        <is>
          <t>제주특별시</t>
        </is>
      </c>
      <c r="C48" t="inlineStr">
        <is>
          <t>성산</t>
        </is>
      </c>
      <c r="D48" t="n">
        <v>8</v>
      </c>
      <c r="E48" t="inlineStr">
        <is>
          <t>동절기：일최저기온 -12°C 이하</t>
        </is>
      </c>
      <c r="F48" t="n">
        <v>0</v>
      </c>
      <c r="G48" t="n">
        <v>0</v>
      </c>
      <c r="H48" t="n">
        <v>0</v>
      </c>
      <c r="I48" t="n">
        <v>0</v>
      </c>
      <c r="J48" t="n">
        <v>0</v>
      </c>
      <c r="K48" t="n">
        <v>0</v>
      </c>
      <c r="L48" t="n">
        <v>0</v>
      </c>
      <c r="M48" t="n">
        <v>0</v>
      </c>
      <c r="N48" t="n">
        <v>0</v>
      </c>
      <c r="O48" t="n">
        <v>0</v>
      </c>
      <c r="P48" t="n">
        <v>0</v>
      </c>
      <c r="Q48" t="n">
        <v>0</v>
      </c>
      <c r="R48" t="n">
        <v>0</v>
      </c>
    </row>
    <row r="49">
      <c r="A49" t="n">
        <v>188</v>
      </c>
      <c r="B49" t="inlineStr">
        <is>
          <t>제주특별시</t>
        </is>
      </c>
      <c r="C49" t="inlineStr">
        <is>
          <t>성산</t>
        </is>
      </c>
      <c r="D49" t="n">
        <v>9</v>
      </c>
      <c r="E49" t="inlineStr">
        <is>
          <t>일강수량：3㎜ 이상</t>
        </is>
      </c>
      <c r="F49" t="n">
        <v>5.6</v>
      </c>
      <c r="G49" t="n">
        <v>6.2</v>
      </c>
      <c r="H49" t="n">
        <v>6.2</v>
      </c>
      <c r="I49" t="n">
        <v>6.8</v>
      </c>
      <c r="J49" t="n">
        <v>6.2</v>
      </c>
      <c r="K49" t="n">
        <v>6.8</v>
      </c>
      <c r="L49" t="n">
        <v>8.5</v>
      </c>
      <c r="M49" t="n">
        <v>7.7</v>
      </c>
      <c r="N49" t="n">
        <v>8.5</v>
      </c>
      <c r="O49" t="n">
        <v>4.7</v>
      </c>
      <c r="P49" t="n">
        <v>5.4</v>
      </c>
      <c r="Q49" t="n">
        <v>4.5</v>
      </c>
      <c r="R49" t="n">
        <v>77.09999999999999</v>
      </c>
    </row>
    <row r="50">
      <c r="A50" t="n">
        <v>188</v>
      </c>
      <c r="B50" t="inlineStr">
        <is>
          <t>제주특별시</t>
        </is>
      </c>
      <c r="C50" t="inlineStr">
        <is>
          <t>성산</t>
        </is>
      </c>
      <c r="D50" t="n">
        <v>10</v>
      </c>
      <c r="E50" t="inlineStr">
        <is>
          <t>일강수량：5㎜ 이상</t>
        </is>
      </c>
      <c r="F50" t="n">
        <v>4.4</v>
      </c>
      <c r="G50" t="n">
        <v>4.8</v>
      </c>
      <c r="H50" t="n">
        <v>5.9</v>
      </c>
      <c r="I50" t="n">
        <v>5.9</v>
      </c>
      <c r="J50" t="n">
        <v>5.3</v>
      </c>
      <c r="K50" t="n">
        <v>6.4</v>
      </c>
      <c r="L50" t="n">
        <v>6.8</v>
      </c>
      <c r="M50" t="n">
        <v>6.9</v>
      </c>
      <c r="N50" t="n">
        <v>7.3</v>
      </c>
      <c r="O50" t="n">
        <v>4</v>
      </c>
      <c r="P50" t="n">
        <v>4.7</v>
      </c>
      <c r="Q50" t="n">
        <v>3.1</v>
      </c>
      <c r="R50" t="n">
        <v>65.5</v>
      </c>
    </row>
    <row r="51">
      <c r="A51" t="n">
        <v>188</v>
      </c>
      <c r="B51" t="inlineStr">
        <is>
          <t>제주특별시</t>
        </is>
      </c>
      <c r="C51" t="inlineStr">
        <is>
          <t>성산</t>
        </is>
      </c>
      <c r="D51" t="n">
        <v>11</v>
      </c>
      <c r="E51" t="inlineStr">
        <is>
          <t>일강수량：10㎜ 이상</t>
        </is>
      </c>
      <c r="F51" t="n">
        <v>2.5</v>
      </c>
      <c r="G51" t="n">
        <v>3.8</v>
      </c>
      <c r="H51" t="n">
        <v>4.3</v>
      </c>
      <c r="I51" t="n">
        <v>4.7</v>
      </c>
      <c r="J51" t="n">
        <v>4.1</v>
      </c>
      <c r="K51" t="n">
        <v>5</v>
      </c>
      <c r="L51" t="n">
        <v>4.8</v>
      </c>
      <c r="M51" t="n">
        <v>4.8</v>
      </c>
      <c r="N51" t="n">
        <v>6.2</v>
      </c>
      <c r="O51" t="n">
        <v>3.1</v>
      </c>
      <c r="P51" t="n">
        <v>2.8</v>
      </c>
      <c r="Q51" t="n">
        <v>1.8</v>
      </c>
      <c r="R51" t="n">
        <v>47.9</v>
      </c>
    </row>
    <row r="52">
      <c r="A52" t="n">
        <v>188</v>
      </c>
      <c r="B52" t="inlineStr">
        <is>
          <t>제주특별시</t>
        </is>
      </c>
      <c r="C52" t="inlineStr">
        <is>
          <t>성산</t>
        </is>
      </c>
      <c r="D52" t="n">
        <v>12</v>
      </c>
      <c r="E52" t="inlineStr">
        <is>
          <t>일강수량：20㎜ 이상</t>
        </is>
      </c>
      <c r="F52" t="n">
        <v>1</v>
      </c>
      <c r="G52" t="n">
        <v>1.6</v>
      </c>
      <c r="H52" t="n">
        <v>2.6</v>
      </c>
      <c r="I52" t="n">
        <v>3.5</v>
      </c>
      <c r="J52" t="n">
        <v>2.6</v>
      </c>
      <c r="K52" t="n">
        <v>4</v>
      </c>
      <c r="L52" t="n">
        <v>4.3</v>
      </c>
      <c r="M52" t="n">
        <v>3.2</v>
      </c>
      <c r="N52" t="n">
        <v>4.7</v>
      </c>
      <c r="O52" t="n">
        <v>2</v>
      </c>
      <c r="P52" t="n">
        <v>1.3</v>
      </c>
      <c r="Q52" t="n">
        <v>0.8</v>
      </c>
      <c r="R52" t="n">
        <v>31.6</v>
      </c>
    </row>
    <row r="53">
      <c r="A53" t="n">
        <v>188</v>
      </c>
      <c r="B53" t="inlineStr">
        <is>
          <t>제주특별시</t>
        </is>
      </c>
      <c r="C53" t="inlineStr">
        <is>
          <t>성산</t>
        </is>
      </c>
      <c r="D53" t="n">
        <v>13</v>
      </c>
      <c r="E53" t="inlineStr">
        <is>
          <t>일최대순간풍속：15m/s 이상</t>
        </is>
      </c>
      <c r="F53" t="n">
        <v>2</v>
      </c>
      <c r="G53" t="n">
        <v>2.3</v>
      </c>
      <c r="H53" t="n">
        <v>3.7</v>
      </c>
      <c r="I53" t="n">
        <v>2.1</v>
      </c>
      <c r="J53" t="n">
        <v>1.6</v>
      </c>
      <c r="K53" t="n">
        <v>1.3</v>
      </c>
      <c r="L53" t="n">
        <v>1.2</v>
      </c>
      <c r="M53" t="n">
        <v>1.3</v>
      </c>
      <c r="N53" t="n">
        <v>1.9</v>
      </c>
      <c r="O53" t="n">
        <v>1.4</v>
      </c>
      <c r="P53" t="n">
        <v>2.2</v>
      </c>
      <c r="Q53" t="n">
        <v>2.3</v>
      </c>
      <c r="R53" t="n">
        <v>23.3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130" t="inlineStr">
        <is>
          <t>지점명</t>
        </is>
      </c>
      <c r="B1" s="130" t="inlineStr">
        <is>
          <t>행정구역</t>
        </is>
      </c>
      <c r="C1" s="130" t="inlineStr">
        <is>
          <t>지점코드</t>
        </is>
      </c>
    </row>
    <row r="2">
      <c r="A2" t="inlineStr">
        <is>
          <t>제주</t>
        </is>
      </c>
      <c r="B2" t="inlineStr">
        <is>
          <t>제주특별시</t>
        </is>
      </c>
      <c r="C2" t="n">
        <v>184</v>
      </c>
    </row>
    <row r="3">
      <c r="A3" t="inlineStr">
        <is>
          <t>서귀포</t>
        </is>
      </c>
      <c r="B3" t="inlineStr">
        <is>
          <t>제주특별시</t>
        </is>
      </c>
      <c r="C3" t="n">
        <v>189</v>
      </c>
    </row>
    <row r="4">
      <c r="A4" t="inlineStr">
        <is>
          <t>고산</t>
        </is>
      </c>
      <c r="B4" t="inlineStr">
        <is>
          <t>제주특별시</t>
        </is>
      </c>
      <c r="C4" t="n">
        <v>185</v>
      </c>
    </row>
    <row r="5">
      <c r="A5" t="inlineStr">
        <is>
          <t>성산</t>
        </is>
      </c>
      <c r="B5" t="inlineStr">
        <is>
          <t>제주특별시</t>
        </is>
      </c>
      <c r="C5" t="n">
        <v>188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0" t="inlineStr">
        <is>
          <t>법정 공휴일수 (2019-2035년)  ※ 2019~2025: 기존 별표1, 2026~2035: 2026년 가이드라인 부록 1</t>
        </is>
      </c>
    </row>
    <row r="3">
      <c r="A3" s="133" t="inlineStr">
        <is>
          <t>연도</t>
        </is>
      </c>
      <c r="B3" s="133" t="inlineStr">
        <is>
          <t>1월</t>
        </is>
      </c>
      <c r="C3" s="133" t="inlineStr">
        <is>
          <t>2월</t>
        </is>
      </c>
      <c r="D3" s="133" t="inlineStr">
        <is>
          <t>3월</t>
        </is>
      </c>
      <c r="E3" s="133" t="inlineStr">
        <is>
          <t>4월</t>
        </is>
      </c>
      <c r="F3" s="133" t="inlineStr">
        <is>
          <t>5월</t>
        </is>
      </c>
      <c r="G3" s="133" t="inlineStr">
        <is>
          <t>6월</t>
        </is>
      </c>
      <c r="H3" s="133" t="inlineStr">
        <is>
          <t>7월</t>
        </is>
      </c>
      <c r="I3" s="133" t="inlineStr">
        <is>
          <t>8월</t>
        </is>
      </c>
      <c r="J3" s="133" t="inlineStr">
        <is>
          <t>9월</t>
        </is>
      </c>
      <c r="K3" s="133" t="inlineStr">
        <is>
          <t>10월</t>
        </is>
      </c>
      <c r="L3" s="133" t="inlineStr">
        <is>
          <t>11월</t>
        </is>
      </c>
      <c r="M3" s="133" t="inlineStr">
        <is>
          <t>12월</t>
        </is>
      </c>
      <c r="N3" s="133"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3" t="inlineStr">
        <is>
          <t>선택명 (분류&gt;공종 (작업조건))</t>
        </is>
      </c>
      <c r="B1" s="133" t="inlineStr">
        <is>
          <t>수량 단위</t>
        </is>
      </c>
      <c r="C1" s="133" t="inlineStr">
        <is>
          <t>1일 작업량 (수량/일)</t>
        </is>
      </c>
      <c r="D1" s="133" t="inlineStr">
        <is>
          <t>원문 표기 (부록 4)</t>
        </is>
      </c>
      <c r="E1" s="133" t="inlineStr">
        <is>
          <t>기본 기상세트</t>
        </is>
      </c>
      <c r="F1" s="133" t="inlineStr">
        <is>
          <t>분류 필터</t>
        </is>
      </c>
      <c r="G1" s="133" t="inlineStr">
        <is>
          <t>시작 위치</t>
        </is>
      </c>
      <c r="H1" s="133" t="inlineStr">
        <is>
          <t>개수</t>
        </is>
      </c>
      <c r="J1" s="133" t="inlineStr">
        <is>
          <t>필터된 공종 목록 (자동, 공종 칸 드롭다운의 원본)</t>
        </is>
      </c>
    </row>
    <row r="2">
      <c r="A2" t="inlineStr">
        <is>
          <t>공통가설공사&gt;가설사무실</t>
        </is>
      </c>
      <c r="B2" t="inlineStr">
        <is>
          <t>개소</t>
        </is>
      </c>
      <c r="C2" s="134" t="n">
        <v>0.01298701298701299</v>
      </c>
      <c r="D2" t="inlineStr">
        <is>
          <t>77일/개소</t>
        </is>
      </c>
      <c r="E2" t="inlineStr">
        <is>
          <t>세트2</t>
        </is>
      </c>
      <c r="F2" t="inlineStr">
        <is>
          <t>전체</t>
        </is>
      </c>
      <c r="G2" t="n">
        <v>1</v>
      </c>
      <c r="H2" t="n">
        <v>114</v>
      </c>
      <c r="J2">
        <f>IF(ROWS($J$2:J2)&lt;=INDEX($H$2:$H$9,MATCH('공기산정(1일작업량)'!$B$32,$F$2:$F$9,0)),INDEX($A$2:$A$115,INDEX($G$2:$G$9,MATCH('공기산정(1일작업량)'!$B$32,$F$2:$F$9,0))+ROWS($J$2:J2)-1),"")</f>
        <v/>
      </c>
    </row>
    <row r="3">
      <c r="A3" t="inlineStr">
        <is>
          <t>공통가설공사&gt;가설울타리 (H형강지주 4m 이하)</t>
        </is>
      </c>
      <c r="B3" t="inlineStr">
        <is>
          <t>m</t>
        </is>
      </c>
      <c r="C3" s="134" t="n">
        <v>30</v>
      </c>
      <c r="D3" t="inlineStr">
        <is>
          <t>30m/일</t>
        </is>
      </c>
      <c r="E3" t="inlineStr">
        <is>
          <t>세트2</t>
        </is>
      </c>
      <c r="F3" t="inlineStr">
        <is>
          <t>공통가설공사</t>
        </is>
      </c>
      <c r="G3" t="n">
        <v>1</v>
      </c>
      <c r="H3" t="n">
        <v>10</v>
      </c>
      <c r="J3">
        <f>IF(ROWS($J$2:J3)&lt;=INDEX($H$2:$H$9,MATCH('공기산정(1일작업량)'!$B$32,$F$2:$F$9,0)),INDEX($A$2:$A$115,INDEX($G$2:$G$9,MATCH('공기산정(1일작업량)'!$B$32,$F$2:$F$9,0))+ROWS($J$2:J3)-1),"")</f>
        <v/>
      </c>
    </row>
    <row r="4">
      <c r="A4" t="inlineStr">
        <is>
          <t>공통가설공사&gt;가설방음벽 (H형강지주 4m 이하)</t>
        </is>
      </c>
      <c r="B4" t="inlineStr">
        <is>
          <t>m</t>
        </is>
      </c>
      <c r="C4" s="134" t="n">
        <v>30</v>
      </c>
      <c r="D4" t="inlineStr">
        <is>
          <t>30m/일</t>
        </is>
      </c>
      <c r="E4" t="inlineStr">
        <is>
          <t>세트2</t>
        </is>
      </c>
      <c r="F4" t="inlineStr">
        <is>
          <t>토공사</t>
        </is>
      </c>
      <c r="G4" t="n">
        <v>11</v>
      </c>
      <c r="H4" t="n">
        <v>25</v>
      </c>
      <c r="J4">
        <f>IF(ROWS($J$2:J4)&lt;=INDEX($H$2:$H$9,MATCH('공기산정(1일작업량)'!$B$32,$F$2:$F$9,0)),INDEX($A$2:$A$115,INDEX($G$2:$G$9,MATCH('공기산정(1일작업량)'!$B$32,$F$2:$F$9,0))+ROWS($J$2:J4)-1),"")</f>
        <v/>
      </c>
    </row>
    <row r="5">
      <c r="A5" t="inlineStr">
        <is>
          <t>공통가설공사&gt;구조물 동바리 (시스템 동바리 30m 이하)</t>
        </is>
      </c>
      <c r="B5" t="inlineStr">
        <is>
          <t>㎥</t>
        </is>
      </c>
      <c r="C5" s="134" t="n">
        <v>82</v>
      </c>
      <c r="D5" t="inlineStr">
        <is>
          <t>82㎥/일</t>
        </is>
      </c>
      <c r="E5" t="inlineStr">
        <is>
          <t>세트2</t>
        </is>
      </c>
      <c r="F5" t="inlineStr">
        <is>
          <t>배수공사</t>
        </is>
      </c>
      <c r="G5" t="n">
        <v>36</v>
      </c>
      <c r="H5" t="n">
        <v>12</v>
      </c>
      <c r="J5">
        <f>IF(ROWS($J$2:J5)&lt;=INDEX($H$2:$H$9,MATCH('공기산정(1일작업량)'!$B$32,$F$2:$F$9,0)),INDEX($A$2:$A$115,INDEX($G$2:$G$9,MATCH('공기산정(1일작업량)'!$B$32,$F$2:$F$9,0))+ROWS($J$2:J5)-1),"")</f>
        <v/>
      </c>
    </row>
    <row r="6">
      <c r="A6" t="inlineStr">
        <is>
          <t>공통가설공사&gt;구조물 비계 (강관비계 30m 이하)</t>
        </is>
      </c>
      <c r="B6" t="inlineStr">
        <is>
          <t>㎡</t>
        </is>
      </c>
      <c r="C6" s="134" t="n">
        <v>102</v>
      </c>
      <c r="D6" t="inlineStr">
        <is>
          <t>102㎡/일</t>
        </is>
      </c>
      <c r="E6" t="inlineStr">
        <is>
          <t>세트2</t>
        </is>
      </c>
      <c r="F6" t="inlineStr">
        <is>
          <t>포장공사</t>
        </is>
      </c>
      <c r="G6" t="n">
        <v>48</v>
      </c>
      <c r="H6" t="n">
        <v>26</v>
      </c>
      <c r="J6">
        <f>IF(ROWS($J$2:J6)&lt;=INDEX($H$2:$H$9,MATCH('공기산정(1일작업량)'!$B$32,$F$2:$F$9,0)),INDEX($A$2:$A$115,INDEX($G$2:$G$9,MATCH('공기산정(1일작업량)'!$B$32,$F$2:$F$9,0))+ROWS($J$2:J6)-1),"")</f>
        <v/>
      </c>
    </row>
    <row r="7">
      <c r="A7" t="inlineStr">
        <is>
          <t>공통가설공사&gt;가설흙막이(진동파일해머-H파일) (파일 근입장 20m)</t>
        </is>
      </c>
      <c r="B7" t="inlineStr">
        <is>
          <t>본</t>
        </is>
      </c>
      <c r="C7" s="134" t="n">
        <v>8</v>
      </c>
      <c r="D7" t="inlineStr">
        <is>
          <t>8본/일</t>
        </is>
      </c>
      <c r="E7" t="inlineStr">
        <is>
          <t>세트2</t>
        </is>
      </c>
      <c r="F7" t="inlineStr">
        <is>
          <t>교량공사</t>
        </is>
      </c>
      <c r="G7" t="n">
        <v>74</v>
      </c>
      <c r="H7" t="n">
        <v>12</v>
      </c>
      <c r="J7">
        <f>IF(ROWS($J$2:J7)&lt;=INDEX($H$2:$H$9,MATCH('공기산정(1일작업량)'!$B$32,$F$2:$F$9,0)),INDEX($A$2:$A$115,INDEX($G$2:$G$9,MATCH('공기산정(1일작업량)'!$B$32,$F$2:$F$9,0))+ROWS($J$2:J7)-1),"")</f>
        <v/>
      </c>
    </row>
    <row r="8">
      <c r="A8" t="inlineStr">
        <is>
          <t>공통가설공사&gt;가설흙막이(진동파일해머-강널말뚝) (파일 근입장 20m)</t>
        </is>
      </c>
      <c r="B8" t="inlineStr">
        <is>
          <t>본</t>
        </is>
      </c>
      <c r="C8" s="134" t="n">
        <v>10</v>
      </c>
      <c r="D8" t="inlineStr">
        <is>
          <t>10본/일</t>
        </is>
      </c>
      <c r="E8" t="inlineStr">
        <is>
          <t>세트2</t>
        </is>
      </c>
      <c r="F8" t="inlineStr">
        <is>
          <t>터널공사</t>
        </is>
      </c>
      <c r="G8" t="n">
        <v>86</v>
      </c>
      <c r="H8" t="n">
        <v>17</v>
      </c>
      <c r="J8">
        <f>IF(ROWS($J$2:J8)&lt;=INDEX($H$2:$H$9,MATCH('공기산정(1일작업량)'!$B$32,$F$2:$F$9,0)),INDEX($A$2:$A$115,INDEX($G$2:$G$9,MATCH('공기산정(1일작업량)'!$B$32,$F$2:$F$9,0))+ROWS($J$2:J8)-1),"")</f>
        <v/>
      </c>
    </row>
    <row r="9">
      <c r="A9" t="inlineStr">
        <is>
          <t>공통가설공사&gt;가설흙막이(워터제트 병용-강널말뚝) (파일 근입장 20m)</t>
        </is>
      </c>
      <c r="B9" t="inlineStr">
        <is>
          <t>본</t>
        </is>
      </c>
      <c r="C9" s="134" t="n">
        <v>6</v>
      </c>
      <c r="D9" t="inlineStr">
        <is>
          <t>6본/일</t>
        </is>
      </c>
      <c r="E9" t="inlineStr">
        <is>
          <t>세트2</t>
        </is>
      </c>
      <c r="F9" t="inlineStr">
        <is>
          <t>부대공사</t>
        </is>
      </c>
      <c r="G9" t="n">
        <v>103</v>
      </c>
      <c r="H9" t="n">
        <v>12</v>
      </c>
      <c r="J9">
        <f>IF(ROWS($J$2:J9)&lt;=INDEX($H$2:$H$9,MATCH('공기산정(1일작업량)'!$B$32,$F$2:$F$9,0)),INDEX($A$2:$A$115,INDEX($G$2:$G$9,MATCH('공기산정(1일작업량)'!$B$32,$F$2:$F$9,0))+ROWS($J$2:J9)-1),"")</f>
        <v/>
      </c>
    </row>
    <row r="10">
      <c r="A10" t="inlineStr">
        <is>
          <t>공통가설공사&gt;가설흙막이(유압식 압입 인발기-강널말뚝) (파일 근입장 20m)</t>
        </is>
      </c>
      <c r="B10" t="inlineStr">
        <is>
          <t>본</t>
        </is>
      </c>
      <c r="C10" s="134" t="n">
        <v>8</v>
      </c>
      <c r="D10" t="inlineStr">
        <is>
          <t>8본/일</t>
        </is>
      </c>
      <c r="E10" t="inlineStr">
        <is>
          <t>세트2</t>
        </is>
      </c>
      <c r="J10">
        <f>IF(ROWS($J$2:J10)&lt;=INDEX($H$2:$H$9,MATCH('공기산정(1일작업량)'!$B$32,$F$2:$F$9,0)),INDEX($A$2:$A$115,INDEX($G$2:$G$9,MATCH('공기산정(1일작업량)'!$B$32,$F$2:$F$9,0))+ROWS($J$2:J10)-1),"")</f>
        <v/>
      </c>
    </row>
    <row r="11">
      <c r="A11" t="inlineStr">
        <is>
          <t>공통가설공사&gt;가설흙막이(말뚝박기용 천공/근입) (파일 근입장 20m)</t>
        </is>
      </c>
      <c r="B11" t="inlineStr">
        <is>
          <t>본</t>
        </is>
      </c>
      <c r="C11" s="134" t="n">
        <v>8</v>
      </c>
      <c r="D11" t="inlineStr">
        <is>
          <t>8본/일</t>
        </is>
      </c>
      <c r="E11" t="inlineStr">
        <is>
          <t>세트2</t>
        </is>
      </c>
      <c r="J11">
        <f>IF(ROWS($J$2:J11)&lt;=INDEX($H$2:$H$9,MATCH('공기산정(1일작업량)'!$B$32,$F$2:$F$9,0)),INDEX($A$2:$A$115,INDEX($G$2:$G$9,MATCH('공기산정(1일작업량)'!$B$32,$F$2:$F$9,0))+ROWS($J$2:J11)-1),"")</f>
        <v/>
      </c>
    </row>
    <row r="12">
      <c r="A12" t="inlineStr">
        <is>
          <t>토공사&gt;기존시설물 깨기 (아스콘 t=30㎝ 이상)</t>
        </is>
      </c>
      <c r="B12" t="inlineStr">
        <is>
          <t>㎥</t>
        </is>
      </c>
      <c r="C12" s="134" t="n">
        <v>54</v>
      </c>
      <c r="D12" t="inlineStr">
        <is>
          <t>54㎥/일</t>
        </is>
      </c>
      <c r="E12" t="inlineStr">
        <is>
          <t>세트2</t>
        </is>
      </c>
      <c r="J12">
        <f>IF(ROWS($J$2:J12)&lt;=INDEX($H$2:$H$9,MATCH('공기산정(1일작업량)'!$B$32,$F$2:$F$9,0)),INDEX($A$2:$A$115,INDEX($G$2:$G$9,MATCH('공기산정(1일작업량)'!$B$32,$F$2:$F$9,0))+ROWS($J$2:J12)-1),"")</f>
        <v/>
      </c>
    </row>
    <row r="13">
      <c r="A13" t="inlineStr">
        <is>
          <t>토공사&gt;벌목 (벌목 8m 이상)</t>
        </is>
      </c>
      <c r="B13" t="inlineStr">
        <is>
          <t>㎡</t>
        </is>
      </c>
      <c r="C13" s="134" t="n">
        <v>1375</v>
      </c>
      <c r="D13" t="inlineStr">
        <is>
          <t>1,375㎡/일</t>
        </is>
      </c>
      <c r="E13" t="inlineStr">
        <is>
          <t>세트2</t>
        </is>
      </c>
      <c r="J13">
        <f>IF(ROWS($J$2:J13)&lt;=INDEX($H$2:$H$9,MATCH('공기산정(1일작업량)'!$B$32,$F$2:$F$9,0)),INDEX($A$2:$A$115,INDEX($G$2:$G$9,MATCH('공기산정(1일작업량)'!$B$32,$F$2:$F$9,0))+ROWS($J$2:J13)-1),"")</f>
        <v/>
      </c>
    </row>
    <row r="14">
      <c r="A14" t="inlineStr">
        <is>
          <t>토공사&gt;벌개제근</t>
        </is>
      </c>
      <c r="B14" t="inlineStr">
        <is>
          <t>㎡</t>
        </is>
      </c>
      <c r="C14" s="134" t="n">
        <v>1110</v>
      </c>
      <c r="D14" t="inlineStr">
        <is>
          <t>1,110㎡/일</t>
        </is>
      </c>
      <c r="E14" t="inlineStr">
        <is>
          <t>세트2</t>
        </is>
      </c>
      <c r="J14">
        <f>IF(ROWS($J$2:J14)&lt;=INDEX($H$2:$H$9,MATCH('공기산정(1일작업량)'!$B$32,$F$2:$F$9,0)),INDEX($A$2:$A$115,INDEX($G$2:$G$9,MATCH('공기산정(1일작업량)'!$B$32,$F$2:$F$9,0))+ROWS($J$2:J14)-1),"")</f>
        <v/>
      </c>
    </row>
    <row r="15">
      <c r="A15" t="inlineStr">
        <is>
          <t>토공사&gt;표토제거 (답구간)</t>
        </is>
      </c>
      <c r="B15" t="inlineStr">
        <is>
          <t>㎡</t>
        </is>
      </c>
      <c r="C15" s="134" t="n">
        <v>1915</v>
      </c>
      <c r="D15" t="inlineStr">
        <is>
          <t>1,915㎡/일</t>
        </is>
      </c>
      <c r="E15" t="inlineStr">
        <is>
          <t>세트2</t>
        </is>
      </c>
      <c r="J15">
        <f>IF(ROWS($J$2:J15)&lt;=INDEX($H$2:$H$9,MATCH('공기산정(1일작업량)'!$B$32,$F$2:$F$9,0)),INDEX($A$2:$A$115,INDEX($G$2:$G$9,MATCH('공기산정(1일작업량)'!$B$32,$F$2:$F$9,0))+ROWS($J$2:J15)-1),"")</f>
        <v/>
      </c>
    </row>
    <row r="16">
      <c r="A16" t="inlineStr">
        <is>
          <t>토공사&gt;흙깎기-토사 (굴삭기 1.0㎥)</t>
        </is>
      </c>
      <c r="B16" t="inlineStr">
        <is>
          <t>㎥</t>
        </is>
      </c>
      <c r="C16" s="134" t="n">
        <v>520</v>
      </c>
      <c r="D16" t="inlineStr">
        <is>
          <t>520㎥/일</t>
        </is>
      </c>
      <c r="E16" t="inlineStr">
        <is>
          <t>세트2</t>
        </is>
      </c>
      <c r="J16">
        <f>IF(ROWS($J$2:J16)&lt;=INDEX($H$2:$H$9,MATCH('공기산정(1일작업량)'!$B$32,$F$2:$F$9,0)),INDEX($A$2:$A$115,INDEX($G$2:$G$9,MATCH('공기산정(1일작업량)'!$B$32,$F$2:$F$9,0))+ROWS($J$2:J16)-1),"")</f>
        <v/>
      </c>
    </row>
    <row r="17">
      <c r="A17" t="inlineStr">
        <is>
          <t>토공사&gt;흙깎기-리핑암 (리퍼 2본+불도저 32톤)</t>
        </is>
      </c>
      <c r="B17" t="inlineStr">
        <is>
          <t>㎥</t>
        </is>
      </c>
      <c r="C17" s="134" t="n">
        <v>367</v>
      </c>
      <c r="D17" t="inlineStr">
        <is>
          <t>367㎥/일</t>
        </is>
      </c>
      <c r="E17" t="inlineStr">
        <is>
          <t>세트2</t>
        </is>
      </c>
      <c r="J17">
        <f>IF(ROWS($J$2:J17)&lt;=INDEX($H$2:$H$9,MATCH('공기산정(1일작업량)'!$B$32,$F$2:$F$9,0)),INDEX($A$2:$A$115,INDEX($G$2:$G$9,MATCH('공기산정(1일작업량)'!$B$32,$F$2:$F$9,0))+ROWS($J$2:J17)-1),"")</f>
        <v/>
      </c>
    </row>
    <row r="18">
      <c r="A18" t="inlineStr">
        <is>
          <t>토공사&gt;흙깎기-발파암(브레이커) (연암, 보통암, 경암 평균)</t>
        </is>
      </c>
      <c r="B18" t="inlineStr">
        <is>
          <t>㎥</t>
        </is>
      </c>
      <c r="C18" s="134" t="n">
        <v>27</v>
      </c>
      <c r="D18" t="inlineStr">
        <is>
          <t>27㎥/일</t>
        </is>
      </c>
      <c r="E18" t="inlineStr">
        <is>
          <t>세트2</t>
        </is>
      </c>
      <c r="J18">
        <f>IF(ROWS($J$2:J18)&lt;=INDEX($H$2:$H$9,MATCH('공기산정(1일작업량)'!$B$32,$F$2:$F$9,0)),INDEX($A$2:$A$115,INDEX($G$2:$G$9,MATCH('공기산정(1일작업량)'!$B$32,$F$2:$F$9,0))+ROWS($J$2:J18)-1),"")</f>
        <v/>
      </c>
    </row>
    <row r="19">
      <c r="A19" t="inlineStr">
        <is>
          <t>토공사&gt;흙깎기-발파암(발파) (진동제어발파(소규모))</t>
        </is>
      </c>
      <c r="B19" t="inlineStr">
        <is>
          <t>㎥</t>
        </is>
      </c>
      <c r="C19" s="134" t="n">
        <v>83</v>
      </c>
      <c r="D19" t="inlineStr">
        <is>
          <t>83㎥/일</t>
        </is>
      </c>
      <c r="E19" t="inlineStr">
        <is>
          <t>세트2</t>
        </is>
      </c>
      <c r="J19">
        <f>IF(ROWS($J$2:J19)&lt;=INDEX($H$2:$H$9,MATCH('공기산정(1일작업량)'!$B$32,$F$2:$F$9,0)),INDEX($A$2:$A$115,INDEX($G$2:$G$9,MATCH('공기산정(1일작업량)'!$B$32,$F$2:$F$9,0))+ROWS($J$2:J19)-1),"")</f>
        <v/>
      </c>
    </row>
    <row r="20">
      <c r="A20" t="inlineStr">
        <is>
          <t>토공사&gt;터파기-토사 (굴삭기 0.7㎥, 자연터파기)</t>
        </is>
      </c>
      <c r="B20" t="inlineStr">
        <is>
          <t>㎥</t>
        </is>
      </c>
      <c r="C20" s="134" t="n">
        <v>349</v>
      </c>
      <c r="D20" t="inlineStr">
        <is>
          <t>349㎥/일</t>
        </is>
      </c>
      <c r="E20" t="inlineStr">
        <is>
          <t>세트2</t>
        </is>
      </c>
      <c r="J20">
        <f>IF(ROWS($J$2:J20)&lt;=INDEX($H$2:$H$9,MATCH('공기산정(1일작업량)'!$B$32,$F$2:$F$9,0)),INDEX($A$2:$A$115,INDEX($G$2:$G$9,MATCH('공기산정(1일작업량)'!$B$32,$F$2:$F$9,0))+ROWS($J$2:J20)-1),"")</f>
        <v/>
      </c>
    </row>
    <row r="21">
      <c r="A21" t="inlineStr">
        <is>
          <t>토공사&gt;터파기-리핑암 (브레이커 0.7㎥, 자연터파기)</t>
        </is>
      </c>
      <c r="B21" t="inlineStr">
        <is>
          <t>㎥</t>
        </is>
      </c>
      <c r="C21" s="134" t="n">
        <v>25</v>
      </c>
      <c r="D21" t="inlineStr">
        <is>
          <t>25㎥/일</t>
        </is>
      </c>
      <c r="E21" t="inlineStr">
        <is>
          <t>세트2</t>
        </is>
      </c>
      <c r="J21">
        <f>IF(ROWS($J$2:J21)&lt;=INDEX($H$2:$H$9,MATCH('공기산정(1일작업량)'!$B$32,$F$2:$F$9,0)),INDEX($A$2:$A$115,INDEX($G$2:$G$9,MATCH('공기산정(1일작업량)'!$B$32,$F$2:$F$9,0))+ROWS($J$2:J21)-1),"")</f>
        <v/>
      </c>
    </row>
    <row r="22">
      <c r="A22" t="inlineStr">
        <is>
          <t>토공사&gt;터파기-발파암 (브레이커 0.7㎥, 자연터파기)</t>
        </is>
      </c>
      <c r="B22" t="inlineStr">
        <is>
          <t>㎥</t>
        </is>
      </c>
      <c r="C22" s="134" t="n">
        <v>18</v>
      </c>
      <c r="D22" t="inlineStr">
        <is>
          <t>18㎥/일</t>
        </is>
      </c>
      <c r="E22" t="inlineStr">
        <is>
          <t>세트2</t>
        </is>
      </c>
      <c r="J22">
        <f>IF(ROWS($J$2:J22)&lt;=INDEX($H$2:$H$9,MATCH('공기산정(1일작업량)'!$B$32,$F$2:$F$9,0)),INDEX($A$2:$A$115,INDEX($G$2:$G$9,MATCH('공기산정(1일작업량)'!$B$32,$F$2:$F$9,0))+ROWS($J$2:J22)-1),"")</f>
        <v/>
      </c>
    </row>
    <row r="23">
      <c r="A23" t="inlineStr">
        <is>
          <t>토공사&gt;흙쌓기-노상 (모터그레이더 3.6㎥)</t>
        </is>
      </c>
      <c r="B23" t="inlineStr">
        <is>
          <t>㎥</t>
        </is>
      </c>
      <c r="C23" s="134" t="n">
        <v>745</v>
      </c>
      <c r="D23" t="inlineStr">
        <is>
          <t>745㎥/일</t>
        </is>
      </c>
      <c r="E23" t="inlineStr">
        <is>
          <t>세트2</t>
        </is>
      </c>
      <c r="J23">
        <f>IF(ROWS($J$2:J23)&lt;=INDEX($H$2:$H$9,MATCH('공기산정(1일작업량)'!$B$32,$F$2:$F$9,0)),INDEX($A$2:$A$115,INDEX($G$2:$G$9,MATCH('공기산정(1일작업량)'!$B$32,$F$2:$F$9,0))+ROWS($J$2:J23)-1),"")</f>
        <v/>
      </c>
    </row>
    <row r="24">
      <c r="A24" t="inlineStr">
        <is>
          <t>토공사&gt;흙쌓기-노체 (모터그레이더 3.6㎥)</t>
        </is>
      </c>
      <c r="B24" t="inlineStr">
        <is>
          <t>㎥</t>
        </is>
      </c>
      <c r="C24" s="134" t="n">
        <v>1118</v>
      </c>
      <c r="D24" t="inlineStr">
        <is>
          <t>1,118㎥/일</t>
        </is>
      </c>
      <c r="E24" t="inlineStr">
        <is>
          <t>세트2</t>
        </is>
      </c>
      <c r="J24">
        <f>IF(ROWS($J$2:J24)&lt;=INDEX($H$2:$H$9,MATCH('공기산정(1일작업량)'!$B$32,$F$2:$F$9,0)),INDEX($A$2:$A$115,INDEX($G$2:$G$9,MATCH('공기산정(1일작업량)'!$B$32,$F$2:$F$9,0))+ROWS($J$2:J24)-1),"")</f>
        <v/>
      </c>
    </row>
    <row r="25">
      <c r="A25" t="inlineStr">
        <is>
          <t>토공사&gt;흙쌓기-암쌓기 (불도저 32톤)</t>
        </is>
      </c>
      <c r="B25" t="inlineStr">
        <is>
          <t>㎥</t>
        </is>
      </c>
      <c r="C25" s="134" t="n">
        <v>647</v>
      </c>
      <c r="D25" t="inlineStr">
        <is>
          <t>647㎥/일</t>
        </is>
      </c>
      <c r="E25" t="inlineStr">
        <is>
          <t>세트2</t>
        </is>
      </c>
      <c r="J25">
        <f>IF(ROWS($J$2:J25)&lt;=INDEX($H$2:$H$9,MATCH('공기산정(1일작업량)'!$B$32,$F$2:$F$9,0)),INDEX($A$2:$A$115,INDEX($G$2:$G$9,MATCH('공기산정(1일작업량)'!$B$32,$F$2:$F$9,0))+ROWS($J$2:J25)-1),"")</f>
        <v/>
      </c>
    </row>
    <row r="26">
      <c r="A26" t="inlineStr">
        <is>
          <t>토공사&gt;흙쌓기-녹지대 (불도저 32톤)</t>
        </is>
      </c>
      <c r="B26" t="inlineStr">
        <is>
          <t>㎥</t>
        </is>
      </c>
      <c r="C26" s="134" t="n">
        <v>1231</v>
      </c>
      <c r="D26" t="inlineStr">
        <is>
          <t>1,231㎥/일</t>
        </is>
      </c>
      <c r="E26" t="inlineStr">
        <is>
          <t>세트2</t>
        </is>
      </c>
      <c r="J26">
        <f>IF(ROWS($J$2:J26)&lt;=INDEX($H$2:$H$9,MATCH('공기산정(1일작업량)'!$B$32,$F$2:$F$9,0)),INDEX($A$2:$A$115,INDEX($G$2:$G$9,MATCH('공기산정(1일작업량)'!$B$32,$F$2:$F$9,0))+ROWS($J$2:J26)-1),"")</f>
        <v/>
      </c>
    </row>
    <row r="27">
      <c r="A27" t="inlineStr">
        <is>
          <t>토공사&gt;흙쌓기-되메우기 (램머(80kg) 다짐)</t>
        </is>
      </c>
      <c r="B27" t="inlineStr">
        <is>
          <t>㎥</t>
        </is>
      </c>
      <c r="C27" s="134" t="n">
        <v>42</v>
      </c>
      <c r="D27" t="inlineStr">
        <is>
          <t>42㎥/일</t>
        </is>
      </c>
      <c r="E27" t="inlineStr">
        <is>
          <t>세트2</t>
        </is>
      </c>
      <c r="J27">
        <f>IF(ROWS($J$2:J27)&lt;=INDEX($H$2:$H$9,MATCH('공기산정(1일작업량)'!$B$32,$F$2:$F$9,0)),INDEX($A$2:$A$115,INDEX($G$2:$G$9,MATCH('공기산정(1일작업량)'!$B$32,$F$2:$F$9,0))+ROWS($J$2:J27)-1),"")</f>
        <v/>
      </c>
    </row>
    <row r="28">
      <c r="A28" t="inlineStr">
        <is>
          <t>토공사&gt;연약지반-매트부설(PP, PET)</t>
        </is>
      </c>
      <c r="B28" t="inlineStr">
        <is>
          <t>㎡</t>
        </is>
      </c>
      <c r="C28" s="134" t="n">
        <v>3571</v>
      </c>
      <c r="D28" t="inlineStr">
        <is>
          <t>3,571㎡/일</t>
        </is>
      </c>
      <c r="E28" t="inlineStr">
        <is>
          <t>세트2</t>
        </is>
      </c>
      <c r="J28">
        <f>IF(ROWS($J$2:J28)&lt;=INDEX($H$2:$H$9,MATCH('공기산정(1일작업량)'!$B$32,$F$2:$F$9,0)),INDEX($A$2:$A$115,INDEX($G$2:$G$9,MATCH('공기산정(1일작업량)'!$B$32,$F$2:$F$9,0))+ROWS($J$2:J28)-1),"")</f>
        <v/>
      </c>
    </row>
    <row r="29">
      <c r="A29" t="inlineStr">
        <is>
          <t>토공사&gt;연약지반-샌드매트 포설 (불도저(습지) 13톤)</t>
        </is>
      </c>
      <c r="B29" t="inlineStr">
        <is>
          <t>㎥</t>
        </is>
      </c>
      <c r="C29" s="134" t="n">
        <v>421</v>
      </c>
      <c r="D29" t="inlineStr">
        <is>
          <t>421㎥/일</t>
        </is>
      </c>
      <c r="E29" t="inlineStr">
        <is>
          <t>세트2</t>
        </is>
      </c>
      <c r="J29">
        <f>IF(ROWS($J$2:J29)&lt;=INDEX($H$2:$H$9,MATCH('공기산정(1일작업량)'!$B$32,$F$2:$F$9,0)),INDEX($A$2:$A$115,INDEX($G$2:$G$9,MATCH('공기산정(1일작업량)'!$B$32,$F$2:$F$9,0))+ROWS($J$2:J29)-1),"")</f>
        <v/>
      </c>
    </row>
    <row r="30">
      <c r="A30" t="inlineStr">
        <is>
          <t>토공사&gt;연약지반-플라스틱 보드 드레인(PBD) (PBD L=25m 이하)</t>
        </is>
      </c>
      <c r="B30" t="inlineStr">
        <is>
          <t>m</t>
        </is>
      </c>
      <c r="C30" s="134" t="n">
        <v>9396</v>
      </c>
      <c r="D30" t="inlineStr">
        <is>
          <t>9,396m/일</t>
        </is>
      </c>
      <c r="E30" t="inlineStr">
        <is>
          <t>세트2</t>
        </is>
      </c>
      <c r="J30">
        <f>IF(ROWS($J$2:J30)&lt;=INDEX($H$2:$H$9,MATCH('공기산정(1일작업량)'!$B$32,$F$2:$F$9,0)),INDEX($A$2:$A$115,INDEX($G$2:$G$9,MATCH('공기산정(1일작업량)'!$B$32,$F$2:$F$9,0))+ROWS($J$2:J30)-1),"")</f>
        <v/>
      </c>
    </row>
    <row r="31">
      <c r="A31" t="inlineStr">
        <is>
          <t>토공사&gt;연약지반-침하토, 과재쌓기 (과재쌓기, 모터그레이더)</t>
        </is>
      </c>
      <c r="B31" t="inlineStr">
        <is>
          <t>㎥</t>
        </is>
      </c>
      <c r="C31" s="134" t="n">
        <v>1597</v>
      </c>
      <c r="D31" t="inlineStr">
        <is>
          <t>1,597㎥/일</t>
        </is>
      </c>
      <c r="E31" t="inlineStr">
        <is>
          <t>세트2</t>
        </is>
      </c>
      <c r="J31">
        <f>IF(ROWS($J$2:J31)&lt;=INDEX($H$2:$H$9,MATCH('공기산정(1일작업량)'!$B$32,$F$2:$F$9,0)),INDEX($A$2:$A$115,INDEX($G$2:$G$9,MATCH('공기산정(1일작업량)'!$B$32,$F$2:$F$9,0))+ROWS($J$2:J31)-1),"")</f>
        <v/>
      </c>
    </row>
    <row r="32">
      <c r="A32" t="inlineStr">
        <is>
          <t>토공사&gt;연약지반-과재쌓기 제거 (불도저 19톤)</t>
        </is>
      </c>
      <c r="B32" t="inlineStr">
        <is>
          <t>㎥</t>
        </is>
      </c>
      <c r="C32" s="134" t="n">
        <v>383</v>
      </c>
      <c r="D32" t="inlineStr">
        <is>
          <t>383㎥/일</t>
        </is>
      </c>
      <c r="E32" t="inlineStr">
        <is>
          <t>세트2</t>
        </is>
      </c>
      <c r="J32">
        <f>IF(ROWS($J$2:J32)&lt;=INDEX($H$2:$H$9,MATCH('공기산정(1일작업량)'!$B$32,$F$2:$F$9,0)),INDEX($A$2:$A$115,INDEX($G$2:$G$9,MATCH('공기산정(1일작업량)'!$B$32,$F$2:$F$9,0))+ROWS($J$2:J32)-1),"")</f>
        <v/>
      </c>
    </row>
    <row r="33">
      <c r="A33" t="inlineStr">
        <is>
          <t>토공사&gt;연약지반-활동방지공(S.C.P) (모래다짐말뚝 L=25m (원문 표기: 모대다짐말뚝))</t>
        </is>
      </c>
      <c r="B33" t="inlineStr">
        <is>
          <t>본</t>
        </is>
      </c>
      <c r="C33" s="134" t="n">
        <v>14</v>
      </c>
      <c r="D33" t="inlineStr">
        <is>
          <t>14본/일</t>
        </is>
      </c>
      <c r="E33" t="inlineStr">
        <is>
          <t>세트2</t>
        </is>
      </c>
      <c r="J33">
        <f>IF(ROWS($J$2:J33)&lt;=INDEX($H$2:$H$9,MATCH('공기산정(1일작업량)'!$B$32,$F$2:$F$9,0)),INDEX($A$2:$A$115,INDEX($G$2:$G$9,MATCH('공기산정(1일작업량)'!$B$32,$F$2:$F$9,0))+ROWS($J$2:J33)-1),"")</f>
        <v/>
      </c>
    </row>
    <row r="34">
      <c r="A34" t="inlineStr">
        <is>
          <t>토공사&gt;연약지반-지반보강(고압분사주입공법) (직경 800mm, L=25m)</t>
        </is>
      </c>
      <c r="B34" t="inlineStr">
        <is>
          <t>본</t>
        </is>
      </c>
      <c r="C34" s="134" t="n">
        <v>2.2</v>
      </c>
      <c r="D34" t="inlineStr">
        <is>
          <t>2.2본/일</t>
        </is>
      </c>
      <c r="E34" t="inlineStr">
        <is>
          <t>세트2</t>
        </is>
      </c>
      <c r="J34">
        <f>IF(ROWS($J$2:J34)&lt;=INDEX($H$2:$H$9,MATCH('공기산정(1일작업량)'!$B$32,$F$2:$F$9,0)),INDEX($A$2:$A$115,INDEX($G$2:$G$9,MATCH('공기산정(1일작업량)'!$B$32,$F$2:$F$9,0))+ROWS($J$2:J34)-1),"")</f>
        <v/>
      </c>
    </row>
    <row r="35">
      <c r="A35" t="inlineStr">
        <is>
          <t>토공사&gt;비탈면 보호공 (평떼)</t>
        </is>
      </c>
      <c r="B35" t="inlineStr">
        <is>
          <t>㎡</t>
        </is>
      </c>
      <c r="C35" s="134" t="n">
        <v>505</v>
      </c>
      <c r="D35" t="inlineStr">
        <is>
          <t>505㎡/일</t>
        </is>
      </c>
      <c r="E35" t="inlineStr">
        <is>
          <t>세트2</t>
        </is>
      </c>
      <c r="J35">
        <f>IF(ROWS($J$2:J35)&lt;=INDEX($H$2:$H$9,MATCH('공기산정(1일작업량)'!$B$32,$F$2:$F$9,0)),INDEX($A$2:$A$115,INDEX($G$2:$G$9,MATCH('공기산정(1일작업량)'!$B$32,$F$2:$F$9,0))+ROWS($J$2:J35)-1),"")</f>
        <v/>
      </c>
    </row>
    <row r="36">
      <c r="A36" t="inlineStr">
        <is>
          <t>토공사&gt;비탈면 보강공 (천공/보강재-연암)</t>
        </is>
      </c>
      <c r="B36" t="inlineStr">
        <is>
          <t>m</t>
        </is>
      </c>
      <c r="C36" s="134" t="n">
        <v>64</v>
      </c>
      <c r="D36" t="inlineStr">
        <is>
          <t>64m/일</t>
        </is>
      </c>
      <c r="E36" t="inlineStr">
        <is>
          <t>세트2</t>
        </is>
      </c>
      <c r="J36">
        <f>IF(ROWS($J$2:J36)&lt;=INDEX($H$2:$H$9,MATCH('공기산정(1일작업량)'!$B$32,$F$2:$F$9,0)),INDEX($A$2:$A$115,INDEX($G$2:$G$9,MATCH('공기산정(1일작업량)'!$B$32,$F$2:$F$9,0))+ROWS($J$2:J36)-1),"")</f>
        <v/>
      </c>
    </row>
    <row r="37">
      <c r="A37" t="inlineStr">
        <is>
          <t>배수공사&gt;암거공-지중강판 (B=5m, L=15m)</t>
        </is>
      </c>
      <c r="B37" t="inlineStr">
        <is>
          <t>15m/1span</t>
        </is>
      </c>
      <c r="C37" s="134" t="n">
        <v>0.02380952380952381</v>
      </c>
      <c r="D37" t="inlineStr">
        <is>
          <t>42일/15m/1span</t>
        </is>
      </c>
      <c r="E37" t="inlineStr">
        <is>
          <t>세트1</t>
        </is>
      </c>
      <c r="J37">
        <f>IF(ROWS($J$2:J37)&lt;=INDEX($H$2:$H$9,MATCH('공기산정(1일작업량)'!$B$32,$F$2:$F$9,0)),INDEX($A$2:$A$115,INDEX($G$2:$G$9,MATCH('공기산정(1일작업량)'!$B$32,$F$2:$F$9,0))+ROWS($J$2:J37)-1),"")</f>
        <v/>
      </c>
    </row>
    <row r="38">
      <c r="A38" t="inlineStr">
        <is>
          <t>배수공사&gt;암거공-철근콘크리트 (B=3m, H=1.8m, L=15m)</t>
        </is>
      </c>
      <c r="B38" t="inlineStr">
        <is>
          <t>15m/1span</t>
        </is>
      </c>
      <c r="C38" s="134" t="n">
        <v>0.03703703703703703</v>
      </c>
      <c r="D38" t="inlineStr">
        <is>
          <t>27일/15m/1span</t>
        </is>
      </c>
      <c r="E38" t="inlineStr">
        <is>
          <t>세트1</t>
        </is>
      </c>
      <c r="J38">
        <f>IF(ROWS($J$2:J38)&lt;=INDEX($H$2:$H$9,MATCH('공기산정(1일작업량)'!$B$32,$F$2:$F$9,0)),INDEX($A$2:$A$115,INDEX($G$2:$G$9,MATCH('공기산정(1일작업량)'!$B$32,$F$2:$F$9,0))+ROWS($J$2:J38)-1),"")</f>
        <v/>
      </c>
    </row>
    <row r="39">
      <c r="A39" t="inlineStr">
        <is>
          <t>배수공사&gt;암거공-날개벽 (B=2.5m, H=2.4m, L=5m (옹벽식))</t>
        </is>
      </c>
      <c r="B39" t="inlineStr">
        <is>
          <t>개소</t>
        </is>
      </c>
      <c r="C39" s="134" t="n">
        <v>0.07692307692307693</v>
      </c>
      <c r="D39" t="inlineStr">
        <is>
          <t>13일/개소</t>
        </is>
      </c>
      <c r="E39" t="inlineStr">
        <is>
          <t>세트1</t>
        </is>
      </c>
      <c r="J39">
        <f>IF(ROWS($J$2:J39)&lt;=INDEX($H$2:$H$9,MATCH('공기산정(1일작업량)'!$B$32,$F$2:$F$9,0)),INDEX($A$2:$A$115,INDEX($G$2:$G$9,MATCH('공기산정(1일작업량)'!$B$32,$F$2:$F$9,0))+ROWS($J$2:J39)-1),"")</f>
        <v/>
      </c>
    </row>
    <row r="40">
      <c r="A40" t="inlineStr">
        <is>
          <t>배수공사&gt;배수관-흄관, V.R관 (직경 600mm, 고무링접합)</t>
        </is>
      </c>
      <c r="B40" t="inlineStr">
        <is>
          <t>m</t>
        </is>
      </c>
      <c r="C40" s="134" t="n">
        <v>43</v>
      </c>
      <c r="D40" t="inlineStr">
        <is>
          <t>43m/일</t>
        </is>
      </c>
      <c r="E40" t="inlineStr">
        <is>
          <t>세트1</t>
        </is>
      </c>
      <c r="J40">
        <f>IF(ROWS($J$2:J40)&lt;=INDEX($H$2:$H$9,MATCH('공기산정(1일작업량)'!$B$32,$F$2:$F$9,0)),INDEX($A$2:$A$115,INDEX($G$2:$G$9,MATCH('공기산정(1일작업량)'!$B$32,$F$2:$F$9,0))+ROWS($J$2:J40)-1),"")</f>
        <v/>
      </c>
    </row>
    <row r="41">
      <c r="A41" t="inlineStr">
        <is>
          <t>배수공사&gt;배수관-강관 (직경 800mm, 접합제외)</t>
        </is>
      </c>
      <c r="B41" t="inlineStr">
        <is>
          <t>m</t>
        </is>
      </c>
      <c r="C41" s="134" t="n">
        <v>38</v>
      </c>
      <c r="D41" t="inlineStr">
        <is>
          <t>38m/일</t>
        </is>
      </c>
      <c r="E41" t="inlineStr">
        <is>
          <t>세트1</t>
        </is>
      </c>
      <c r="J41">
        <f>IF(ROWS($J$2:J41)&lt;=INDEX($H$2:$H$9,MATCH('공기산정(1일작업량)'!$B$32,$F$2:$F$9,0)),INDEX($A$2:$A$115,INDEX($G$2:$G$9,MATCH('공기산정(1일작업량)'!$B$32,$F$2:$F$9,0))+ROWS($J$2:J41)-1),"")</f>
        <v/>
      </c>
    </row>
    <row r="42">
      <c r="A42" t="inlineStr">
        <is>
          <t>배수공사&gt;배수관-강관압입추진 (직경 800mm, 접합제외)</t>
        </is>
      </c>
      <c r="B42" t="inlineStr">
        <is>
          <t>m</t>
        </is>
      </c>
      <c r="C42" s="134" t="n">
        <v>3</v>
      </c>
      <c r="D42" t="inlineStr">
        <is>
          <t>3m/일</t>
        </is>
      </c>
      <c r="E42" t="inlineStr">
        <is>
          <t>세트1</t>
        </is>
      </c>
      <c r="J42">
        <f>IF(ROWS($J$2:J42)&lt;=INDEX($H$2:$H$9,MATCH('공기산정(1일작업량)'!$B$32,$F$2:$F$9,0)),INDEX($A$2:$A$115,INDEX($G$2:$G$9,MATCH('공기산정(1일작업량)'!$B$32,$F$2:$F$9,0))+ROWS($J$2:J42)-1),"")</f>
        <v/>
      </c>
    </row>
    <row r="43">
      <c r="A43" t="inlineStr">
        <is>
          <t>배수공사&gt;옹벽-콘크리트옹벽 (B=4m, H=5m, L=15m)</t>
        </is>
      </c>
      <c r="B43" t="inlineStr">
        <is>
          <t>15m/1span</t>
        </is>
      </c>
      <c r="C43" s="134" t="n">
        <v>0.04</v>
      </c>
      <c r="D43" t="inlineStr">
        <is>
          <t>25일/15m/1span</t>
        </is>
      </c>
      <c r="E43" t="inlineStr">
        <is>
          <t>세트1</t>
        </is>
      </c>
      <c r="J43">
        <f>IF(ROWS($J$2:J43)&lt;=INDEX($H$2:$H$9,MATCH('공기산정(1일작업량)'!$B$32,$F$2:$F$9,0)),INDEX($A$2:$A$115,INDEX($G$2:$G$9,MATCH('공기산정(1일작업량)'!$B$32,$F$2:$F$9,0))+ROWS($J$2:J43)-1),"")</f>
        <v/>
      </c>
    </row>
    <row r="44">
      <c r="A44" t="inlineStr">
        <is>
          <t>배수공사&gt;옹벽-보강토옹벽 (블록식, 뒤채움 제외)</t>
        </is>
      </c>
      <c r="B44" t="inlineStr">
        <is>
          <t>㎡</t>
        </is>
      </c>
      <c r="C44" s="134" t="n">
        <v>14</v>
      </c>
      <c r="D44" t="inlineStr">
        <is>
          <t>14㎡/일</t>
        </is>
      </c>
      <c r="E44" t="inlineStr">
        <is>
          <t>세트1</t>
        </is>
      </c>
      <c r="J44">
        <f>IF(ROWS($J$2:J44)&lt;=INDEX($H$2:$H$9,MATCH('공기산정(1일작업량)'!$B$32,$F$2:$F$9,0)),INDEX($A$2:$A$115,INDEX($G$2:$G$9,MATCH('공기산정(1일작업량)'!$B$32,$F$2:$F$9,0))+ROWS($J$2:J44)-1),"")</f>
        <v/>
      </c>
    </row>
    <row r="45">
      <c r="A45" t="inlineStr">
        <is>
          <t>배수공사&gt;측구공-L형측구 (B=0.9m, H=2.3m, L=20m)</t>
        </is>
      </c>
      <c r="B45" t="inlineStr">
        <is>
          <t>20m/1span</t>
        </is>
      </c>
      <c r="C45" s="134" t="n">
        <v>0.125</v>
      </c>
      <c r="D45" t="inlineStr">
        <is>
          <t>8일/20m/1span</t>
        </is>
      </c>
      <c r="E45" t="inlineStr">
        <is>
          <t>세트1</t>
        </is>
      </c>
      <c r="J45">
        <f>IF(ROWS($J$2:J45)&lt;=INDEX($H$2:$H$9,MATCH('공기산정(1일작업량)'!$B$32,$F$2:$F$9,0)),INDEX($A$2:$A$115,INDEX($G$2:$G$9,MATCH('공기산정(1일작업량)'!$B$32,$F$2:$F$9,0))+ROWS($J$2:J45)-1),"")</f>
        <v/>
      </c>
    </row>
    <row r="46">
      <c r="A46" t="inlineStr">
        <is>
          <t>배수공사&gt;측구공-U형측구 (B=1.08m, H=1.0m, L=20m)</t>
        </is>
      </c>
      <c r="B46" t="inlineStr">
        <is>
          <t>20m/1span</t>
        </is>
      </c>
      <c r="C46" s="134" t="n">
        <v>0.1111111111111111</v>
      </c>
      <c r="D46" t="inlineStr">
        <is>
          <t>9일/20m/1span</t>
        </is>
      </c>
      <c r="E46" t="inlineStr">
        <is>
          <t>세트1</t>
        </is>
      </c>
      <c r="J46">
        <f>IF(ROWS($J$2:J46)&lt;=INDEX($H$2:$H$9,MATCH('공기산정(1일작업량)'!$B$32,$F$2:$F$9,0)),INDEX($A$2:$A$115,INDEX($G$2:$G$9,MATCH('공기산정(1일작업량)'!$B$32,$F$2:$F$9,0))+ROWS($J$2:J46)-1),"")</f>
        <v/>
      </c>
    </row>
    <row r="47">
      <c r="A47" t="inlineStr">
        <is>
          <t>배수공사&gt;측구공-V형측구 (B=1.46m, H=0.8m, L=20m)</t>
        </is>
      </c>
      <c r="B47" t="inlineStr">
        <is>
          <t>20m/1span</t>
        </is>
      </c>
      <c r="C47" s="134" t="n">
        <v>0.125</v>
      </c>
      <c r="D47" t="inlineStr">
        <is>
          <t>8일/20m/1span</t>
        </is>
      </c>
      <c r="E47" t="inlineStr">
        <is>
          <t>세트1</t>
        </is>
      </c>
      <c r="J47">
        <f>IF(ROWS($J$2:J47)&lt;=INDEX($H$2:$H$9,MATCH('공기산정(1일작업량)'!$B$32,$F$2:$F$9,0)),INDEX($A$2:$A$115,INDEX($G$2:$G$9,MATCH('공기산정(1일작업량)'!$B$32,$F$2:$F$9,0))+ROWS($J$2:J47)-1),"")</f>
        <v/>
      </c>
    </row>
    <row r="48">
      <c r="A48" t="inlineStr">
        <is>
          <t>배수공사&gt;측구공-산마루 측구 (B=1.34m, H=1.15m, L=20m)</t>
        </is>
      </c>
      <c r="B48" t="inlineStr">
        <is>
          <t>20m/1span</t>
        </is>
      </c>
      <c r="C48" s="134" t="n">
        <v>0.125</v>
      </c>
      <c r="D48" t="inlineStr">
        <is>
          <t>8일/20m/1span</t>
        </is>
      </c>
      <c r="E48" t="inlineStr">
        <is>
          <t>세트1</t>
        </is>
      </c>
      <c r="J48">
        <f>IF(ROWS($J$2:J48)&lt;=INDEX($H$2:$H$9,MATCH('공기산정(1일작업량)'!$B$32,$F$2:$F$9,0)),INDEX($A$2:$A$115,INDEX($G$2:$G$9,MATCH('공기산정(1일작업량)'!$B$32,$F$2:$F$9,0))+ROWS($J$2:J48)-1),"")</f>
        <v/>
      </c>
    </row>
    <row r="49">
      <c r="A49" t="inlineStr">
        <is>
          <t>포장공사&gt;아스팔트포장 1단계-작업준비 (스틱 설치간격 10m)</t>
        </is>
      </c>
      <c r="B49" t="inlineStr">
        <is>
          <t>m</t>
        </is>
      </c>
      <c r="C49" s="134" t="n">
        <v>1900</v>
      </c>
      <c r="D49" t="inlineStr">
        <is>
          <t>1,900m/일</t>
        </is>
      </c>
      <c r="E49" t="inlineStr">
        <is>
          <t>세트3</t>
        </is>
      </c>
      <c r="J49">
        <f>IF(ROWS($J$2:J49)&lt;=INDEX($H$2:$H$9,MATCH('공기산정(1일작업량)'!$B$32,$F$2:$F$9,0)),INDEX($A$2:$A$115,INDEX($G$2:$G$9,MATCH('공기산정(1일작업량)'!$B$32,$F$2:$F$9,0))+ROWS($J$2:J49)-1),"")</f>
        <v/>
      </c>
    </row>
    <row r="50">
      <c r="A50" t="inlineStr">
        <is>
          <t>포장공사&gt;아스팔트포장 1단계-작업준비 (스틱 설치간격 6m)</t>
        </is>
      </c>
      <c r="B50" t="inlineStr">
        <is>
          <t>m</t>
        </is>
      </c>
      <c r="C50" s="134" t="n">
        <v>1600</v>
      </c>
      <c r="D50" t="inlineStr">
        <is>
          <t>1,600m/일</t>
        </is>
      </c>
      <c r="E50" t="inlineStr">
        <is>
          <t>세트3</t>
        </is>
      </c>
      <c r="J50">
        <f>IF(ROWS($J$2:J50)&lt;=INDEX($H$2:$H$9,MATCH('공기산정(1일작업량)'!$B$32,$F$2:$F$9,0)),INDEX($A$2:$A$115,INDEX($G$2:$G$9,MATCH('공기산정(1일작업량)'!$B$32,$F$2:$F$9,0))+ROWS($J$2:J50)-1),"")</f>
        <v/>
      </c>
    </row>
    <row r="51">
      <c r="A51" t="inlineStr">
        <is>
          <t>포장공사&gt;아스팔트포장 1단계-작업준비 인수인계/위치측량 (고정 5일)</t>
        </is>
      </c>
      <c r="B51" t="inlineStr">
        <is>
          <t>식</t>
        </is>
      </c>
      <c r="C51" s="134" t="n">
        <v>0.2</v>
      </c>
      <c r="D51" t="inlineStr">
        <is>
          <t>5일</t>
        </is>
      </c>
      <c r="E51" t="inlineStr">
        <is>
          <t>세트3</t>
        </is>
      </c>
      <c r="J51">
        <f>IF(ROWS($J$2:J51)&lt;=INDEX($H$2:$H$9,MATCH('공기산정(1일작업량)'!$B$32,$F$2:$F$9,0)),INDEX($A$2:$A$115,INDEX($G$2:$G$9,MATCH('공기산정(1일작업량)'!$B$32,$F$2:$F$9,0))+ROWS($J$2:J51)-1),"")</f>
        <v/>
      </c>
    </row>
    <row r="52">
      <c r="A52" t="inlineStr">
        <is>
          <t>포장공사&gt;아스팔트포장 1단계-동상방지층(선택) (대형 다짐장비, 본선 포설)</t>
        </is>
      </c>
      <c r="B52" t="inlineStr">
        <is>
          <t>㎥</t>
        </is>
      </c>
      <c r="C52" s="134" t="n">
        <v>600</v>
      </c>
      <c r="D52" t="inlineStr">
        <is>
          <t>600㎥/일</t>
        </is>
      </c>
      <c r="E52" t="inlineStr">
        <is>
          <t>세트3</t>
        </is>
      </c>
      <c r="J52">
        <f>IF(ROWS($J$2:J52)&lt;=INDEX($H$2:$H$9,MATCH('공기산정(1일작업량)'!$B$32,$F$2:$F$9,0)),INDEX($A$2:$A$115,INDEX($G$2:$G$9,MATCH('공기산정(1일작업량)'!$B$32,$F$2:$F$9,0))+ROWS($J$2:J52)-1),"")</f>
        <v/>
      </c>
    </row>
    <row r="53">
      <c r="A53" t="inlineStr">
        <is>
          <t>포장공사&gt;아스팔트포장 1단계-보조기층 (대형 다짐장비, 본선 포설)</t>
        </is>
      </c>
      <c r="B53" t="inlineStr">
        <is>
          <t>㎥</t>
        </is>
      </c>
      <c r="C53" s="134" t="n">
        <v>550</v>
      </c>
      <c r="D53" t="inlineStr">
        <is>
          <t>550㎥/일</t>
        </is>
      </c>
      <c r="E53" t="inlineStr">
        <is>
          <t>세트3</t>
        </is>
      </c>
      <c r="J53">
        <f>IF(ROWS($J$2:J53)&lt;=INDEX($H$2:$H$9,MATCH('공기산정(1일작업량)'!$B$32,$F$2:$F$9,0)),INDEX($A$2:$A$115,INDEX($G$2:$G$9,MATCH('공기산정(1일작업량)'!$B$32,$F$2:$F$9,0))+ROWS($J$2:J53)-1),"")</f>
        <v/>
      </c>
    </row>
    <row r="54">
      <c r="A54" t="inlineStr">
        <is>
          <t>포장공사&gt;아스팔트포장 2단계-작업준비 (스틱 설치간격 10m)</t>
        </is>
      </c>
      <c r="B54" t="inlineStr">
        <is>
          <t>m</t>
        </is>
      </c>
      <c r="C54" s="134" t="n">
        <v>1900</v>
      </c>
      <c r="D54" t="inlineStr">
        <is>
          <t>1,900m/일</t>
        </is>
      </c>
      <c r="E54" t="inlineStr">
        <is>
          <t>세트3</t>
        </is>
      </c>
      <c r="J54">
        <f>IF(ROWS($J$2:J54)&lt;=INDEX($H$2:$H$9,MATCH('공기산정(1일작업량)'!$B$32,$F$2:$F$9,0)),INDEX($A$2:$A$115,INDEX($G$2:$G$9,MATCH('공기산정(1일작업량)'!$B$32,$F$2:$F$9,0))+ROWS($J$2:J54)-1),"")</f>
        <v/>
      </c>
    </row>
    <row r="55">
      <c r="A55" t="inlineStr">
        <is>
          <t>포장공사&gt;아스팔트포장 2단계-작업준비 (스틱 설치간격 6m)</t>
        </is>
      </c>
      <c r="B55" t="inlineStr">
        <is>
          <t>m</t>
        </is>
      </c>
      <c r="C55" s="134" t="n">
        <v>1600</v>
      </c>
      <c r="D55" t="inlineStr">
        <is>
          <t>1,600m/일</t>
        </is>
      </c>
      <c r="E55" t="inlineStr">
        <is>
          <t>세트3</t>
        </is>
      </c>
      <c r="J55">
        <f>IF(ROWS($J$2:J55)&lt;=INDEX($H$2:$H$9,MATCH('공기산정(1일작업량)'!$B$32,$F$2:$F$9,0)),INDEX($A$2:$A$115,INDEX($G$2:$G$9,MATCH('공기산정(1일작업량)'!$B$32,$F$2:$F$9,0))+ROWS($J$2:J55)-1),"")</f>
        <v/>
      </c>
    </row>
    <row r="56">
      <c r="A56" t="inlineStr">
        <is>
          <t>포장공사&gt;아스팔트포장 2단계-작업준비 자재발주/유도선 (고정 3일)</t>
        </is>
      </c>
      <c r="B56" t="inlineStr">
        <is>
          <t>식</t>
        </is>
      </c>
      <c r="C56" s="134" t="n">
        <v>0.3333333333333333</v>
      </c>
      <c r="D56" t="inlineStr">
        <is>
          <t>3일</t>
        </is>
      </c>
      <c r="E56" t="inlineStr">
        <is>
          <t>세트3</t>
        </is>
      </c>
      <c r="J56">
        <f>IF(ROWS($J$2:J56)&lt;=INDEX($H$2:$H$9,MATCH('공기산정(1일작업량)'!$B$32,$F$2:$F$9,0)),INDEX($A$2:$A$115,INDEX($G$2:$G$9,MATCH('공기산정(1일작업량)'!$B$32,$F$2:$F$9,0))+ROWS($J$2:J56)-1),"")</f>
        <v/>
      </c>
    </row>
    <row r="57">
      <c r="A57" t="inlineStr">
        <is>
          <t>포장공사&gt;아스팔트포장 2단계-택코팅 (역청재 살포)</t>
        </is>
      </c>
      <c r="B57" t="inlineStr">
        <is>
          <t>㎡</t>
        </is>
      </c>
      <c r="C57" s="134" t="n">
        <v>20000</v>
      </c>
      <c r="D57" t="inlineStr">
        <is>
          <t>20,000㎡/일</t>
        </is>
      </c>
      <c r="E57" t="inlineStr">
        <is>
          <t>세트3</t>
        </is>
      </c>
      <c r="J57">
        <f>IF(ROWS($J$2:J57)&lt;=INDEX($H$2:$H$9,MATCH('공기산정(1일작업량)'!$B$32,$F$2:$F$9,0)),INDEX($A$2:$A$115,INDEX($G$2:$G$9,MATCH('공기산정(1일작업량)'!$B$32,$F$2:$F$9,0))+ROWS($J$2:J57)-1),"")</f>
        <v/>
      </c>
    </row>
    <row r="58">
      <c r="A58" t="inlineStr">
        <is>
          <t>포장공사&gt;아스팔트포장 2단계-프라임코팅 (역청재 살포 (양생 2일 별도 계상))</t>
        </is>
      </c>
      <c r="B58" t="inlineStr">
        <is>
          <t>㎡</t>
        </is>
      </c>
      <c r="C58" s="134" t="n">
        <v>20000</v>
      </c>
      <c r="D58" t="inlineStr">
        <is>
          <t>20,000㎡/일</t>
        </is>
      </c>
      <c r="E58" t="inlineStr">
        <is>
          <t>세트3</t>
        </is>
      </c>
      <c r="J58">
        <f>IF(ROWS($J$2:J58)&lt;=INDEX($H$2:$H$9,MATCH('공기산정(1일작업량)'!$B$32,$F$2:$F$9,0)),INDEX($A$2:$A$115,INDEX($G$2:$G$9,MATCH('공기산정(1일작업량)'!$B$32,$F$2:$F$9,0))+ROWS($J$2:J58)-1),"")</f>
        <v/>
      </c>
    </row>
    <row r="59">
      <c r="A59" t="inlineStr">
        <is>
          <t>포장공사&gt;아스팔트포장 2단계-기층 (시공폭 3m 이상, 두께 5-7㎝)</t>
        </is>
      </c>
      <c r="B59" t="inlineStr">
        <is>
          <t>㎡</t>
        </is>
      </c>
      <c r="C59" s="134" t="n">
        <v>4900</v>
      </c>
      <c r="D59" t="inlineStr">
        <is>
          <t>4,900㎡/일</t>
        </is>
      </c>
      <c r="E59" t="inlineStr">
        <is>
          <t>세트3</t>
        </is>
      </c>
      <c r="J59">
        <f>IF(ROWS($J$2:J59)&lt;=INDEX($H$2:$H$9,MATCH('공기산정(1일작업량)'!$B$32,$F$2:$F$9,0)),INDEX($A$2:$A$115,INDEX($G$2:$G$9,MATCH('공기산정(1일작업량)'!$B$32,$F$2:$F$9,0))+ROWS($J$2:J59)-1),"")</f>
        <v/>
      </c>
    </row>
    <row r="60">
      <c r="A60" t="inlineStr">
        <is>
          <t>포장공사&gt;아스팔트포장 2단계-기층 (시공폭 3m 이상, 두께 8-10㎝)</t>
        </is>
      </c>
      <c r="B60" t="inlineStr">
        <is>
          <t>㎡</t>
        </is>
      </c>
      <c r="C60" s="134" t="n">
        <v>4500</v>
      </c>
      <c r="D60" t="inlineStr">
        <is>
          <t>4,500㎡/일</t>
        </is>
      </c>
      <c r="E60" t="inlineStr">
        <is>
          <t>세트3</t>
        </is>
      </c>
      <c r="J60">
        <f>IF(ROWS($J$2:J60)&lt;=INDEX($H$2:$H$9,MATCH('공기산정(1일작업량)'!$B$32,$F$2:$F$9,0)),INDEX($A$2:$A$115,INDEX($G$2:$G$9,MATCH('공기산정(1일작업량)'!$B$32,$F$2:$F$9,0))+ROWS($J$2:J60)-1),"")</f>
        <v/>
      </c>
    </row>
    <row r="61">
      <c r="A61" t="inlineStr">
        <is>
          <t>포장공사&gt;아스팔트포장 2단계-중간층/표층 (시공폭 3m 이상, 5-7㎝)</t>
        </is>
      </c>
      <c r="B61" t="inlineStr">
        <is>
          <t>㎡</t>
        </is>
      </c>
      <c r="C61" s="134" t="n">
        <v>4800</v>
      </c>
      <c r="D61" t="inlineStr">
        <is>
          <t>4,800㎡/일</t>
        </is>
      </c>
      <c r="E61" t="inlineStr">
        <is>
          <t>세트3</t>
        </is>
      </c>
      <c r="J61">
        <f>IF(ROWS($J$2:J61)&lt;=INDEX($H$2:$H$9,MATCH('공기산정(1일작업량)'!$B$32,$F$2:$F$9,0)),INDEX($A$2:$A$115,INDEX($G$2:$G$9,MATCH('공기산정(1일작업량)'!$B$32,$F$2:$F$9,0))+ROWS($J$2:J61)-1),"")</f>
        <v/>
      </c>
    </row>
    <row r="62">
      <c r="A62" t="inlineStr">
        <is>
          <t>포장공사&gt;아스팔트포장-부대공사 (차선도색, 안전시설 (준공 전))</t>
        </is>
      </c>
      <c r="B62" t="inlineStr">
        <is>
          <t>km</t>
        </is>
      </c>
      <c r="C62" s="134" t="n">
        <v>0.3333333333333333</v>
      </c>
      <c r="D62" t="inlineStr">
        <is>
          <t>3일/km</t>
        </is>
      </c>
      <c r="E62" t="inlineStr">
        <is>
          <t>세트3</t>
        </is>
      </c>
      <c r="J62">
        <f>IF(ROWS($J$2:J62)&lt;=INDEX($H$2:$H$9,MATCH('공기산정(1일작업량)'!$B$32,$F$2:$F$9,0)),INDEX($A$2:$A$115,INDEX($G$2:$G$9,MATCH('공기산정(1일작업량)'!$B$32,$F$2:$F$9,0))+ROWS($J$2:J62)-1),"")</f>
        <v/>
      </c>
    </row>
    <row r="63">
      <c r="A63" t="inlineStr">
        <is>
          <t>포장공사&gt;콘크리트포장 1단계-작업준비 (스틱 설치간격 10m)</t>
        </is>
      </c>
      <c r="B63" t="inlineStr">
        <is>
          <t>m</t>
        </is>
      </c>
      <c r="C63" s="134" t="n">
        <v>1900</v>
      </c>
      <c r="D63" t="inlineStr">
        <is>
          <t>1,900m/일</t>
        </is>
      </c>
      <c r="E63" t="inlineStr">
        <is>
          <t>세트3</t>
        </is>
      </c>
      <c r="J63">
        <f>IF(ROWS($J$2:J63)&lt;=INDEX($H$2:$H$9,MATCH('공기산정(1일작업량)'!$B$32,$F$2:$F$9,0)),INDEX($A$2:$A$115,INDEX($G$2:$G$9,MATCH('공기산정(1일작업량)'!$B$32,$F$2:$F$9,0))+ROWS($J$2:J63)-1),"")</f>
        <v/>
      </c>
    </row>
    <row r="64">
      <c r="A64" t="inlineStr">
        <is>
          <t>포장공사&gt;콘크리트포장 1단계-작업준비 (스틱 설치간격 6m)</t>
        </is>
      </c>
      <c r="B64" t="inlineStr">
        <is>
          <t>m</t>
        </is>
      </c>
      <c r="C64" s="134" t="n">
        <v>1600</v>
      </c>
      <c r="D64" t="inlineStr">
        <is>
          <t>1,600m/일</t>
        </is>
      </c>
      <c r="E64" t="inlineStr">
        <is>
          <t>세트3</t>
        </is>
      </c>
      <c r="J64">
        <f>IF(ROWS($J$2:J64)&lt;=INDEX($H$2:$H$9,MATCH('공기산정(1일작업량)'!$B$32,$F$2:$F$9,0)),INDEX($A$2:$A$115,INDEX($G$2:$G$9,MATCH('공기산정(1일작업량)'!$B$32,$F$2:$F$9,0))+ROWS($J$2:J64)-1),"")</f>
        <v/>
      </c>
    </row>
    <row r="65">
      <c r="A65" t="inlineStr">
        <is>
          <t>포장공사&gt;콘크리트포장 1단계-작업준비 인수인계/위치측량 (고정 5일)</t>
        </is>
      </c>
      <c r="B65" t="inlineStr">
        <is>
          <t>식</t>
        </is>
      </c>
      <c r="C65" s="134" t="n">
        <v>0.2</v>
      </c>
      <c r="D65" t="inlineStr">
        <is>
          <t>5일</t>
        </is>
      </c>
      <c r="E65" t="inlineStr">
        <is>
          <t>세트3</t>
        </is>
      </c>
      <c r="J65">
        <f>IF(ROWS($J$2:J65)&lt;=INDEX($H$2:$H$9,MATCH('공기산정(1일작업량)'!$B$32,$F$2:$F$9,0)),INDEX($A$2:$A$115,INDEX($G$2:$G$9,MATCH('공기산정(1일작업량)'!$B$32,$F$2:$F$9,0))+ROWS($J$2:J65)-1),"")</f>
        <v/>
      </c>
    </row>
    <row r="66">
      <c r="A66" t="inlineStr">
        <is>
          <t>포장공사&gt;콘크리트포장 1단계-동상방지층(선택) (대형 다짐장비, 본선 포설)</t>
        </is>
      </c>
      <c r="B66" t="inlineStr">
        <is>
          <t>㎥</t>
        </is>
      </c>
      <c r="C66" s="134" t="n">
        <v>600</v>
      </c>
      <c r="D66" t="inlineStr">
        <is>
          <t>600㎥/일</t>
        </is>
      </c>
      <c r="E66" t="inlineStr">
        <is>
          <t>세트3</t>
        </is>
      </c>
      <c r="J66">
        <f>IF(ROWS($J$2:J66)&lt;=INDEX($H$2:$H$9,MATCH('공기산정(1일작업량)'!$B$32,$F$2:$F$9,0)),INDEX($A$2:$A$115,INDEX($G$2:$G$9,MATCH('공기산정(1일작업량)'!$B$32,$F$2:$F$9,0))+ROWS($J$2:J66)-1),"")</f>
        <v/>
      </c>
    </row>
    <row r="67">
      <c r="A67" t="inlineStr">
        <is>
          <t>포장공사&gt;콘크리트포장 1단계-린콘크리트 (린 콘크리트 기층 포설)</t>
        </is>
      </c>
      <c r="B67" t="inlineStr">
        <is>
          <t>㎥</t>
        </is>
      </c>
      <c r="C67" s="134" t="n">
        <v>550</v>
      </c>
      <c r="D67" t="inlineStr">
        <is>
          <t>550㎥/일</t>
        </is>
      </c>
      <c r="E67" t="inlineStr">
        <is>
          <t>세트3</t>
        </is>
      </c>
      <c r="J67">
        <f>IF(ROWS($J$2:J67)&lt;=INDEX($H$2:$H$9,MATCH('공기산정(1일작업량)'!$B$32,$F$2:$F$9,0)),INDEX($A$2:$A$115,INDEX($G$2:$G$9,MATCH('공기산정(1일작업량)'!$B$32,$F$2:$F$9,0))+ROWS($J$2:J67)-1),"")</f>
        <v/>
      </c>
    </row>
    <row r="68">
      <c r="A68" t="inlineStr">
        <is>
          <t>포장공사&gt;콘크리트포장 2단계-작업준비 (스틱 설치간격 10m)</t>
        </is>
      </c>
      <c r="B68" t="inlineStr">
        <is>
          <t>m</t>
        </is>
      </c>
      <c r="C68" s="134" t="n">
        <v>1900</v>
      </c>
      <c r="D68" t="inlineStr">
        <is>
          <t>1,900m/일</t>
        </is>
      </c>
      <c r="E68" t="inlineStr">
        <is>
          <t>세트3</t>
        </is>
      </c>
      <c r="J68">
        <f>IF(ROWS($J$2:J68)&lt;=INDEX($H$2:$H$9,MATCH('공기산정(1일작업량)'!$B$32,$F$2:$F$9,0)),INDEX($A$2:$A$115,INDEX($G$2:$G$9,MATCH('공기산정(1일작업량)'!$B$32,$F$2:$F$9,0))+ROWS($J$2:J68)-1),"")</f>
        <v/>
      </c>
    </row>
    <row r="69">
      <c r="A69" t="inlineStr">
        <is>
          <t>포장공사&gt;콘크리트포장 2단계-작업준비 (스틱 설치간격 6m)</t>
        </is>
      </c>
      <c r="B69" t="inlineStr">
        <is>
          <t>m</t>
        </is>
      </c>
      <c r="C69" s="134" t="n">
        <v>1600</v>
      </c>
      <c r="D69" t="inlineStr">
        <is>
          <t>1,600m/일</t>
        </is>
      </c>
      <c r="E69" t="inlineStr">
        <is>
          <t>세트3</t>
        </is>
      </c>
      <c r="J69">
        <f>IF(ROWS($J$2:J69)&lt;=INDEX($H$2:$H$9,MATCH('공기산정(1일작업량)'!$B$32,$F$2:$F$9,0)),INDEX($A$2:$A$115,INDEX($G$2:$G$9,MATCH('공기산정(1일작업량)'!$B$32,$F$2:$F$9,0))+ROWS($J$2:J69)-1),"")</f>
        <v/>
      </c>
    </row>
    <row r="70">
      <c r="A70" t="inlineStr">
        <is>
          <t>포장공사&gt;콘크리트포장 2단계-작업준비 자재발주/유도선 (고정 3일)</t>
        </is>
      </c>
      <c r="B70" t="inlineStr">
        <is>
          <t>식</t>
        </is>
      </c>
      <c r="C70" s="134" t="n">
        <v>0.3333333333333333</v>
      </c>
      <c r="D70" t="inlineStr">
        <is>
          <t>3일</t>
        </is>
      </c>
      <c r="E70" t="inlineStr">
        <is>
          <t>세트3</t>
        </is>
      </c>
      <c r="J70">
        <f>IF(ROWS($J$2:J70)&lt;=INDEX($H$2:$H$9,MATCH('공기산정(1일작업량)'!$B$32,$F$2:$F$9,0)),INDEX($A$2:$A$115,INDEX($G$2:$G$9,MATCH('공기산정(1일작업량)'!$B$32,$F$2:$F$9,0))+ROWS($J$2:J70)-1),"")</f>
        <v/>
      </c>
    </row>
    <row r="71">
      <c r="A71" t="inlineStr">
        <is>
          <t>포장공사&gt;콘크리트포장 2단계-콘크리트표층 (일반구간 1차로 (교량구간 별도))</t>
        </is>
      </c>
      <c r="B71" t="inlineStr">
        <is>
          <t>㎥</t>
        </is>
      </c>
      <c r="C71" s="134" t="n">
        <v>300</v>
      </c>
      <c r="D71" t="inlineStr">
        <is>
          <t>300㎥/일</t>
        </is>
      </c>
      <c r="E71" t="inlineStr">
        <is>
          <t>세트3</t>
        </is>
      </c>
      <c r="J71">
        <f>IF(ROWS($J$2:J71)&lt;=INDEX($H$2:$H$9,MATCH('공기산정(1일작업량)'!$B$32,$F$2:$F$9,0)),INDEX($A$2:$A$115,INDEX($G$2:$G$9,MATCH('공기산정(1일작업량)'!$B$32,$F$2:$F$9,0))+ROWS($J$2:J71)-1),"")</f>
        <v/>
      </c>
    </row>
    <row r="72">
      <c r="A72" t="inlineStr">
        <is>
          <t>포장공사&gt;콘크리트포장 2단계-콘크리트표층 (일반구간 2차로 (교량구간 별도))</t>
        </is>
      </c>
      <c r="B72" t="inlineStr">
        <is>
          <t>㎥</t>
        </is>
      </c>
      <c r="C72" s="134" t="n">
        <v>700</v>
      </c>
      <c r="D72" t="inlineStr">
        <is>
          <t>700㎥/일</t>
        </is>
      </c>
      <c r="E72" t="inlineStr">
        <is>
          <t>세트3</t>
        </is>
      </c>
      <c r="J72">
        <f>IF(ROWS($J$2:J72)&lt;=INDEX($H$2:$H$9,MATCH('공기산정(1일작업량)'!$B$32,$F$2:$F$9,0)),INDEX($A$2:$A$115,INDEX($G$2:$G$9,MATCH('공기산정(1일작업량)'!$B$32,$F$2:$F$9,0))+ROWS($J$2:J72)-1),"")</f>
        <v/>
      </c>
    </row>
    <row r="73">
      <c r="A73" t="inlineStr">
        <is>
          <t>포장공사&gt;콘크리트포장 2단계-포장절단 및 줄눈설치 (표층 포설기간에 추가)</t>
        </is>
      </c>
      <c r="B73" t="inlineStr">
        <is>
          <t>식</t>
        </is>
      </c>
      <c r="C73" s="134" t="n">
        <v>0.3333333333333333</v>
      </c>
      <c r="D73" t="inlineStr">
        <is>
          <t>3일</t>
        </is>
      </c>
      <c r="E73" t="inlineStr">
        <is>
          <t>세트3</t>
        </is>
      </c>
      <c r="J73">
        <f>IF(ROWS($J$2:J73)&lt;=INDEX($H$2:$H$9,MATCH('공기산정(1일작업량)'!$B$32,$F$2:$F$9,0)),INDEX($A$2:$A$115,INDEX($G$2:$G$9,MATCH('공기산정(1일작업량)'!$B$32,$F$2:$F$9,0))+ROWS($J$2:J73)-1),"")</f>
        <v/>
      </c>
    </row>
    <row r="74">
      <c r="A74" t="inlineStr">
        <is>
          <t>포장공사&gt;콘크리트포장-부대공사 (차선도색, 안전시설 (준공 전))</t>
        </is>
      </c>
      <c r="B74" t="inlineStr">
        <is>
          <t>km</t>
        </is>
      </c>
      <c r="C74" s="134" t="n">
        <v>0.3333333333333333</v>
      </c>
      <c r="D74" t="inlineStr">
        <is>
          <t>3일/km</t>
        </is>
      </c>
      <c r="E74" t="inlineStr">
        <is>
          <t>세트3</t>
        </is>
      </c>
      <c r="J74">
        <f>IF(ROWS($J$2:J74)&lt;=INDEX($H$2:$H$9,MATCH('공기산정(1일작업량)'!$B$32,$F$2:$F$9,0)),INDEX($A$2:$A$115,INDEX($G$2:$G$9,MATCH('공기산정(1일작업량)'!$B$32,$F$2:$F$9,0))+ROWS($J$2:J74)-1),"")</f>
        <v/>
      </c>
    </row>
    <row r="75">
      <c r="A75" t="inlineStr">
        <is>
          <t>교량공사&gt;기초공-직접기초</t>
        </is>
      </c>
      <c r="B75" t="inlineStr">
        <is>
          <t>개소</t>
        </is>
      </c>
      <c r="C75" s="134" t="n">
        <v>0.05555555555555555</v>
      </c>
      <c r="D75" t="inlineStr">
        <is>
          <t>18일/개소</t>
        </is>
      </c>
      <c r="E75" t="inlineStr">
        <is>
          <t>세트1</t>
        </is>
      </c>
      <c r="J75">
        <f>IF(ROWS($J$2:J75)&lt;=INDEX($H$2:$H$9,MATCH('공기산정(1일작업량)'!$B$32,$F$2:$F$9,0)),INDEX($A$2:$A$115,INDEX($G$2:$G$9,MATCH('공기산정(1일작업량)'!$B$32,$F$2:$F$9,0))+ROWS($J$2:J75)-1),"")</f>
        <v/>
      </c>
    </row>
    <row r="76">
      <c r="A76" t="inlineStr">
        <is>
          <t>교량공사&gt;기초공-말뚝기초 (SDA)</t>
        </is>
      </c>
      <c r="B76" t="inlineStr">
        <is>
          <t>본</t>
        </is>
      </c>
      <c r="C76" s="134" t="n">
        <v>10</v>
      </c>
      <c r="D76" t="inlineStr">
        <is>
          <t>10본/일</t>
        </is>
      </c>
      <c r="E76" t="inlineStr">
        <is>
          <t>세트1</t>
        </is>
      </c>
      <c r="J76">
        <f>IF(ROWS($J$2:J76)&lt;=INDEX($H$2:$H$9,MATCH('공기산정(1일작업량)'!$B$32,$F$2:$F$9,0)),INDEX($A$2:$A$115,INDEX($G$2:$G$9,MATCH('공기산정(1일작업량)'!$B$32,$F$2:$F$9,0))+ROWS($J$2:J76)-1),"")</f>
        <v/>
      </c>
    </row>
    <row r="77">
      <c r="A77" t="inlineStr">
        <is>
          <t>교량공사&gt;하부공-교대 벽체 (1Lot=2.5m)</t>
        </is>
      </c>
      <c r="B77" t="inlineStr">
        <is>
          <t>Lot</t>
        </is>
      </c>
      <c r="C77" s="134" t="n">
        <v>0.1</v>
      </c>
      <c r="D77" t="inlineStr">
        <is>
          <t>10일/1Lot</t>
        </is>
      </c>
      <c r="E77" t="inlineStr">
        <is>
          <t>세트1</t>
        </is>
      </c>
      <c r="J77">
        <f>IF(ROWS($J$2:J77)&lt;=INDEX($H$2:$H$9,MATCH('공기산정(1일작업량)'!$B$32,$F$2:$F$9,0)),INDEX($A$2:$A$115,INDEX($G$2:$G$9,MATCH('공기산정(1일작업량)'!$B$32,$F$2:$F$9,0))+ROWS($J$2:J77)-1),"")</f>
        <v/>
      </c>
    </row>
    <row r="78">
      <c r="A78" t="inlineStr">
        <is>
          <t>교량공사&gt;하부공-교각 기둥 (1Lot=3.0m)</t>
        </is>
      </c>
      <c r="B78" t="inlineStr">
        <is>
          <t>Lot</t>
        </is>
      </c>
      <c r="C78" s="134" t="n">
        <v>0.1428571428571428</v>
      </c>
      <c r="D78" t="inlineStr">
        <is>
          <t>7일/1Lot</t>
        </is>
      </c>
      <c r="E78" t="inlineStr">
        <is>
          <t>세트1</t>
        </is>
      </c>
      <c r="J78">
        <f>IF(ROWS($J$2:J78)&lt;=INDEX($H$2:$H$9,MATCH('공기산정(1일작업량)'!$B$32,$F$2:$F$9,0)),INDEX($A$2:$A$115,INDEX($G$2:$G$9,MATCH('공기산정(1일작업량)'!$B$32,$F$2:$F$9,0))+ROWS($J$2:J78)-1),"")</f>
        <v/>
      </c>
    </row>
    <row r="79">
      <c r="A79" t="inlineStr">
        <is>
          <t>교량공사&gt;하부공-교각 코핑</t>
        </is>
      </c>
      <c r="B79" t="inlineStr">
        <is>
          <t>개소</t>
        </is>
      </c>
      <c r="C79" s="134" t="n">
        <v>0.05</v>
      </c>
      <c r="D79" t="inlineStr">
        <is>
          <t>20일/개소</t>
        </is>
      </c>
      <c r="E79" t="inlineStr">
        <is>
          <t>세트1</t>
        </is>
      </c>
      <c r="J79">
        <f>IF(ROWS($J$2:J79)&lt;=INDEX($H$2:$H$9,MATCH('공기산정(1일작업량)'!$B$32,$F$2:$F$9,0)),INDEX($A$2:$A$115,INDEX($G$2:$G$9,MATCH('공기산정(1일작업량)'!$B$32,$F$2:$F$9,0))+ROWS($J$2:J79)-1),"")</f>
        <v/>
      </c>
    </row>
    <row r="80">
      <c r="A80" t="inlineStr">
        <is>
          <t>교량공사&gt;하부공-부지조성 (토공사(부지 조성 및 평탄화))</t>
        </is>
      </c>
      <c r="B80" t="inlineStr">
        <is>
          <t>식</t>
        </is>
      </c>
      <c r="C80" s="134" t="n">
        <v>0.1</v>
      </c>
      <c r="D80" t="inlineStr">
        <is>
          <t>10일</t>
        </is>
      </c>
      <c r="E80" t="inlineStr">
        <is>
          <t>세트1</t>
        </is>
      </c>
      <c r="J80">
        <f>IF(ROWS($J$2:J80)&lt;=INDEX($H$2:$H$9,MATCH('공기산정(1일작업량)'!$B$32,$F$2:$F$9,0)),INDEX($A$2:$A$115,INDEX($G$2:$G$9,MATCH('공기산정(1일작업량)'!$B$32,$F$2:$F$9,0))+ROWS($J$2:J80)-1),"")</f>
        <v/>
      </c>
    </row>
    <row r="81">
      <c r="A81" t="inlineStr">
        <is>
          <t>교량공사&gt;상부공-거더 제작</t>
        </is>
      </c>
      <c r="B81" t="inlineStr">
        <is>
          <t>본</t>
        </is>
      </c>
      <c r="C81" s="134" t="n">
        <v>0.05555555555555555</v>
      </c>
      <c r="D81" t="inlineStr">
        <is>
          <t>18일/본</t>
        </is>
      </c>
      <c r="E81" t="inlineStr">
        <is>
          <t>세트1</t>
        </is>
      </c>
      <c r="J81">
        <f>IF(ROWS($J$2:J81)&lt;=INDEX($H$2:$H$9,MATCH('공기산정(1일작업량)'!$B$32,$F$2:$F$9,0)),INDEX($A$2:$A$115,INDEX($G$2:$G$9,MATCH('공기산정(1일작업량)'!$B$32,$F$2:$F$9,0))+ROWS($J$2:J81)-1),"")</f>
        <v/>
      </c>
    </row>
    <row r="82">
      <c r="A82" t="inlineStr">
        <is>
          <t>교량공사&gt;상부공-거더 운반 및 거치</t>
        </is>
      </c>
      <c r="B82" t="inlineStr">
        <is>
          <t>본</t>
        </is>
      </c>
      <c r="C82" s="134" t="n">
        <v>2</v>
      </c>
      <c r="D82" t="inlineStr">
        <is>
          <t>2본/일</t>
        </is>
      </c>
      <c r="E82" t="inlineStr">
        <is>
          <t>세트1</t>
        </is>
      </c>
      <c r="J82">
        <f>IF(ROWS($J$2:J82)&lt;=INDEX($H$2:$H$9,MATCH('공기산정(1일작업량)'!$B$32,$F$2:$F$9,0)),INDEX($A$2:$A$115,INDEX($G$2:$G$9,MATCH('공기산정(1일작업량)'!$B$32,$F$2:$F$9,0))+ROWS($J$2:J82)-1),"")</f>
        <v/>
      </c>
    </row>
    <row r="83">
      <c r="A83" t="inlineStr">
        <is>
          <t>교량공사&gt;상부공-상부슬래브 (1경간 기준 (2경간이면 40일))</t>
        </is>
      </c>
      <c r="B83" t="inlineStr">
        <is>
          <t>경간</t>
        </is>
      </c>
      <c r="C83" s="134" t="n">
        <v>0.04</v>
      </c>
      <c r="D83" t="inlineStr">
        <is>
          <t>25일/1경간</t>
        </is>
      </c>
      <c r="E83" t="inlineStr">
        <is>
          <t>세트1</t>
        </is>
      </c>
      <c r="J83">
        <f>IF(ROWS($J$2:J83)&lt;=INDEX($H$2:$H$9,MATCH('공기산정(1일작업량)'!$B$32,$F$2:$F$9,0)),INDEX($A$2:$A$115,INDEX($G$2:$G$9,MATCH('공기산정(1일작업량)'!$B$32,$F$2:$F$9,0))+ROWS($J$2:J83)-1),"")</f>
        <v/>
      </c>
    </row>
    <row r="84">
      <c r="A84" t="inlineStr">
        <is>
          <t>교량공사&gt;상부공-교면포장(LMC) 포설</t>
        </is>
      </c>
      <c r="B84" t="inlineStr">
        <is>
          <t>㎡</t>
        </is>
      </c>
      <c r="C84" s="134" t="n">
        <v>200</v>
      </c>
      <c r="D84" t="inlineStr">
        <is>
          <t>200㎡/일</t>
        </is>
      </c>
      <c r="E84" t="inlineStr">
        <is>
          <t>세트1</t>
        </is>
      </c>
      <c r="J84">
        <f>IF(ROWS($J$2:J84)&lt;=INDEX($H$2:$H$9,MATCH('공기산정(1일작업량)'!$B$32,$F$2:$F$9,0)),INDEX($A$2:$A$115,INDEX($G$2:$G$9,MATCH('공기산정(1일작업량)'!$B$32,$F$2:$F$9,0))+ROWS($J$2:J84)-1),"")</f>
        <v/>
      </c>
    </row>
    <row r="85">
      <c r="A85" t="inlineStr">
        <is>
          <t>교량공사&gt;상부공-교면포장(LMC) 마무리</t>
        </is>
      </c>
      <c r="B85" t="inlineStr">
        <is>
          <t>경간</t>
        </is>
      </c>
      <c r="C85" s="134" t="n">
        <v>0.125</v>
      </c>
      <c r="D85" t="inlineStr">
        <is>
          <t>8일/경간</t>
        </is>
      </c>
      <c r="E85" t="inlineStr">
        <is>
          <t>세트1</t>
        </is>
      </c>
      <c r="J85">
        <f>IF(ROWS($J$2:J85)&lt;=INDEX($H$2:$H$9,MATCH('공기산정(1일작업량)'!$B$32,$F$2:$F$9,0)),INDEX($A$2:$A$115,INDEX($G$2:$G$9,MATCH('공기산정(1일작업량)'!$B$32,$F$2:$F$9,0))+ROWS($J$2:J85)-1),"")</f>
        <v/>
      </c>
    </row>
    <row r="86">
      <c r="A86" t="inlineStr">
        <is>
          <t>교량공사&gt;교량부대공사 (교량난간+배수시설+방음벽 등)</t>
        </is>
      </c>
      <c r="B86" t="inlineStr">
        <is>
          <t>교량</t>
        </is>
      </c>
      <c r="C86" s="134" t="n">
        <v>0.06666666666666667</v>
      </c>
      <c r="D86" t="inlineStr">
        <is>
          <t>15일/교량</t>
        </is>
      </c>
      <c r="E86" t="inlineStr">
        <is>
          <t>세트1</t>
        </is>
      </c>
      <c r="J86">
        <f>IF(ROWS($J$2:J86)&lt;=INDEX($H$2:$H$9,MATCH('공기산정(1일작업량)'!$B$32,$F$2:$F$9,0)),INDEX($A$2:$A$115,INDEX($G$2:$G$9,MATCH('공기산정(1일작업량)'!$B$32,$F$2:$F$9,0))+ROWS($J$2:J86)-1),"")</f>
        <v/>
      </c>
    </row>
    <row r="87">
      <c r="A87" t="inlineStr">
        <is>
          <t>터널공사&gt;갱구부 보강-시점부</t>
        </is>
      </c>
      <c r="B87" t="inlineStr">
        <is>
          <t>개소</t>
        </is>
      </c>
      <c r="C87" s="134" t="n">
        <v>0.04</v>
      </c>
      <c r="D87" t="inlineStr">
        <is>
          <t>25일/개소</t>
        </is>
      </c>
      <c r="E87" t="inlineStr">
        <is>
          <t>세트4</t>
        </is>
      </c>
      <c r="J87">
        <f>IF(ROWS($J$2:J87)&lt;=INDEX($H$2:$H$9,MATCH('공기산정(1일작업량)'!$B$32,$F$2:$F$9,0)),INDEX($A$2:$A$115,INDEX($G$2:$G$9,MATCH('공기산정(1일작업량)'!$B$32,$F$2:$F$9,0))+ROWS($J$2:J87)-1),"")</f>
        <v/>
      </c>
    </row>
    <row r="88">
      <c r="A88" t="inlineStr">
        <is>
          <t>터널공사&gt;갱구부 보강-종점부</t>
        </is>
      </c>
      <c r="B88" t="inlineStr">
        <is>
          <t>개소</t>
        </is>
      </c>
      <c r="C88" s="134" t="n">
        <v>0.04</v>
      </c>
      <c r="D88" t="inlineStr">
        <is>
          <t>25일/개소</t>
        </is>
      </c>
      <c r="E88" t="inlineStr">
        <is>
          <t>세트4</t>
        </is>
      </c>
      <c r="J88">
        <f>IF(ROWS($J$2:J88)&lt;=INDEX($H$2:$H$9,MATCH('공기산정(1일작업량)'!$B$32,$F$2:$F$9,0)),INDEX($A$2:$A$115,INDEX($G$2:$G$9,MATCH('공기산정(1일작업량)'!$B$32,$F$2:$F$9,0))+ROWS($J$2:J88)-1),"")</f>
        <v/>
      </c>
    </row>
    <row r="89">
      <c r="A89" t="inlineStr">
        <is>
          <t>터널공사&gt;굴착 및 보강-P-1</t>
        </is>
      </c>
      <c r="B89" t="inlineStr">
        <is>
          <t>m</t>
        </is>
      </c>
      <c r="C89" s="134" t="n">
        <v>4.3</v>
      </c>
      <c r="D89" t="inlineStr">
        <is>
          <t>4.3m/일</t>
        </is>
      </c>
      <c r="E89" t="inlineStr">
        <is>
          <t>세트4</t>
        </is>
      </c>
      <c r="J89">
        <f>IF(ROWS($J$2:J89)&lt;=INDEX($H$2:$H$9,MATCH('공기산정(1일작업량)'!$B$32,$F$2:$F$9,0)),INDEX($A$2:$A$115,INDEX($G$2:$G$9,MATCH('공기산정(1일작업량)'!$B$32,$F$2:$F$9,0))+ROWS($J$2:J89)-1),"")</f>
        <v/>
      </c>
    </row>
    <row r="90">
      <c r="A90" t="inlineStr">
        <is>
          <t>터널공사&gt;굴착 및 보강-P-2</t>
        </is>
      </c>
      <c r="B90" t="inlineStr">
        <is>
          <t>m</t>
        </is>
      </c>
      <c r="C90" s="134" t="n">
        <v>4.1</v>
      </c>
      <c r="D90" t="inlineStr">
        <is>
          <t>4.1m/일</t>
        </is>
      </c>
      <c r="E90" t="inlineStr">
        <is>
          <t>세트4</t>
        </is>
      </c>
      <c r="J90">
        <f>IF(ROWS($J$2:J90)&lt;=INDEX($H$2:$H$9,MATCH('공기산정(1일작업량)'!$B$32,$F$2:$F$9,0)),INDEX($A$2:$A$115,INDEX($G$2:$G$9,MATCH('공기산정(1일작업량)'!$B$32,$F$2:$F$9,0))+ROWS($J$2:J90)-1),"")</f>
        <v/>
      </c>
    </row>
    <row r="91">
      <c r="A91" t="inlineStr">
        <is>
          <t>터널공사&gt;굴착 및 보강-P-3</t>
        </is>
      </c>
      <c r="B91" t="inlineStr">
        <is>
          <t>m</t>
        </is>
      </c>
      <c r="C91" s="134" t="n">
        <v>2.9</v>
      </c>
      <c r="D91" t="inlineStr">
        <is>
          <t>2.9m/일</t>
        </is>
      </c>
      <c r="E91" t="inlineStr">
        <is>
          <t>세트4</t>
        </is>
      </c>
      <c r="J91">
        <f>IF(ROWS($J$2:J91)&lt;=INDEX($H$2:$H$9,MATCH('공기산정(1일작업량)'!$B$32,$F$2:$F$9,0)),INDEX($A$2:$A$115,INDEX($G$2:$G$9,MATCH('공기산정(1일작업량)'!$B$32,$F$2:$F$9,0))+ROWS($J$2:J91)-1),"")</f>
        <v/>
      </c>
    </row>
    <row r="92">
      <c r="A92" t="inlineStr">
        <is>
          <t>터널공사&gt;굴착 및 보강-P-4 상반</t>
        </is>
      </c>
      <c r="B92" t="inlineStr">
        <is>
          <t>m</t>
        </is>
      </c>
      <c r="C92" s="134" t="n">
        <v>2.6</v>
      </c>
      <c r="D92" t="inlineStr">
        <is>
          <t>2.6m/일</t>
        </is>
      </c>
      <c r="E92" t="inlineStr">
        <is>
          <t>세트4</t>
        </is>
      </c>
      <c r="J92">
        <f>IF(ROWS($J$2:J92)&lt;=INDEX($H$2:$H$9,MATCH('공기산정(1일작업량)'!$B$32,$F$2:$F$9,0)),INDEX($A$2:$A$115,INDEX($G$2:$G$9,MATCH('공기산정(1일작업량)'!$B$32,$F$2:$F$9,0))+ROWS($J$2:J92)-1),"")</f>
        <v/>
      </c>
    </row>
    <row r="93">
      <c r="A93" t="inlineStr">
        <is>
          <t>터널공사&gt;굴착 및 보강-P-4 하반</t>
        </is>
      </c>
      <c r="B93" t="inlineStr">
        <is>
          <t>m</t>
        </is>
      </c>
      <c r="C93" s="134" t="n">
        <v>7.1</v>
      </c>
      <c r="D93" t="inlineStr">
        <is>
          <t>7.1m/일</t>
        </is>
      </c>
      <c r="E93" t="inlineStr">
        <is>
          <t>세트4</t>
        </is>
      </c>
      <c r="J93">
        <f>IF(ROWS($J$2:J93)&lt;=INDEX($H$2:$H$9,MATCH('공기산정(1일작업량)'!$B$32,$F$2:$F$9,0)),INDEX($A$2:$A$115,INDEX($G$2:$G$9,MATCH('공기산정(1일작업량)'!$B$32,$F$2:$F$9,0))+ROWS($J$2:J93)-1),"")</f>
        <v/>
      </c>
    </row>
    <row r="94">
      <c r="A94" t="inlineStr">
        <is>
          <t>터널공사&gt;굴착 및 보강-P-5 상반</t>
        </is>
      </c>
      <c r="B94" t="inlineStr">
        <is>
          <t>m</t>
        </is>
      </c>
      <c r="C94" s="134" t="n">
        <v>2.2</v>
      </c>
      <c r="D94" t="inlineStr">
        <is>
          <t>2.2m/일</t>
        </is>
      </c>
      <c r="E94" t="inlineStr">
        <is>
          <t>세트4</t>
        </is>
      </c>
      <c r="J94">
        <f>IF(ROWS($J$2:J94)&lt;=INDEX($H$2:$H$9,MATCH('공기산정(1일작업량)'!$B$32,$F$2:$F$9,0)),INDEX($A$2:$A$115,INDEX($G$2:$G$9,MATCH('공기산정(1일작업량)'!$B$32,$F$2:$F$9,0))+ROWS($J$2:J94)-1),"")</f>
        <v/>
      </c>
    </row>
    <row r="95">
      <c r="A95" t="inlineStr">
        <is>
          <t>터널공사&gt;굴착 및 보강-P-5 하반</t>
        </is>
      </c>
      <c r="B95" t="inlineStr">
        <is>
          <t>m</t>
        </is>
      </c>
      <c r="C95" s="134" t="n">
        <v>3.6</v>
      </c>
      <c r="D95" t="inlineStr">
        <is>
          <t>3.6m/일</t>
        </is>
      </c>
      <c r="E95" t="inlineStr">
        <is>
          <t>세트4</t>
        </is>
      </c>
      <c r="J95">
        <f>IF(ROWS($J$2:J95)&lt;=INDEX($H$2:$H$9,MATCH('공기산정(1일작업량)'!$B$32,$F$2:$F$9,0)),INDEX($A$2:$A$115,INDEX($G$2:$G$9,MATCH('공기산정(1일작업량)'!$B$32,$F$2:$F$9,0))+ROWS($J$2:J95)-1),"")</f>
        <v/>
      </c>
    </row>
    <row r="96">
      <c r="A96" t="inlineStr">
        <is>
          <t>터널공사&gt;굴착 및 보강-P-6 상반</t>
        </is>
      </c>
      <c r="B96" t="inlineStr">
        <is>
          <t>m</t>
        </is>
      </c>
      <c r="C96" s="134" t="n">
        <v>2.2</v>
      </c>
      <c r="D96" t="inlineStr">
        <is>
          <t>2.2m/일</t>
        </is>
      </c>
      <c r="E96" t="inlineStr">
        <is>
          <t>세트4</t>
        </is>
      </c>
      <c r="J96">
        <f>IF(ROWS($J$2:J96)&lt;=INDEX($H$2:$H$9,MATCH('공기산정(1일작업량)'!$B$32,$F$2:$F$9,0)),INDEX($A$2:$A$115,INDEX($G$2:$G$9,MATCH('공기산정(1일작업량)'!$B$32,$F$2:$F$9,0))+ROWS($J$2:J96)-1),"")</f>
        <v/>
      </c>
    </row>
    <row r="97">
      <c r="A97" t="inlineStr">
        <is>
          <t>터널공사&gt;굴착 및 보강-P-6 하반</t>
        </is>
      </c>
      <c r="B97" t="inlineStr">
        <is>
          <t>m</t>
        </is>
      </c>
      <c r="C97" s="134" t="n">
        <v>2.9</v>
      </c>
      <c r="D97" t="inlineStr">
        <is>
          <t>2.9m/일</t>
        </is>
      </c>
      <c r="E97" t="inlineStr">
        <is>
          <t>세트4</t>
        </is>
      </c>
      <c r="J97">
        <f>IF(ROWS($J$2:J97)&lt;=INDEX($H$2:$H$9,MATCH('공기산정(1일작업량)'!$B$32,$F$2:$F$9,0)),INDEX($A$2:$A$115,INDEX($G$2:$G$9,MATCH('공기산정(1일작업량)'!$B$32,$F$2:$F$9,0))+ROWS($J$2:J97)-1),"")</f>
        <v/>
      </c>
    </row>
    <row r="98">
      <c r="A98" t="inlineStr">
        <is>
          <t>터널공사&gt;보조공법-강관보강 그라우팅</t>
        </is>
      </c>
      <c r="B98" t="inlineStr">
        <is>
          <t>개소</t>
        </is>
      </c>
      <c r="C98" s="134" t="n">
        <v>0.3333333333333333</v>
      </c>
      <c r="D98" t="inlineStr">
        <is>
          <t>3일/개소</t>
        </is>
      </c>
      <c r="E98" t="inlineStr">
        <is>
          <t>세트4</t>
        </is>
      </c>
      <c r="J98">
        <f>IF(ROWS($J$2:J98)&lt;=INDEX($H$2:$H$9,MATCH('공기산정(1일작업량)'!$B$32,$F$2:$F$9,0)),INDEX($A$2:$A$115,INDEX($G$2:$G$9,MATCH('공기산정(1일작업량)'!$B$32,$F$2:$F$9,0))+ROWS($J$2:J98)-1),"")</f>
        <v/>
      </c>
    </row>
    <row r="99">
      <c r="A99" t="inlineStr">
        <is>
          <t>터널공사&gt;보조공법-차수 그라우팅</t>
        </is>
      </c>
      <c r="B99" t="inlineStr">
        <is>
          <t>개소</t>
        </is>
      </c>
      <c r="C99" s="134" t="n">
        <v>0.2</v>
      </c>
      <c r="D99" t="inlineStr">
        <is>
          <t>5일/개소</t>
        </is>
      </c>
      <c r="E99" t="inlineStr">
        <is>
          <t>세트4</t>
        </is>
      </c>
      <c r="J99">
        <f>IF(ROWS($J$2:J99)&lt;=INDEX($H$2:$H$9,MATCH('공기산정(1일작업량)'!$B$32,$F$2:$F$9,0)),INDEX($A$2:$A$115,INDEX($G$2:$G$9,MATCH('공기산정(1일작업량)'!$B$32,$F$2:$F$9,0))+ROWS($J$2:J99)-1),"")</f>
        <v/>
      </c>
    </row>
    <row r="100">
      <c r="A100" t="inlineStr">
        <is>
          <t>터널공사&gt;후속공종-방수</t>
        </is>
      </c>
      <c r="B100" t="inlineStr">
        <is>
          <t>m</t>
        </is>
      </c>
      <c r="C100" s="134" t="n">
        <v>50</v>
      </c>
      <c r="D100" t="inlineStr">
        <is>
          <t>50m/일</t>
        </is>
      </c>
      <c r="E100" t="inlineStr">
        <is>
          <t>세트4</t>
        </is>
      </c>
      <c r="J100">
        <f>IF(ROWS($J$2:J100)&lt;=INDEX($H$2:$H$9,MATCH('공기산정(1일작업량)'!$B$32,$F$2:$F$9,0)),INDEX($A$2:$A$115,INDEX($G$2:$G$9,MATCH('공기산정(1일작업량)'!$B$32,$F$2:$F$9,0))+ROWS($J$2:J100)-1),"")</f>
        <v/>
      </c>
    </row>
    <row r="101">
      <c r="A101" t="inlineStr">
        <is>
          <t>터널공사&gt;후속공종-배수공동구</t>
        </is>
      </c>
      <c r="B101" t="inlineStr">
        <is>
          <t>m</t>
        </is>
      </c>
      <c r="C101" s="134" t="n">
        <v>8.333333333333334</v>
      </c>
      <c r="D101" t="inlineStr">
        <is>
          <t>25m/3일</t>
        </is>
      </c>
      <c r="E101" t="inlineStr">
        <is>
          <t>세트4</t>
        </is>
      </c>
      <c r="J101">
        <f>IF(ROWS($J$2:J101)&lt;=INDEX($H$2:$H$9,MATCH('공기산정(1일작업량)'!$B$32,$F$2:$F$9,0)),INDEX($A$2:$A$115,INDEX($G$2:$G$9,MATCH('공기산정(1일작업량)'!$B$32,$F$2:$F$9,0))+ROWS($J$2:J101)-1),"")</f>
        <v/>
      </c>
    </row>
    <row r="102">
      <c r="A102" t="inlineStr">
        <is>
          <t>터널공사&gt;후속공종-라이닝 콘크리트</t>
        </is>
      </c>
      <c r="B102" t="inlineStr">
        <is>
          <t>m</t>
        </is>
      </c>
      <c r="C102" s="134" t="n">
        <v>3.333333333333333</v>
      </c>
      <c r="D102" t="inlineStr">
        <is>
          <t>10m/3일</t>
        </is>
      </c>
      <c r="E102" t="inlineStr">
        <is>
          <t>세트4</t>
        </is>
      </c>
      <c r="J102">
        <f>IF(ROWS($J$2:J102)&lt;=INDEX($H$2:$H$9,MATCH('공기산정(1일작업량)'!$B$32,$F$2:$F$9,0)),INDEX($A$2:$A$115,INDEX($G$2:$G$9,MATCH('공기산정(1일작업량)'!$B$32,$F$2:$F$9,0))+ROWS($J$2:J102)-1),"")</f>
        <v/>
      </c>
    </row>
    <row r="103">
      <c r="A103" t="inlineStr">
        <is>
          <t>터널공사&gt;후속공종-갱문조성</t>
        </is>
      </c>
      <c r="B103" t="inlineStr">
        <is>
          <t>개소</t>
        </is>
      </c>
      <c r="C103" s="134" t="n">
        <v>0.04</v>
      </c>
      <c r="D103" t="inlineStr">
        <is>
          <t>25일/개소</t>
        </is>
      </c>
      <c r="E103" t="inlineStr">
        <is>
          <t>세트4</t>
        </is>
      </c>
      <c r="J103">
        <f>IF(ROWS($J$2:J103)&lt;=INDEX($H$2:$H$9,MATCH('공기산정(1일작업량)'!$B$32,$F$2:$F$9,0)),INDEX($A$2:$A$115,INDEX($G$2:$G$9,MATCH('공기산정(1일작업량)'!$B$32,$F$2:$F$9,0))+ROWS($J$2:J103)-1),"")</f>
        <v/>
      </c>
    </row>
    <row r="104">
      <c r="A104" t="inlineStr">
        <is>
          <t>부대공사&gt;중앙분리대 (H=1.27m)</t>
        </is>
      </c>
      <c r="B104" t="inlineStr">
        <is>
          <t>m</t>
        </is>
      </c>
      <c r="C104" s="134" t="n">
        <v>300</v>
      </c>
      <c r="D104" t="inlineStr">
        <is>
          <t>300m/일</t>
        </is>
      </c>
      <c r="E104" t="inlineStr">
        <is>
          <t>세트2</t>
        </is>
      </c>
      <c r="J104">
        <f>IF(ROWS($J$2:J104)&lt;=INDEX($H$2:$H$9,MATCH('공기산정(1일작업량)'!$B$32,$F$2:$F$9,0)),INDEX($A$2:$A$115,INDEX($G$2:$G$9,MATCH('공기산정(1일작업량)'!$B$32,$F$2:$F$9,0))+ROWS($J$2:J104)-1),"")</f>
        <v/>
      </c>
    </row>
    <row r="105">
      <c r="A105" t="inlineStr">
        <is>
          <t>부대공사&gt;가드레일 (판설치(2W), 지주간격 2m)</t>
        </is>
      </c>
      <c r="B105" t="inlineStr">
        <is>
          <t>개</t>
        </is>
      </c>
      <c r="C105" s="134" t="n">
        <v>130</v>
      </c>
      <c r="D105" t="inlineStr">
        <is>
          <t>130개/일</t>
        </is>
      </c>
      <c r="E105" t="inlineStr">
        <is>
          <t>세트2</t>
        </is>
      </c>
      <c r="J105">
        <f>IF(ROWS($J$2:J105)&lt;=INDEX($H$2:$H$9,MATCH('공기산정(1일작업량)'!$B$32,$F$2:$F$9,0)),INDEX($A$2:$A$115,INDEX($G$2:$G$9,MATCH('공기산정(1일작업량)'!$B$32,$F$2:$F$9,0))+ROWS($J$2:J105)-1),"")</f>
        <v/>
      </c>
    </row>
    <row r="106">
      <c r="A106" t="inlineStr">
        <is>
          <t>부대공사&gt;방음벽 (H=7.0m 이하)</t>
        </is>
      </c>
      <c r="B106" t="inlineStr">
        <is>
          <t>m</t>
        </is>
      </c>
      <c r="C106" s="134" t="n">
        <v>19</v>
      </c>
      <c r="D106" t="inlineStr">
        <is>
          <t>19m/일</t>
        </is>
      </c>
      <c r="E106" t="inlineStr">
        <is>
          <t>세트2</t>
        </is>
      </c>
      <c r="J106">
        <f>IF(ROWS($J$2:J106)&lt;=INDEX($H$2:$H$9,MATCH('공기산정(1일작업량)'!$B$32,$F$2:$F$9,0)),INDEX($A$2:$A$115,INDEX($G$2:$G$9,MATCH('공기산정(1일작업량)'!$B$32,$F$2:$F$9,0))+ROWS($J$2:J106)-1),"")</f>
        <v/>
      </c>
    </row>
    <row r="107">
      <c r="A107" t="inlineStr">
        <is>
          <t>부대공사&gt;표지판 (교통안전표지판)</t>
        </is>
      </c>
      <c r="B107" t="inlineStr">
        <is>
          <t>개소</t>
        </is>
      </c>
      <c r="C107" s="134" t="n">
        <v>5</v>
      </c>
      <c r="D107" t="inlineStr">
        <is>
          <t>5개소/일</t>
        </is>
      </c>
      <c r="E107" t="inlineStr">
        <is>
          <t>세트2</t>
        </is>
      </c>
      <c r="J107">
        <f>IF(ROWS($J$2:J107)&lt;=INDEX($H$2:$H$9,MATCH('공기산정(1일작업량)'!$B$32,$F$2:$F$9,0)),INDEX($A$2:$A$115,INDEX($G$2:$G$9,MATCH('공기산정(1일작업량)'!$B$32,$F$2:$F$9,0))+ROWS($J$2:J107)-1),"")</f>
        <v/>
      </c>
    </row>
    <row r="108">
      <c r="A108" t="inlineStr">
        <is>
          <t>부대공사&gt;VMS</t>
        </is>
      </c>
      <c r="B108" t="inlineStr">
        <is>
          <t>개소</t>
        </is>
      </c>
      <c r="C108" s="134" t="n">
        <v>1</v>
      </c>
      <c r="D108" t="inlineStr">
        <is>
          <t>1개소/일</t>
        </is>
      </c>
      <c r="E108" t="inlineStr">
        <is>
          <t>세트2</t>
        </is>
      </c>
      <c r="J108">
        <f>IF(ROWS($J$2:J108)&lt;=INDEX($H$2:$H$9,MATCH('공기산정(1일작업량)'!$B$32,$F$2:$F$9,0)),INDEX($A$2:$A$115,INDEX($G$2:$G$9,MATCH('공기산정(1일작업량)'!$B$32,$F$2:$F$9,0))+ROWS($J$2:J108)-1),"")</f>
        <v/>
      </c>
    </row>
    <row r="109">
      <c r="A109" t="inlineStr">
        <is>
          <t>부대공사&gt;낙석방지책 (L=300m, H=3m, 간격 3m)</t>
        </is>
      </c>
      <c r="B109" t="inlineStr">
        <is>
          <t>m</t>
        </is>
      </c>
      <c r="C109" s="134" t="n">
        <v>32</v>
      </c>
      <c r="D109" t="inlineStr">
        <is>
          <t>32m/일</t>
        </is>
      </c>
      <c r="E109" t="inlineStr">
        <is>
          <t>세트2</t>
        </is>
      </c>
      <c r="J109">
        <f>IF(ROWS($J$2:J109)&lt;=INDEX($H$2:$H$9,MATCH('공기산정(1일작업량)'!$B$32,$F$2:$F$9,0)),INDEX($A$2:$A$115,INDEX($G$2:$G$9,MATCH('공기산정(1일작업량)'!$B$32,$F$2:$F$9,0))+ROWS($J$2:J109)-1),"")</f>
        <v/>
      </c>
    </row>
    <row r="110">
      <c r="A110" t="inlineStr">
        <is>
          <t>부대공사&gt;낙석방지망 (기계작업)</t>
        </is>
      </c>
      <c r="B110" t="inlineStr">
        <is>
          <t>㎡</t>
        </is>
      </c>
      <c r="C110" s="134" t="n">
        <v>85</v>
      </c>
      <c r="D110" t="inlineStr">
        <is>
          <t>85㎡/일</t>
        </is>
      </c>
      <c r="E110" t="inlineStr">
        <is>
          <t>세트2</t>
        </is>
      </c>
      <c r="J110">
        <f>IF(ROWS($J$2:J110)&lt;=INDEX($H$2:$H$9,MATCH('공기산정(1일작업량)'!$B$32,$F$2:$F$9,0)),INDEX($A$2:$A$115,INDEX($G$2:$G$9,MATCH('공기산정(1일작업량)'!$B$32,$F$2:$F$9,0))+ROWS($J$2:J110)-1),"")</f>
        <v/>
      </c>
    </row>
    <row r="111">
      <c r="A111" t="inlineStr">
        <is>
          <t>부대공사&gt;시선유도표지 (가드레일용)</t>
        </is>
      </c>
      <c r="B111" t="inlineStr">
        <is>
          <t>개</t>
        </is>
      </c>
      <c r="C111" s="134" t="n">
        <v>150</v>
      </c>
      <c r="D111" t="inlineStr">
        <is>
          <t>150개/일</t>
        </is>
      </c>
      <c r="E111" t="inlineStr">
        <is>
          <t>세트2</t>
        </is>
      </c>
      <c r="J111">
        <f>IF(ROWS($J$2:J111)&lt;=INDEX($H$2:$H$9,MATCH('공기산정(1일작업량)'!$B$32,$F$2:$F$9,0)),INDEX($A$2:$A$115,INDEX($G$2:$G$9,MATCH('공기산정(1일작업량)'!$B$32,$F$2:$F$9,0))+ROWS($J$2:J111)-1),"")</f>
        <v/>
      </c>
    </row>
    <row r="112">
      <c r="A112" t="inlineStr">
        <is>
          <t>부대공사&gt;분리대병</t>
        </is>
      </c>
      <c r="B112" t="inlineStr">
        <is>
          <t>개</t>
        </is>
      </c>
      <c r="C112" s="134" t="n">
        <v>70</v>
      </c>
      <c r="D112" t="inlineStr">
        <is>
          <t>70개/일</t>
        </is>
      </c>
      <c r="E112" t="inlineStr">
        <is>
          <t>세트2</t>
        </is>
      </c>
      <c r="J112">
        <f>IF(ROWS($J$2:J112)&lt;=INDEX($H$2:$H$9,MATCH('공기산정(1일작업량)'!$B$32,$F$2:$F$9,0)),INDEX($A$2:$A$115,INDEX($G$2:$G$9,MATCH('공기산정(1일작업량)'!$B$32,$F$2:$F$9,0))+ROWS($J$2:J112)-1),"")</f>
        <v/>
      </c>
    </row>
    <row r="113">
      <c r="A113" t="inlineStr">
        <is>
          <t>부대공사&gt;방초매트</t>
        </is>
      </c>
      <c r="B113" t="inlineStr">
        <is>
          <t>m</t>
        </is>
      </c>
      <c r="C113" s="134" t="n">
        <v>600</v>
      </c>
      <c r="D113" t="inlineStr">
        <is>
          <t>600m/일</t>
        </is>
      </c>
      <c r="E113" t="inlineStr">
        <is>
          <t>세트2</t>
        </is>
      </c>
      <c r="J113">
        <f>IF(ROWS($J$2:J113)&lt;=INDEX($H$2:$H$9,MATCH('공기산정(1일작업량)'!$B$32,$F$2:$F$9,0)),INDEX($A$2:$A$115,INDEX($G$2:$G$9,MATCH('공기산정(1일작업량)'!$B$32,$F$2:$F$9,0))+ROWS($J$2:J113)-1),"")</f>
        <v/>
      </c>
    </row>
    <row r="114">
      <c r="A114" t="inlineStr">
        <is>
          <t>부대공사&gt;비점오염저감시설 (전처리조 5m×2m, 침투도랑 30m)</t>
        </is>
      </c>
      <c r="B114" t="inlineStr">
        <is>
          <t>개소</t>
        </is>
      </c>
      <c r="C114" s="134" t="n">
        <v>0.05</v>
      </c>
      <c r="D114" t="inlineStr">
        <is>
          <t>20일/개소</t>
        </is>
      </c>
      <c r="E114" t="inlineStr">
        <is>
          <t>세트2</t>
        </is>
      </c>
      <c r="J114">
        <f>IF(ROWS($J$2:J114)&lt;=INDEX($H$2:$H$9,MATCH('공기산정(1일작업량)'!$B$32,$F$2:$F$9,0)),INDEX($A$2:$A$115,INDEX($G$2:$G$9,MATCH('공기산정(1일작업량)'!$B$32,$F$2:$F$9,0))+ROWS($J$2:J114)-1),"")</f>
        <v/>
      </c>
    </row>
    <row r="115">
      <c r="A115" t="inlineStr">
        <is>
          <t>부대공사&gt;비탈면점검시설 (L=30m, B=1m, H=20m 이하)</t>
        </is>
      </c>
      <c r="B115" t="inlineStr">
        <is>
          <t>㎡</t>
        </is>
      </c>
      <c r="C115" s="134" t="n">
        <v>90</v>
      </c>
      <c r="D115" t="inlineStr">
        <is>
          <t>90㎡/일</t>
        </is>
      </c>
      <c r="E115" t="inlineStr">
        <is>
          <t>세트2</t>
        </is>
      </c>
      <c r="J115">
        <f>IF(ROWS($J$2:J115)&lt;=INDEX($H$2:$H$9,MATCH('공기산정(1일작업량)'!$B$32,$F$2:$F$9,0)),INDEX($A$2:$A$115,INDEX($G$2:$G$9,MATCH('공기산정(1일작업량)'!$B$32,$F$2:$F$9,0))+ROWS($J$2:J115)-1),"")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5" t="inlineStr">
        <is>
          <t>하수도 관로공사</t>
        </is>
      </c>
      <c r="B1" s="135" t="inlineStr">
        <is>
          <t>도로 토공+아스팔트포장</t>
        </is>
      </c>
      <c r="C1" s="135" t="inlineStr">
        <is>
          <t>도로 콘크리트포장</t>
        </is>
      </c>
      <c r="D1" s="135" t="inlineStr">
        <is>
          <t>교량공사(PSC빔)</t>
        </is>
      </c>
      <c r="E1" s="135" t="inlineStr">
        <is>
          <t>터널공사</t>
        </is>
      </c>
      <c r="F1" s="135"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굴착부 아스팔트 복구포장 (폭 3m 미만) [1일 작업량 직접 입력]</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 width="18" customWidth="1" style="92" min="8" max="8"/>
    <col width="12" customWidth="1" style="92" min="9" max="9"/>
    <col width="18" customWidth="1" style="92" min="10" max="10"/>
    <col width="12" customWidth="1" style="92" min="11" max="11"/>
  </cols>
  <sheetData>
    <row r="1">
      <c r="A1" s="136" t="inlineStr">
        <is>
          <t>토목 시설물 공사기간 산정 (가이드라인 부록 5 산정공식)</t>
        </is>
      </c>
    </row>
    <row r="2" ht="45" customHeight="1" s="92">
      <c r="A2" s="137" t="inlineStr">
        <is>
          <t>※ 노란 칸에 입력합니다. 산정값 Y는 비작업일수를 포함하므로, 준비기간과 정리기간만 더합니다. 적용범위를 넘으면 산정공식을 쓰지 말고 '공기산정(1일작업량)' 시트로 산정합니다.</t>
        </is>
      </c>
    </row>
    <row r="4">
      <c r="A4" s="130" t="inlineStr">
        <is>
          <t>시설물</t>
        </is>
      </c>
      <c r="B4" s="138" t="inlineStr">
        <is>
          <t>도로포장</t>
        </is>
      </c>
      <c r="H4" s="130" t="inlineStr">
        <is>
          <t>▼ 공사 유형별 준비기간(예시) — 가이드라인</t>
        </is>
      </c>
    </row>
    <row r="5">
      <c r="A5" s="130" t="inlineStr">
        <is>
          <t>총공사비 C (백만원)</t>
        </is>
      </c>
      <c r="B5" s="138" t="n"/>
      <c r="C5" t="inlineStr">
        <is>
          <t>추정금액(추정가격+부가가치세+관급자재비)</t>
        </is>
      </c>
      <c r="H5" s="133" t="inlineStr">
        <is>
          <t>공종</t>
        </is>
      </c>
      <c r="I5" s="133" t="inlineStr">
        <is>
          <t>준비기간</t>
        </is>
      </c>
      <c r="J5" s="133" t="inlineStr">
        <is>
          <t>공종</t>
        </is>
      </c>
      <c r="K5" s="133" t="inlineStr">
        <is>
          <t>준비기간</t>
        </is>
      </c>
    </row>
    <row r="6">
      <c r="A6" s="130" t="inlineStr">
        <is>
          <t>도로연장(m) L</t>
        </is>
      </c>
      <c r="B6" s="138" t="n"/>
      <c r="C6">
        <f>IF(INDEX(F25:F30,MATCH($B$4,$A$25:$A$30,0))=1,"← 필요","")</f>
        <v/>
      </c>
      <c r="H6" s="139" t="inlineStr">
        <is>
          <t>공동주택</t>
        </is>
      </c>
      <c r="I6" s="139" t="inlineStr">
        <is>
          <t>45일</t>
        </is>
      </c>
      <c r="J6" s="139" t="inlineStr">
        <is>
          <t>상수도공사</t>
        </is>
      </c>
      <c r="K6" s="139" t="inlineStr">
        <is>
          <t>60일</t>
        </is>
      </c>
    </row>
    <row r="7">
      <c r="A7" s="130" t="inlineStr">
        <is>
          <t>도로폭원(m) W</t>
        </is>
      </c>
      <c r="B7" s="138" t="n"/>
      <c r="C7">
        <f>IF(INDEX(G25:G30,MATCH($B$4,$A$25:$A$30,0))=1,"← 필요","")</f>
        <v/>
      </c>
      <c r="H7" s="139" t="inlineStr">
        <is>
          <t>고속도로공사</t>
        </is>
      </c>
      <c r="I7" s="139" t="inlineStr">
        <is>
          <t>180일</t>
        </is>
      </c>
      <c r="J7" s="139" t="inlineStr">
        <is>
          <t>하천공사</t>
        </is>
      </c>
      <c r="K7" s="139" t="inlineStr">
        <is>
          <t>40일</t>
        </is>
      </c>
    </row>
    <row r="8">
      <c r="A8" s="130" t="inlineStr">
        <is>
          <t>교량연장(m) BL</t>
        </is>
      </c>
      <c r="B8" s="138" t="n"/>
      <c r="C8">
        <f>IF(INDEX(H25:H30,MATCH($B$4,$A$25:$A$30,0))=1,"← 필요","")</f>
        <v/>
      </c>
      <c r="H8" s="139" t="inlineStr">
        <is>
          <t>철도공사</t>
        </is>
      </c>
      <c r="I8" s="139" t="inlineStr">
        <is>
          <t>90일</t>
        </is>
      </c>
      <c r="J8" s="139" t="inlineStr">
        <is>
          <t>항만공사</t>
        </is>
      </c>
      <c r="K8" s="139" t="inlineStr">
        <is>
          <t>40일</t>
        </is>
      </c>
    </row>
    <row r="9">
      <c r="A9" s="130" t="inlineStr">
        <is>
          <t>관경(mm) D</t>
        </is>
      </c>
      <c r="B9" s="138" t="n"/>
      <c r="C9">
        <f>IF(INDEX(I25:I30,MATCH($B$4,$A$25:$A$30,0))=1,"← 필요","")</f>
        <v/>
      </c>
      <c r="H9" s="139" t="inlineStr">
        <is>
          <t>포장공사(신설)</t>
        </is>
      </c>
      <c r="I9" s="139" t="inlineStr">
        <is>
          <t>50일</t>
        </is>
      </c>
      <c r="J9" s="139" t="inlineStr">
        <is>
          <t>강교가설공사</t>
        </is>
      </c>
      <c r="K9" s="139" t="inlineStr">
        <is>
          <t>90일</t>
        </is>
      </c>
    </row>
    <row r="10">
      <c r="A10" s="130" t="inlineStr">
        <is>
          <t>양수장/배수장/가압장 개수 S</t>
        </is>
      </c>
      <c r="B10" s="138" t="n"/>
      <c r="C10">
        <f>IF(INDEX(J25:J30,MATCH($B$4,$A$25:$A$30,0))=1,"← 필요","")</f>
        <v/>
      </c>
      <c r="H10" s="139" t="inlineStr">
        <is>
          <t>포장공사(수선)</t>
        </is>
      </c>
      <c r="I10" s="139" t="inlineStr">
        <is>
          <t>60일</t>
        </is>
      </c>
      <c r="J10" s="139" t="inlineStr">
        <is>
          <t>PC교량 공사</t>
        </is>
      </c>
      <c r="K10" s="139" t="inlineStr">
        <is>
          <t>70일</t>
        </is>
      </c>
    </row>
    <row r="11">
      <c r="A11" s="130" t="inlineStr">
        <is>
          <t>하수도 연장(m) SL</t>
        </is>
      </c>
      <c r="B11" s="138" t="n"/>
      <c r="C11">
        <f>IF(INDEX(K25:K30,MATCH($B$4,$A$25:$A$30,0))=1,"← 필요","")</f>
        <v/>
      </c>
      <c r="H11" s="139" t="inlineStr">
        <is>
          <t>공동구공사</t>
        </is>
      </c>
      <c r="I11" s="139" t="inlineStr">
        <is>
          <t>80일</t>
        </is>
      </c>
      <c r="J11" s="139" t="inlineStr">
        <is>
          <t>교량보수공사</t>
        </is>
      </c>
      <c r="K11" s="139" t="inlineStr">
        <is>
          <t>60일</t>
        </is>
      </c>
    </row>
    <row r="12">
      <c r="A12" s="130" t="inlineStr">
        <is>
          <t>궤도연장(m) RL</t>
        </is>
      </c>
      <c r="B12" s="138" t="n"/>
      <c r="C12">
        <f>IF(INDEX(L25:L30,MATCH($B$4,$A$25:$A$30,0))=1,"← 필요","")</f>
        <v/>
      </c>
    </row>
    <row r="14">
      <c r="A14" s="130" t="inlineStr">
        <is>
          <t>준비기간 (일, 직접 입력)</t>
        </is>
      </c>
      <c r="B14" s="138" t="n">
        <v>0</v>
      </c>
    </row>
    <row r="15">
      <c r="A15" s="130" t="inlineStr">
        <is>
          <t>정리기간 (일, 직접 입력)</t>
        </is>
      </c>
      <c r="B15" s="138" t="n">
        <v>0</v>
      </c>
    </row>
    <row r="17">
      <c r="A17" s="130"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0"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0" t="inlineStr">
        <is>
          <t>공사기간 (Y + 준비 + 정리, 일)</t>
        </is>
      </c>
      <c r="B19" s="140">
        <f>IF(ISNUMBER(B18),B18+B14+B15,"-")</f>
        <v/>
      </c>
    </row>
    <row r="20">
      <c r="A20" s="130" t="inlineStr">
        <is>
          <t>환산 (개월)</t>
        </is>
      </c>
      <c r="B20" s="140">
        <f>IF(ISNUMBER(B19),ROUND(B19/30,1),"-")</f>
        <v/>
      </c>
    </row>
    <row r="21" ht="32" customHeight="1" s="92">
      <c r="A21" s="137"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3" t="inlineStr">
        <is>
          <t>시설물</t>
        </is>
      </c>
      <c r="B24" s="133" t="inlineStr">
        <is>
          <t>산정공식</t>
        </is>
      </c>
      <c r="C24" s="133" t="inlineStr">
        <is>
          <t>총공사비 하한(백만원)</t>
        </is>
      </c>
      <c r="D24" s="133" t="inlineStr">
        <is>
          <t>총공사비 상한(백만원)</t>
        </is>
      </c>
      <c r="E24" s="133" t="inlineStr"/>
      <c r="F24" s="133" t="inlineStr">
        <is>
          <t>L</t>
        </is>
      </c>
      <c r="G24" s="133" t="inlineStr">
        <is>
          <t>W</t>
        </is>
      </c>
      <c r="H24" s="133" t="inlineStr">
        <is>
          <t>BL</t>
        </is>
      </c>
      <c r="I24" s="133" t="inlineStr">
        <is>
          <t>D</t>
        </is>
      </c>
      <c r="J24" s="133" t="inlineStr">
        <is>
          <t>S</t>
        </is>
      </c>
      <c r="K24" s="133" t="inlineStr">
        <is>
          <t>SL</t>
        </is>
      </c>
      <c r="L24" s="133" t="inlineStr">
        <is>
          <t>RL</t>
        </is>
      </c>
    </row>
    <row r="25">
      <c r="A25" s="139" t="inlineStr">
        <is>
          <t>도로포장</t>
        </is>
      </c>
      <c r="B25" s="139" t="inlineStr">
        <is>
          <t>Y = -637.009 + 173.198×ln(L) + 0.049×C</t>
        </is>
      </c>
      <c r="C25" s="139" t="n">
        <v>0</v>
      </c>
      <c r="D25" s="139" t="n">
        <v>35000</v>
      </c>
      <c r="E25" s="139" t="n"/>
      <c r="F25" s="139" t="n">
        <v>1</v>
      </c>
      <c r="G25" s="139" t="n">
        <v>0</v>
      </c>
      <c r="H25" s="139" t="n">
        <v>0</v>
      </c>
      <c r="I25" s="139" t="n">
        <v>0</v>
      </c>
      <c r="J25" s="139" t="n">
        <v>0</v>
      </c>
      <c r="K25" s="139" t="n">
        <v>0</v>
      </c>
      <c r="L25" s="139" t="n">
        <v>0</v>
      </c>
    </row>
    <row r="26">
      <c r="A26" s="139" t="inlineStr">
        <is>
          <t>도로(토공+교량)</t>
        </is>
      </c>
      <c r="B26" s="139" t="inlineStr">
        <is>
          <t>Y = -160.855 - 14.288×W + 164.473×ln(L) - 1.474×BL + 0.052×C</t>
        </is>
      </c>
      <c r="C26" s="139" t="n">
        <v>0</v>
      </c>
      <c r="D26" s="139" t="n">
        <v>35000</v>
      </c>
      <c r="E26" s="139" t="n"/>
      <c r="F26" s="139" t="n">
        <v>1</v>
      </c>
      <c r="G26" s="139" t="n">
        <v>1</v>
      </c>
      <c r="H26" s="139" t="n">
        <v>1</v>
      </c>
      <c r="I26" s="139" t="n">
        <v>0</v>
      </c>
      <c r="J26" s="139" t="n">
        <v>0</v>
      </c>
      <c r="K26" s="139" t="n">
        <v>0</v>
      </c>
      <c r="L26" s="139" t="n">
        <v>0</v>
      </c>
    </row>
    <row r="27">
      <c r="A27" s="139" t="inlineStr">
        <is>
          <t>농업용수</t>
        </is>
      </c>
      <c r="B27" s="139" t="inlineStr">
        <is>
          <t>Y = -2251.569 + 415.137×ln(C)</t>
        </is>
      </c>
      <c r="C27" s="139" t="n">
        <v>1000</v>
      </c>
      <c r="D27" s="139" t="n">
        <v>20000</v>
      </c>
      <c r="E27" s="139" t="n"/>
      <c r="F27" s="139" t="n">
        <v>0</v>
      </c>
      <c r="G27" s="139" t="n">
        <v>0</v>
      </c>
      <c r="H27" s="139" t="n">
        <v>0</v>
      </c>
      <c r="I27" s="139" t="n">
        <v>0</v>
      </c>
      <c r="J27" s="139" t="n">
        <v>0</v>
      </c>
      <c r="K27" s="139" t="n">
        <v>0</v>
      </c>
      <c r="L27" s="139" t="n">
        <v>0</v>
      </c>
    </row>
    <row r="28">
      <c r="A28" s="139" t="inlineStr">
        <is>
          <t>상수도</t>
        </is>
      </c>
      <c r="B28" s="139" t="inlineStr">
        <is>
          <t>Y = -1175.174 + 119.731×S - 0.273×D + 222.426×ln(C)</t>
        </is>
      </c>
      <c r="C28" s="139" t="n">
        <v>0</v>
      </c>
      <c r="D28" s="139" t="n">
        <v>8000</v>
      </c>
      <c r="E28" s="139" t="n"/>
      <c r="F28" s="139" t="n">
        <v>0</v>
      </c>
      <c r="G28" s="139" t="n">
        <v>0</v>
      </c>
      <c r="H28" s="139" t="n">
        <v>0</v>
      </c>
      <c r="I28" s="139" t="n">
        <v>1</v>
      </c>
      <c r="J28" s="139" t="n">
        <v>1</v>
      </c>
      <c r="K28" s="139" t="n">
        <v>0</v>
      </c>
      <c r="L28" s="139" t="n">
        <v>0</v>
      </c>
    </row>
    <row r="29">
      <c r="A29" s="139" t="inlineStr">
        <is>
          <t>하수도</t>
        </is>
      </c>
      <c r="B29" s="139" t="inlineStr">
        <is>
          <t>Y = -452.433 + 98.364×ln(SL) + 0.083×C</t>
        </is>
      </c>
      <c r="C29" s="139" t="n">
        <v>0</v>
      </c>
      <c r="D29" s="139" t="n">
        <v>15000</v>
      </c>
      <c r="E29" s="139" t="n"/>
      <c r="F29" s="139" t="n">
        <v>0</v>
      </c>
      <c r="G29" s="139" t="n">
        <v>0</v>
      </c>
      <c r="H29" s="139" t="n">
        <v>0</v>
      </c>
      <c r="I29" s="139" t="n">
        <v>0</v>
      </c>
      <c r="J29" s="139" t="n">
        <v>0</v>
      </c>
      <c r="K29" s="139" t="n">
        <v>1</v>
      </c>
      <c r="L29" s="139" t="n">
        <v>0</v>
      </c>
    </row>
    <row r="30">
      <c r="A30" s="139" t="inlineStr">
        <is>
          <t>철도(궤도)</t>
        </is>
      </c>
      <c r="B30" s="139" t="inlineStr">
        <is>
          <t>Y = -1723.316 - 74.260×ln(RL) + 372.266×ln(C)</t>
        </is>
      </c>
      <c r="C30" s="139" t="n">
        <v>0</v>
      </c>
      <c r="D30" s="139" t="n">
        <v>120000</v>
      </c>
      <c r="E30" s="139" t="n"/>
      <c r="F30" s="139" t="n">
        <v>0</v>
      </c>
      <c r="G30" s="139" t="n">
        <v>0</v>
      </c>
      <c r="H30" s="139" t="n">
        <v>0</v>
      </c>
      <c r="I30" s="139" t="n">
        <v>0</v>
      </c>
      <c r="J30" s="139" t="n">
        <v>0</v>
      </c>
      <c r="K30" s="139" t="n">
        <v>0</v>
      </c>
      <c r="L30" s="139"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24"/>
  <sheetViews>
    <sheetView workbookViewId="0">
      <selection activeCell="A1" sqref="A1"/>
    </sheetView>
  </sheetViews>
  <sheetFormatPr baseColWidth="8" defaultRowHeight="15"/>
  <cols>
    <col width="60" customWidth="1" style="92" min="1" max="1"/>
    <col width="22"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8" customWidth="1" style="92" min="12" max="12"/>
    <col width="13" customWidth="1" style="92" min="13" max="13"/>
    <col width="13" customWidth="1" style="92" min="14" max="14"/>
    <col width="13" customWidth="1" style="92" min="15" max="15"/>
    <col width="13" customWidth="1" style="92" min="16" max="16"/>
    <col width="13" customWidth="1" style="92" min="17" max="17"/>
    <col width="13" customWidth="1" style="92" min="18" max="18"/>
    <col width="13" customWidth="1" style="92" min="19" max="19"/>
    <col width="13" customWidth="1" style="92" min="20" max="20"/>
    <col width="13" customWidth="1" style="92" min="21" max="21"/>
    <col width="13" customWidth="1" style="92" min="22" max="22"/>
    <col width="13" customWidth="1" style="92" min="23" max="23"/>
    <col width="13" customWidth="1" style="92" min="24" max="24"/>
    <col width="13" customWidth="1" style="92" min="25" max="25"/>
    <col width="13" customWidth="1" style="92" min="26" max="26"/>
  </cols>
  <sheetData>
    <row r="1">
      <c r="A1" s="136" t="inlineStr">
        <is>
          <t>1일 작업량에 의한 공사기간 산정 (가이드라인 제2장)</t>
        </is>
      </c>
    </row>
    <row r="2" ht="60" customHeight="1" s="92">
      <c r="A2" s="137" t="inlineStr">
        <is>
          <t>공사기간 = 준비기간 + 주공정(CP) 공종별 공사기간의 합 + 정리기간,  공종별 공사기간 = 작업일수 + 비작업일수.  월별 비작업일수 = A(기후)+B(공휴일)-C(A×B÷달력일수), 월 8일(주40시간) 미만이면 8일 적용.  공종마다 기상조건 세트를 골라 그 세트의 조건으로 비작업일수를 계산합니다. 공종은 입력 순서대로 이어서 시공하는 것으로 가정합니다. 착공일(착공 월 1일)부터 준비기간이 지난 날부터 본공사로 봅니다. 준비·정리기간에는 비작업일수를 넣지 않습니다.</t>
        </is>
      </c>
    </row>
    <row r="4">
      <c r="A4" s="130" t="inlineStr">
        <is>
          <t>기상 지점</t>
        </is>
      </c>
      <c r="B4" s="138" t="inlineStr">
        <is>
          <t>제주</t>
        </is>
      </c>
      <c r="C4">
        <f>IFERROR("지점코드 "&amp;INDEX(지점목록!$C$2:$C$5,MATCH($B$4,지점목록!$A$2:$A$5,0)),"지점명을 확인하세요")</f>
        <v/>
      </c>
    </row>
    <row r="5">
      <c r="A5" s="130" t="inlineStr">
        <is>
          <t>착공 연도</t>
        </is>
      </c>
      <c r="B5" s="138" t="n">
        <v>2026</v>
      </c>
      <c r="C5" t="inlineStr">
        <is>
          <t>※ 착공일 = 착공 월 1일. 준비기간이 지난 날부터 본공사(비작업일수 반영)로 계산합니다.</t>
        </is>
      </c>
    </row>
    <row r="6">
      <c r="A6" s="130" t="inlineStr">
        <is>
          <t>착공 월 (착공일=1일)</t>
        </is>
      </c>
      <c r="B6" s="138" t="n">
        <v>7</v>
      </c>
    </row>
    <row r="7">
      <c r="A7" s="130" t="inlineStr">
        <is>
          <t>준비기간 (일)</t>
        </is>
      </c>
      <c r="B7" s="138">
        <f>'시설물별공기(토목)'!B14</f>
        <v/>
      </c>
    </row>
    <row r="8">
      <c r="A8" s="130" t="inlineStr">
        <is>
          <t>정리기간 (일)</t>
        </is>
      </c>
      <c r="B8" s="138">
        <f>'시설물별공기(토목)'!B15</f>
        <v/>
      </c>
    </row>
    <row r="9">
      <c r="A9" s="130" t="inlineStr">
        <is>
          <t>공사 유형 (공종 자동 구성)</t>
        </is>
      </c>
      <c r="B9" s="138" t="inlineStr">
        <is>
          <t>하수도 관로공사</t>
        </is>
      </c>
      <c r="C9" t="inlineStr">
        <is>
          <t>※ 유형을 바꾸면 아래 공종표가 그 유형의 대표 공종으로 바뀝니다. 수량은 다시 입력하세요.</t>
        </is>
      </c>
    </row>
    <row r="10">
      <c r="A10" s="130" t="inlineStr">
        <is>
          <t>본공사 시작일 (착공일+준비기간)</t>
        </is>
      </c>
      <c r="B10" s="141">
        <f>DATE(B5,B6,1)+B7</f>
        <v/>
      </c>
    </row>
    <row r="11">
      <c r="A11" s="130" t="inlineStr">
        <is>
          <t>▼ 기상조건 세트 — 공종마다 다른 조건을 쓰도록 세트 4개를 정의합니다 (O=적용, X=미적용). 값은 선택한 지점의 월별 비작업일수(2015~2024, 부록 3)</t>
        </is>
      </c>
    </row>
    <row r="12" ht="32" customHeight="1" s="92">
      <c r="A12" s="130" t="inlineStr">
        <is>
          <t>세트 이름 (수정 가능)</t>
        </is>
      </c>
      <c r="B12" t="inlineStr">
        <is>
          <t>※ 세트별 이름을 적어 두세요</t>
        </is>
      </c>
      <c r="C12" s="142" t="inlineStr">
        <is>
          <t>콘크리트·구조물</t>
        </is>
      </c>
      <c r="D12" s="142" t="inlineStr">
        <is>
          <t>토공·가설(옥외)</t>
        </is>
      </c>
      <c r="E12" s="142" t="inlineStr">
        <is>
          <t>포장(아스팔트)</t>
        </is>
      </c>
      <c r="F12" s="142" t="inlineStr">
        <is>
          <t>옥내·터널</t>
        </is>
      </c>
    </row>
    <row r="13">
      <c r="A13" s="133" t="inlineStr">
        <is>
          <t>번호</t>
        </is>
      </c>
      <c r="B13" s="133" t="inlineStr">
        <is>
          <t>기상조건</t>
        </is>
      </c>
      <c r="C13" s="133" t="inlineStr">
        <is>
          <t>세트1</t>
        </is>
      </c>
      <c r="D13" s="133" t="inlineStr">
        <is>
          <t>세트2</t>
        </is>
      </c>
      <c r="E13" s="133" t="inlineStr">
        <is>
          <t>세트3</t>
        </is>
      </c>
      <c r="F13" s="133" t="inlineStr">
        <is>
          <t>세트4</t>
        </is>
      </c>
      <c r="G13" s="133" t="inlineStr">
        <is>
          <t>1월</t>
        </is>
      </c>
      <c r="H13" s="133" t="inlineStr">
        <is>
          <t>2월</t>
        </is>
      </c>
      <c r="I13" s="133" t="inlineStr">
        <is>
          <t>3월</t>
        </is>
      </c>
      <c r="J13" s="133" t="inlineStr">
        <is>
          <t>4월</t>
        </is>
      </c>
      <c r="K13" s="133" t="inlineStr">
        <is>
          <t>5월</t>
        </is>
      </c>
      <c r="L13" s="133" t="inlineStr">
        <is>
          <t>6월</t>
        </is>
      </c>
      <c r="M13" s="133" t="inlineStr">
        <is>
          <t>7월</t>
        </is>
      </c>
      <c r="N13" s="133" t="inlineStr">
        <is>
          <t>8월</t>
        </is>
      </c>
      <c r="O13" s="133" t="inlineStr">
        <is>
          <t>9월</t>
        </is>
      </c>
      <c r="P13" s="133" t="inlineStr">
        <is>
          <t>10월</t>
        </is>
      </c>
      <c r="Q13" s="133" t="inlineStr">
        <is>
          <t>11월</t>
        </is>
      </c>
      <c r="R13" s="133" t="inlineStr">
        <is>
          <t>12월</t>
        </is>
      </c>
      <c r="S13" s="133" t="inlineStr">
        <is>
          <t>소계</t>
        </is>
      </c>
    </row>
    <row r="14">
      <c r="A14" s="139" t="n">
        <v>1</v>
      </c>
      <c r="B14" s="139" t="inlineStr">
        <is>
          <t>혹서기：체감온도 33°C 이상</t>
        </is>
      </c>
      <c r="C14" s="143" t="inlineStr">
        <is>
          <t>O</t>
        </is>
      </c>
      <c r="D14" s="143" t="inlineStr">
        <is>
          <t>O</t>
        </is>
      </c>
      <c r="E14" s="143" t="inlineStr">
        <is>
          <t>X</t>
        </is>
      </c>
      <c r="F14" s="143" t="inlineStr">
        <is>
          <t>O</t>
        </is>
      </c>
      <c r="G14" s="139">
        <f>SUMIFS(기상자료!$F$2:$F$53,기상자료!$A$2:$A$53,INDEX(지점목록!$C$2:$C$5,MATCH($B$4,지점목록!$A$2:$A$5,0)),기상자료!$D$2:$D$53,$A14)</f>
        <v/>
      </c>
      <c r="H14" s="139">
        <f>SUMIFS(기상자료!$G$2:$G$53,기상자료!$A$2:$A$53,INDEX(지점목록!$C$2:$C$5,MATCH($B$4,지점목록!$A$2:$A$5,0)),기상자료!$D$2:$D$53,$A14)</f>
        <v/>
      </c>
      <c r="I14" s="139">
        <f>SUMIFS(기상자료!$H$2:$H$53,기상자료!$A$2:$A$53,INDEX(지점목록!$C$2:$C$5,MATCH($B$4,지점목록!$A$2:$A$5,0)),기상자료!$D$2:$D$53,$A14)</f>
        <v/>
      </c>
      <c r="J14" s="139">
        <f>SUMIFS(기상자료!$I$2:$I$53,기상자료!$A$2:$A$53,INDEX(지점목록!$C$2:$C$5,MATCH($B$4,지점목록!$A$2:$A$5,0)),기상자료!$D$2:$D$53,$A14)</f>
        <v/>
      </c>
      <c r="K14" s="139">
        <f>SUMIFS(기상자료!$J$2:$J$53,기상자료!$A$2:$A$53,INDEX(지점목록!$C$2:$C$5,MATCH($B$4,지점목록!$A$2:$A$5,0)),기상자료!$D$2:$D$53,$A14)</f>
        <v/>
      </c>
      <c r="L14" s="139">
        <f>SUMIFS(기상자료!$K$2:$K$53,기상자료!$A$2:$A$53,INDEX(지점목록!$C$2:$C$5,MATCH($B$4,지점목록!$A$2:$A$5,0)),기상자료!$D$2:$D$53,$A14)</f>
        <v/>
      </c>
      <c r="M14" s="139">
        <f>SUMIFS(기상자료!$L$2:$L$53,기상자료!$A$2:$A$53,INDEX(지점목록!$C$2:$C$5,MATCH($B$4,지점목록!$A$2:$A$5,0)),기상자료!$D$2:$D$53,$A14)</f>
        <v/>
      </c>
      <c r="N14" s="139">
        <f>SUMIFS(기상자료!$M$2:$M$53,기상자료!$A$2:$A$53,INDEX(지점목록!$C$2:$C$5,MATCH($B$4,지점목록!$A$2:$A$5,0)),기상자료!$D$2:$D$53,$A14)</f>
        <v/>
      </c>
      <c r="O14" s="139">
        <f>SUMIFS(기상자료!$N$2:$N$53,기상자료!$A$2:$A$53,INDEX(지점목록!$C$2:$C$5,MATCH($B$4,지점목록!$A$2:$A$5,0)),기상자료!$D$2:$D$53,$A14)</f>
        <v/>
      </c>
      <c r="P14" s="139">
        <f>SUMIFS(기상자료!$O$2:$O$53,기상자료!$A$2:$A$53,INDEX(지점목록!$C$2:$C$5,MATCH($B$4,지점목록!$A$2:$A$5,0)),기상자료!$D$2:$D$53,$A14)</f>
        <v/>
      </c>
      <c r="Q14" s="139">
        <f>SUMIFS(기상자료!$P$2:$P$53,기상자료!$A$2:$A$53,INDEX(지점목록!$C$2:$C$5,MATCH($B$4,지점목록!$A$2:$A$5,0)),기상자료!$D$2:$D$53,$A14)</f>
        <v/>
      </c>
      <c r="R14" s="139">
        <f>SUMIFS(기상자료!$Q$2:$Q$53,기상자료!$A$2:$A$53,INDEX(지점목록!$C$2:$C$5,MATCH($B$4,지점목록!$A$2:$A$5,0)),기상자료!$D$2:$D$53,$A14)</f>
        <v/>
      </c>
      <c r="S14" s="139">
        <f>SUM(G14:R14)</f>
        <v/>
      </c>
    </row>
    <row r="15">
      <c r="A15" s="139" t="n">
        <v>2</v>
      </c>
      <c r="B15" s="139" t="inlineStr">
        <is>
          <t>혹서기：체감온도 35°C 이상</t>
        </is>
      </c>
      <c r="C15" s="143" t="inlineStr">
        <is>
          <t>X</t>
        </is>
      </c>
      <c r="D15" s="143" t="inlineStr">
        <is>
          <t>X</t>
        </is>
      </c>
      <c r="E15" s="143" t="inlineStr">
        <is>
          <t>X</t>
        </is>
      </c>
      <c r="F15" s="143" t="inlineStr">
        <is>
          <t>X</t>
        </is>
      </c>
      <c r="G15" s="139">
        <f>SUMIFS(기상자료!$F$2:$F$53,기상자료!$A$2:$A$53,INDEX(지점목록!$C$2:$C$5,MATCH($B$4,지점목록!$A$2:$A$5,0)),기상자료!$D$2:$D$53,$A15)</f>
        <v/>
      </c>
      <c r="H15" s="139">
        <f>SUMIFS(기상자료!$G$2:$G$53,기상자료!$A$2:$A$53,INDEX(지점목록!$C$2:$C$5,MATCH($B$4,지점목록!$A$2:$A$5,0)),기상자료!$D$2:$D$53,$A15)</f>
        <v/>
      </c>
      <c r="I15" s="139">
        <f>SUMIFS(기상자료!$H$2:$H$53,기상자료!$A$2:$A$53,INDEX(지점목록!$C$2:$C$5,MATCH($B$4,지점목록!$A$2:$A$5,0)),기상자료!$D$2:$D$53,$A15)</f>
        <v/>
      </c>
      <c r="J15" s="139">
        <f>SUMIFS(기상자료!$I$2:$I$53,기상자료!$A$2:$A$53,INDEX(지점목록!$C$2:$C$5,MATCH($B$4,지점목록!$A$2:$A$5,0)),기상자료!$D$2:$D$53,$A15)</f>
        <v/>
      </c>
      <c r="K15" s="139">
        <f>SUMIFS(기상자료!$J$2:$J$53,기상자료!$A$2:$A$53,INDEX(지점목록!$C$2:$C$5,MATCH($B$4,지점목록!$A$2:$A$5,0)),기상자료!$D$2:$D$53,$A15)</f>
        <v/>
      </c>
      <c r="L15" s="139">
        <f>SUMIFS(기상자료!$K$2:$K$53,기상자료!$A$2:$A$53,INDEX(지점목록!$C$2:$C$5,MATCH($B$4,지점목록!$A$2:$A$5,0)),기상자료!$D$2:$D$53,$A15)</f>
        <v/>
      </c>
      <c r="M15" s="139">
        <f>SUMIFS(기상자료!$L$2:$L$53,기상자료!$A$2:$A$53,INDEX(지점목록!$C$2:$C$5,MATCH($B$4,지점목록!$A$2:$A$5,0)),기상자료!$D$2:$D$53,$A15)</f>
        <v/>
      </c>
      <c r="N15" s="139">
        <f>SUMIFS(기상자료!$M$2:$M$53,기상자료!$A$2:$A$53,INDEX(지점목록!$C$2:$C$5,MATCH($B$4,지점목록!$A$2:$A$5,0)),기상자료!$D$2:$D$53,$A15)</f>
        <v/>
      </c>
      <c r="O15" s="139">
        <f>SUMIFS(기상자료!$N$2:$N$53,기상자료!$A$2:$A$53,INDEX(지점목록!$C$2:$C$5,MATCH($B$4,지점목록!$A$2:$A$5,0)),기상자료!$D$2:$D$53,$A15)</f>
        <v/>
      </c>
      <c r="P15" s="139">
        <f>SUMIFS(기상자료!$O$2:$O$53,기상자료!$A$2:$A$53,INDEX(지점목록!$C$2:$C$5,MATCH($B$4,지점목록!$A$2:$A$5,0)),기상자료!$D$2:$D$53,$A15)</f>
        <v/>
      </c>
      <c r="Q15" s="139">
        <f>SUMIFS(기상자료!$P$2:$P$53,기상자료!$A$2:$A$53,INDEX(지점목록!$C$2:$C$5,MATCH($B$4,지점목록!$A$2:$A$5,0)),기상자료!$D$2:$D$53,$A15)</f>
        <v/>
      </c>
      <c r="R15" s="139">
        <f>SUMIFS(기상자료!$Q$2:$Q$53,기상자료!$A$2:$A$53,INDEX(지점목록!$C$2:$C$5,MATCH($B$4,지점목록!$A$2:$A$5,0)),기상자료!$D$2:$D$53,$A15)</f>
        <v/>
      </c>
      <c r="S15" s="139">
        <f>SUM(G15:R15)</f>
        <v/>
      </c>
    </row>
    <row r="16">
      <c r="A16" s="139" t="n">
        <v>3</v>
      </c>
      <c r="B16" s="139" t="inlineStr">
        <is>
          <t>혹서기：일최고온도 33°C 이상</t>
        </is>
      </c>
      <c r="C16" s="143" t="inlineStr">
        <is>
          <t>X</t>
        </is>
      </c>
      <c r="D16" s="143" t="inlineStr">
        <is>
          <t>X</t>
        </is>
      </c>
      <c r="E16" s="143" t="inlineStr">
        <is>
          <t>X</t>
        </is>
      </c>
      <c r="F16" s="143" t="inlineStr">
        <is>
          <t>X</t>
        </is>
      </c>
      <c r="G16" s="139">
        <f>SUMIFS(기상자료!$F$2:$F$53,기상자료!$A$2:$A$53,INDEX(지점목록!$C$2:$C$5,MATCH($B$4,지점목록!$A$2:$A$5,0)),기상자료!$D$2:$D$53,$A16)</f>
        <v/>
      </c>
      <c r="H16" s="139">
        <f>SUMIFS(기상자료!$G$2:$G$53,기상자료!$A$2:$A$53,INDEX(지점목록!$C$2:$C$5,MATCH($B$4,지점목록!$A$2:$A$5,0)),기상자료!$D$2:$D$53,$A16)</f>
        <v/>
      </c>
      <c r="I16" s="139">
        <f>SUMIFS(기상자료!$H$2:$H$53,기상자료!$A$2:$A$53,INDEX(지점목록!$C$2:$C$5,MATCH($B$4,지점목록!$A$2:$A$5,0)),기상자료!$D$2:$D$53,$A16)</f>
        <v/>
      </c>
      <c r="J16" s="139">
        <f>SUMIFS(기상자료!$I$2:$I$53,기상자료!$A$2:$A$53,INDEX(지점목록!$C$2:$C$5,MATCH($B$4,지점목록!$A$2:$A$5,0)),기상자료!$D$2:$D$53,$A16)</f>
        <v/>
      </c>
      <c r="K16" s="139">
        <f>SUMIFS(기상자료!$J$2:$J$53,기상자료!$A$2:$A$53,INDEX(지점목록!$C$2:$C$5,MATCH($B$4,지점목록!$A$2:$A$5,0)),기상자료!$D$2:$D$53,$A16)</f>
        <v/>
      </c>
      <c r="L16" s="139">
        <f>SUMIFS(기상자료!$K$2:$K$53,기상자료!$A$2:$A$53,INDEX(지점목록!$C$2:$C$5,MATCH($B$4,지점목록!$A$2:$A$5,0)),기상자료!$D$2:$D$53,$A16)</f>
        <v/>
      </c>
      <c r="M16" s="139">
        <f>SUMIFS(기상자료!$L$2:$L$53,기상자료!$A$2:$A$53,INDEX(지점목록!$C$2:$C$5,MATCH($B$4,지점목록!$A$2:$A$5,0)),기상자료!$D$2:$D$53,$A16)</f>
        <v/>
      </c>
      <c r="N16" s="139">
        <f>SUMIFS(기상자료!$M$2:$M$53,기상자료!$A$2:$A$53,INDEX(지점목록!$C$2:$C$5,MATCH($B$4,지점목록!$A$2:$A$5,0)),기상자료!$D$2:$D$53,$A16)</f>
        <v/>
      </c>
      <c r="O16" s="139">
        <f>SUMIFS(기상자료!$N$2:$N$53,기상자료!$A$2:$A$53,INDEX(지점목록!$C$2:$C$5,MATCH($B$4,지점목록!$A$2:$A$5,0)),기상자료!$D$2:$D$53,$A16)</f>
        <v/>
      </c>
      <c r="P16" s="139">
        <f>SUMIFS(기상자료!$O$2:$O$53,기상자료!$A$2:$A$53,INDEX(지점목록!$C$2:$C$5,MATCH($B$4,지점목록!$A$2:$A$5,0)),기상자료!$D$2:$D$53,$A16)</f>
        <v/>
      </c>
      <c r="Q16" s="139">
        <f>SUMIFS(기상자료!$P$2:$P$53,기상자료!$A$2:$A$53,INDEX(지점목록!$C$2:$C$5,MATCH($B$4,지점목록!$A$2:$A$5,0)),기상자료!$D$2:$D$53,$A16)</f>
        <v/>
      </c>
      <c r="R16" s="139">
        <f>SUMIFS(기상자료!$Q$2:$Q$53,기상자료!$A$2:$A$53,INDEX(지점목록!$C$2:$C$5,MATCH($B$4,지점목록!$A$2:$A$5,0)),기상자료!$D$2:$D$53,$A16)</f>
        <v/>
      </c>
      <c r="S16" s="139">
        <f>SUM(G16:R16)</f>
        <v/>
      </c>
    </row>
    <row r="17">
      <c r="A17" s="139" t="n">
        <v>4</v>
      </c>
      <c r="B17" s="139" t="inlineStr">
        <is>
          <t>혹서기：일최고온도 35°C 이상</t>
        </is>
      </c>
      <c r="C17" s="143" t="inlineStr">
        <is>
          <t>X</t>
        </is>
      </c>
      <c r="D17" s="143" t="inlineStr">
        <is>
          <t>X</t>
        </is>
      </c>
      <c r="E17" s="143" t="inlineStr">
        <is>
          <t>X</t>
        </is>
      </c>
      <c r="F17" s="143" t="inlineStr">
        <is>
          <t>X</t>
        </is>
      </c>
      <c r="G17" s="139">
        <f>SUMIFS(기상자료!$F$2:$F$53,기상자료!$A$2:$A$53,INDEX(지점목록!$C$2:$C$5,MATCH($B$4,지점목록!$A$2:$A$5,0)),기상자료!$D$2:$D$53,$A17)</f>
        <v/>
      </c>
      <c r="H17" s="139">
        <f>SUMIFS(기상자료!$G$2:$G$53,기상자료!$A$2:$A$53,INDEX(지점목록!$C$2:$C$5,MATCH($B$4,지점목록!$A$2:$A$5,0)),기상자료!$D$2:$D$53,$A17)</f>
        <v/>
      </c>
      <c r="I17" s="139">
        <f>SUMIFS(기상자료!$H$2:$H$53,기상자료!$A$2:$A$53,INDEX(지점목록!$C$2:$C$5,MATCH($B$4,지점목록!$A$2:$A$5,0)),기상자료!$D$2:$D$53,$A17)</f>
        <v/>
      </c>
      <c r="J17" s="139">
        <f>SUMIFS(기상자료!$I$2:$I$53,기상자료!$A$2:$A$53,INDEX(지점목록!$C$2:$C$5,MATCH($B$4,지점목록!$A$2:$A$5,0)),기상자료!$D$2:$D$53,$A17)</f>
        <v/>
      </c>
      <c r="K17" s="139">
        <f>SUMIFS(기상자료!$J$2:$J$53,기상자료!$A$2:$A$53,INDEX(지점목록!$C$2:$C$5,MATCH($B$4,지점목록!$A$2:$A$5,0)),기상자료!$D$2:$D$53,$A17)</f>
        <v/>
      </c>
      <c r="L17" s="139">
        <f>SUMIFS(기상자료!$K$2:$K$53,기상자료!$A$2:$A$53,INDEX(지점목록!$C$2:$C$5,MATCH($B$4,지점목록!$A$2:$A$5,0)),기상자료!$D$2:$D$53,$A17)</f>
        <v/>
      </c>
      <c r="M17" s="139">
        <f>SUMIFS(기상자료!$L$2:$L$53,기상자료!$A$2:$A$53,INDEX(지점목록!$C$2:$C$5,MATCH($B$4,지점목록!$A$2:$A$5,0)),기상자료!$D$2:$D$53,$A17)</f>
        <v/>
      </c>
      <c r="N17" s="139">
        <f>SUMIFS(기상자료!$M$2:$M$53,기상자료!$A$2:$A$53,INDEX(지점목록!$C$2:$C$5,MATCH($B$4,지점목록!$A$2:$A$5,0)),기상자료!$D$2:$D$53,$A17)</f>
        <v/>
      </c>
      <c r="O17" s="139">
        <f>SUMIFS(기상자료!$N$2:$N$53,기상자료!$A$2:$A$53,INDEX(지점목록!$C$2:$C$5,MATCH($B$4,지점목록!$A$2:$A$5,0)),기상자료!$D$2:$D$53,$A17)</f>
        <v/>
      </c>
      <c r="P17" s="139">
        <f>SUMIFS(기상자료!$O$2:$O$53,기상자료!$A$2:$A$53,INDEX(지점목록!$C$2:$C$5,MATCH($B$4,지점목록!$A$2:$A$5,0)),기상자료!$D$2:$D$53,$A17)</f>
        <v/>
      </c>
      <c r="Q17" s="139">
        <f>SUMIFS(기상자료!$P$2:$P$53,기상자료!$A$2:$A$53,INDEX(지점목록!$C$2:$C$5,MATCH($B$4,지점목록!$A$2:$A$5,0)),기상자료!$D$2:$D$53,$A17)</f>
        <v/>
      </c>
      <c r="R17" s="139">
        <f>SUMIFS(기상자료!$Q$2:$Q$53,기상자료!$A$2:$A$53,INDEX(지점목록!$C$2:$C$5,MATCH($B$4,지점목록!$A$2:$A$5,0)),기상자료!$D$2:$D$53,$A17)</f>
        <v/>
      </c>
      <c r="S17" s="139">
        <f>SUM(G17:R17)</f>
        <v/>
      </c>
    </row>
    <row r="18">
      <c r="A18" s="139" t="n">
        <v>5</v>
      </c>
      <c r="B18" s="139" t="inlineStr">
        <is>
          <t>동절기：일최고기온 0°C 이하</t>
        </is>
      </c>
      <c r="C18" s="143" t="inlineStr">
        <is>
          <t>O</t>
        </is>
      </c>
      <c r="D18" s="143" t="inlineStr">
        <is>
          <t>O</t>
        </is>
      </c>
      <c r="E18" s="143" t="inlineStr">
        <is>
          <t>O</t>
        </is>
      </c>
      <c r="F18" s="143" t="inlineStr">
        <is>
          <t>O</t>
        </is>
      </c>
      <c r="G18" s="139">
        <f>SUMIFS(기상자료!$F$2:$F$53,기상자료!$A$2:$A$53,INDEX(지점목록!$C$2:$C$5,MATCH($B$4,지점목록!$A$2:$A$5,0)),기상자료!$D$2:$D$53,$A18)</f>
        <v/>
      </c>
      <c r="H18" s="139">
        <f>SUMIFS(기상자료!$G$2:$G$53,기상자료!$A$2:$A$53,INDEX(지점목록!$C$2:$C$5,MATCH($B$4,지점목록!$A$2:$A$5,0)),기상자료!$D$2:$D$53,$A18)</f>
        <v/>
      </c>
      <c r="I18" s="139">
        <f>SUMIFS(기상자료!$H$2:$H$53,기상자료!$A$2:$A$53,INDEX(지점목록!$C$2:$C$5,MATCH($B$4,지점목록!$A$2:$A$5,0)),기상자료!$D$2:$D$53,$A18)</f>
        <v/>
      </c>
      <c r="J18" s="139">
        <f>SUMIFS(기상자료!$I$2:$I$53,기상자료!$A$2:$A$53,INDEX(지점목록!$C$2:$C$5,MATCH($B$4,지점목록!$A$2:$A$5,0)),기상자료!$D$2:$D$53,$A18)</f>
        <v/>
      </c>
      <c r="K18" s="139">
        <f>SUMIFS(기상자료!$J$2:$J$53,기상자료!$A$2:$A$53,INDEX(지점목록!$C$2:$C$5,MATCH($B$4,지점목록!$A$2:$A$5,0)),기상자료!$D$2:$D$53,$A18)</f>
        <v/>
      </c>
      <c r="L18" s="139">
        <f>SUMIFS(기상자료!$K$2:$K$53,기상자료!$A$2:$A$53,INDEX(지점목록!$C$2:$C$5,MATCH($B$4,지점목록!$A$2:$A$5,0)),기상자료!$D$2:$D$53,$A18)</f>
        <v/>
      </c>
      <c r="M18" s="139">
        <f>SUMIFS(기상자료!$L$2:$L$53,기상자료!$A$2:$A$53,INDEX(지점목록!$C$2:$C$5,MATCH($B$4,지점목록!$A$2:$A$5,0)),기상자료!$D$2:$D$53,$A18)</f>
        <v/>
      </c>
      <c r="N18" s="139">
        <f>SUMIFS(기상자료!$M$2:$M$53,기상자료!$A$2:$A$53,INDEX(지점목록!$C$2:$C$5,MATCH($B$4,지점목록!$A$2:$A$5,0)),기상자료!$D$2:$D$53,$A18)</f>
        <v/>
      </c>
      <c r="O18" s="139">
        <f>SUMIFS(기상자료!$N$2:$N$53,기상자료!$A$2:$A$53,INDEX(지점목록!$C$2:$C$5,MATCH($B$4,지점목록!$A$2:$A$5,0)),기상자료!$D$2:$D$53,$A18)</f>
        <v/>
      </c>
      <c r="P18" s="139">
        <f>SUMIFS(기상자료!$O$2:$O$53,기상자료!$A$2:$A$53,INDEX(지점목록!$C$2:$C$5,MATCH($B$4,지점목록!$A$2:$A$5,0)),기상자료!$D$2:$D$53,$A18)</f>
        <v/>
      </c>
      <c r="Q18" s="139">
        <f>SUMIFS(기상자료!$P$2:$P$53,기상자료!$A$2:$A$53,INDEX(지점목록!$C$2:$C$5,MATCH($B$4,지점목록!$A$2:$A$5,0)),기상자료!$D$2:$D$53,$A18)</f>
        <v/>
      </c>
      <c r="R18" s="139">
        <f>SUMIFS(기상자료!$Q$2:$Q$53,기상자료!$A$2:$A$53,INDEX(지점목록!$C$2:$C$5,MATCH($B$4,지점목록!$A$2:$A$5,0)),기상자료!$D$2:$D$53,$A18)</f>
        <v/>
      </c>
      <c r="S18" s="139">
        <f>SUM(G18:R18)</f>
        <v/>
      </c>
    </row>
    <row r="19">
      <c r="A19" s="139" t="n">
        <v>6</v>
      </c>
      <c r="B19" s="139" t="inlineStr">
        <is>
          <t>동절기：일최심신적설 5㎝ 이상</t>
        </is>
      </c>
      <c r="C19" s="143" t="inlineStr">
        <is>
          <t>O</t>
        </is>
      </c>
      <c r="D19" s="143" t="inlineStr">
        <is>
          <t>O</t>
        </is>
      </c>
      <c r="E19" s="143" t="inlineStr">
        <is>
          <t>O</t>
        </is>
      </c>
      <c r="F19" s="143" t="inlineStr">
        <is>
          <t>X</t>
        </is>
      </c>
      <c r="G19" s="139">
        <f>SUMIFS(기상자료!$F$2:$F$53,기상자료!$A$2:$A$53,INDEX(지점목록!$C$2:$C$5,MATCH($B$4,지점목록!$A$2:$A$5,0)),기상자료!$D$2:$D$53,$A19)</f>
        <v/>
      </c>
      <c r="H19" s="139">
        <f>SUMIFS(기상자료!$G$2:$G$53,기상자료!$A$2:$A$53,INDEX(지점목록!$C$2:$C$5,MATCH($B$4,지점목록!$A$2:$A$5,0)),기상자료!$D$2:$D$53,$A19)</f>
        <v/>
      </c>
      <c r="I19" s="139">
        <f>SUMIFS(기상자료!$H$2:$H$53,기상자료!$A$2:$A$53,INDEX(지점목록!$C$2:$C$5,MATCH($B$4,지점목록!$A$2:$A$5,0)),기상자료!$D$2:$D$53,$A19)</f>
        <v/>
      </c>
      <c r="J19" s="139">
        <f>SUMIFS(기상자료!$I$2:$I$53,기상자료!$A$2:$A$53,INDEX(지점목록!$C$2:$C$5,MATCH($B$4,지점목록!$A$2:$A$5,0)),기상자료!$D$2:$D$53,$A19)</f>
        <v/>
      </c>
      <c r="K19" s="139">
        <f>SUMIFS(기상자료!$J$2:$J$53,기상자료!$A$2:$A$53,INDEX(지점목록!$C$2:$C$5,MATCH($B$4,지점목록!$A$2:$A$5,0)),기상자료!$D$2:$D$53,$A19)</f>
        <v/>
      </c>
      <c r="L19" s="139">
        <f>SUMIFS(기상자료!$K$2:$K$53,기상자료!$A$2:$A$53,INDEX(지점목록!$C$2:$C$5,MATCH($B$4,지점목록!$A$2:$A$5,0)),기상자료!$D$2:$D$53,$A19)</f>
        <v/>
      </c>
      <c r="M19" s="139">
        <f>SUMIFS(기상자료!$L$2:$L$53,기상자료!$A$2:$A$53,INDEX(지점목록!$C$2:$C$5,MATCH($B$4,지점목록!$A$2:$A$5,0)),기상자료!$D$2:$D$53,$A19)</f>
        <v/>
      </c>
      <c r="N19" s="139">
        <f>SUMIFS(기상자료!$M$2:$M$53,기상자료!$A$2:$A$53,INDEX(지점목록!$C$2:$C$5,MATCH($B$4,지점목록!$A$2:$A$5,0)),기상자료!$D$2:$D$53,$A19)</f>
        <v/>
      </c>
      <c r="O19" s="139">
        <f>SUMIFS(기상자료!$N$2:$N$53,기상자료!$A$2:$A$53,INDEX(지점목록!$C$2:$C$5,MATCH($B$4,지점목록!$A$2:$A$5,0)),기상자료!$D$2:$D$53,$A19)</f>
        <v/>
      </c>
      <c r="P19" s="139">
        <f>SUMIFS(기상자료!$O$2:$O$53,기상자료!$A$2:$A$53,INDEX(지점목록!$C$2:$C$5,MATCH($B$4,지점목록!$A$2:$A$5,0)),기상자료!$D$2:$D$53,$A19)</f>
        <v/>
      </c>
      <c r="Q19" s="139">
        <f>SUMIFS(기상자료!$P$2:$P$53,기상자료!$A$2:$A$53,INDEX(지점목록!$C$2:$C$5,MATCH($B$4,지점목록!$A$2:$A$5,0)),기상자료!$D$2:$D$53,$A19)</f>
        <v/>
      </c>
      <c r="R19" s="139">
        <f>SUMIFS(기상자료!$Q$2:$Q$53,기상자료!$A$2:$A$53,INDEX(지점목록!$C$2:$C$5,MATCH($B$4,지점목록!$A$2:$A$5,0)),기상자료!$D$2:$D$53,$A19)</f>
        <v/>
      </c>
      <c r="S19" s="139">
        <f>SUM(G19:R19)</f>
        <v/>
      </c>
    </row>
    <row r="20">
      <c r="A20" s="139" t="n">
        <v>7</v>
      </c>
      <c r="B20" s="139" t="inlineStr">
        <is>
          <t>동절기：일최고기온 0°C 이하 이거나 일최심신적설 5㎝ 이상</t>
        </is>
      </c>
      <c r="C20" s="143" t="inlineStr">
        <is>
          <t>X</t>
        </is>
      </c>
      <c r="D20" s="143" t="inlineStr">
        <is>
          <t>X</t>
        </is>
      </c>
      <c r="E20" s="143" t="inlineStr">
        <is>
          <t>X</t>
        </is>
      </c>
      <c r="F20" s="143" t="inlineStr">
        <is>
          <t>X</t>
        </is>
      </c>
      <c r="G20" s="139">
        <f>SUMIFS(기상자료!$F$2:$F$53,기상자료!$A$2:$A$53,INDEX(지점목록!$C$2:$C$5,MATCH($B$4,지점목록!$A$2:$A$5,0)),기상자료!$D$2:$D$53,$A20)</f>
        <v/>
      </c>
      <c r="H20" s="139">
        <f>SUMIFS(기상자료!$G$2:$G$53,기상자료!$A$2:$A$53,INDEX(지점목록!$C$2:$C$5,MATCH($B$4,지점목록!$A$2:$A$5,0)),기상자료!$D$2:$D$53,$A20)</f>
        <v/>
      </c>
      <c r="I20" s="139">
        <f>SUMIFS(기상자료!$H$2:$H$53,기상자료!$A$2:$A$53,INDEX(지점목록!$C$2:$C$5,MATCH($B$4,지점목록!$A$2:$A$5,0)),기상자료!$D$2:$D$53,$A20)</f>
        <v/>
      </c>
      <c r="J20" s="139">
        <f>SUMIFS(기상자료!$I$2:$I$53,기상자료!$A$2:$A$53,INDEX(지점목록!$C$2:$C$5,MATCH($B$4,지점목록!$A$2:$A$5,0)),기상자료!$D$2:$D$53,$A20)</f>
        <v/>
      </c>
      <c r="K20" s="139">
        <f>SUMIFS(기상자료!$J$2:$J$53,기상자료!$A$2:$A$53,INDEX(지점목록!$C$2:$C$5,MATCH($B$4,지점목록!$A$2:$A$5,0)),기상자료!$D$2:$D$53,$A20)</f>
        <v/>
      </c>
      <c r="L20" s="139">
        <f>SUMIFS(기상자료!$K$2:$K$53,기상자료!$A$2:$A$53,INDEX(지점목록!$C$2:$C$5,MATCH($B$4,지점목록!$A$2:$A$5,0)),기상자료!$D$2:$D$53,$A20)</f>
        <v/>
      </c>
      <c r="M20" s="139">
        <f>SUMIFS(기상자료!$L$2:$L$53,기상자료!$A$2:$A$53,INDEX(지점목록!$C$2:$C$5,MATCH($B$4,지점목록!$A$2:$A$5,0)),기상자료!$D$2:$D$53,$A20)</f>
        <v/>
      </c>
      <c r="N20" s="139">
        <f>SUMIFS(기상자료!$M$2:$M$53,기상자료!$A$2:$A$53,INDEX(지점목록!$C$2:$C$5,MATCH($B$4,지점목록!$A$2:$A$5,0)),기상자료!$D$2:$D$53,$A20)</f>
        <v/>
      </c>
      <c r="O20" s="139">
        <f>SUMIFS(기상자료!$N$2:$N$53,기상자료!$A$2:$A$53,INDEX(지점목록!$C$2:$C$5,MATCH($B$4,지점목록!$A$2:$A$5,0)),기상자료!$D$2:$D$53,$A20)</f>
        <v/>
      </c>
      <c r="P20" s="139">
        <f>SUMIFS(기상자료!$O$2:$O$53,기상자료!$A$2:$A$53,INDEX(지점목록!$C$2:$C$5,MATCH($B$4,지점목록!$A$2:$A$5,0)),기상자료!$D$2:$D$53,$A20)</f>
        <v/>
      </c>
      <c r="Q20" s="139">
        <f>SUMIFS(기상자료!$P$2:$P$53,기상자료!$A$2:$A$53,INDEX(지점목록!$C$2:$C$5,MATCH($B$4,지점목록!$A$2:$A$5,0)),기상자료!$D$2:$D$53,$A20)</f>
        <v/>
      </c>
      <c r="R20" s="139">
        <f>SUMIFS(기상자료!$Q$2:$Q$53,기상자료!$A$2:$A$53,INDEX(지점목록!$C$2:$C$5,MATCH($B$4,지점목록!$A$2:$A$5,0)),기상자료!$D$2:$D$53,$A20)</f>
        <v/>
      </c>
      <c r="S20" s="139">
        <f>SUM(G20:R20)</f>
        <v/>
      </c>
    </row>
    <row r="21">
      <c r="A21" s="139" t="n">
        <v>8</v>
      </c>
      <c r="B21" s="139" t="inlineStr">
        <is>
          <t>동절기：일최저기온 -12°C 이하</t>
        </is>
      </c>
      <c r="C21" s="143" t="inlineStr">
        <is>
          <t>X</t>
        </is>
      </c>
      <c r="D21" s="143" t="inlineStr">
        <is>
          <t>X</t>
        </is>
      </c>
      <c r="E21" s="143" t="inlineStr">
        <is>
          <t>X</t>
        </is>
      </c>
      <c r="F21" s="143" t="inlineStr">
        <is>
          <t>X</t>
        </is>
      </c>
      <c r="G21" s="139">
        <f>SUMIFS(기상자료!$F$2:$F$53,기상자료!$A$2:$A$53,INDEX(지점목록!$C$2:$C$5,MATCH($B$4,지점목록!$A$2:$A$5,0)),기상자료!$D$2:$D$53,$A21)</f>
        <v/>
      </c>
      <c r="H21" s="139">
        <f>SUMIFS(기상자료!$G$2:$G$53,기상자료!$A$2:$A$53,INDEX(지점목록!$C$2:$C$5,MATCH($B$4,지점목록!$A$2:$A$5,0)),기상자료!$D$2:$D$53,$A21)</f>
        <v/>
      </c>
      <c r="I21" s="139">
        <f>SUMIFS(기상자료!$H$2:$H$53,기상자료!$A$2:$A$53,INDEX(지점목록!$C$2:$C$5,MATCH($B$4,지점목록!$A$2:$A$5,0)),기상자료!$D$2:$D$53,$A21)</f>
        <v/>
      </c>
      <c r="J21" s="139">
        <f>SUMIFS(기상자료!$I$2:$I$53,기상자료!$A$2:$A$53,INDEX(지점목록!$C$2:$C$5,MATCH($B$4,지점목록!$A$2:$A$5,0)),기상자료!$D$2:$D$53,$A21)</f>
        <v/>
      </c>
      <c r="K21" s="139">
        <f>SUMIFS(기상자료!$J$2:$J$53,기상자료!$A$2:$A$53,INDEX(지점목록!$C$2:$C$5,MATCH($B$4,지점목록!$A$2:$A$5,0)),기상자료!$D$2:$D$53,$A21)</f>
        <v/>
      </c>
      <c r="L21" s="139">
        <f>SUMIFS(기상자료!$K$2:$K$53,기상자료!$A$2:$A$53,INDEX(지점목록!$C$2:$C$5,MATCH($B$4,지점목록!$A$2:$A$5,0)),기상자료!$D$2:$D$53,$A21)</f>
        <v/>
      </c>
      <c r="M21" s="139">
        <f>SUMIFS(기상자료!$L$2:$L$53,기상자료!$A$2:$A$53,INDEX(지점목록!$C$2:$C$5,MATCH($B$4,지점목록!$A$2:$A$5,0)),기상자료!$D$2:$D$53,$A21)</f>
        <v/>
      </c>
      <c r="N21" s="139">
        <f>SUMIFS(기상자료!$M$2:$M$53,기상자료!$A$2:$A$53,INDEX(지점목록!$C$2:$C$5,MATCH($B$4,지점목록!$A$2:$A$5,0)),기상자료!$D$2:$D$53,$A21)</f>
        <v/>
      </c>
      <c r="O21" s="139">
        <f>SUMIFS(기상자료!$N$2:$N$53,기상자료!$A$2:$A$53,INDEX(지점목록!$C$2:$C$5,MATCH($B$4,지점목록!$A$2:$A$5,0)),기상자료!$D$2:$D$53,$A21)</f>
        <v/>
      </c>
      <c r="P21" s="139">
        <f>SUMIFS(기상자료!$O$2:$O$53,기상자료!$A$2:$A$53,INDEX(지점목록!$C$2:$C$5,MATCH($B$4,지점목록!$A$2:$A$5,0)),기상자료!$D$2:$D$53,$A21)</f>
        <v/>
      </c>
      <c r="Q21" s="139">
        <f>SUMIFS(기상자료!$P$2:$P$53,기상자료!$A$2:$A$53,INDEX(지점목록!$C$2:$C$5,MATCH($B$4,지점목록!$A$2:$A$5,0)),기상자료!$D$2:$D$53,$A21)</f>
        <v/>
      </c>
      <c r="R21" s="139">
        <f>SUMIFS(기상자료!$Q$2:$Q$53,기상자료!$A$2:$A$53,INDEX(지점목록!$C$2:$C$5,MATCH($B$4,지점목록!$A$2:$A$5,0)),기상자료!$D$2:$D$53,$A21)</f>
        <v/>
      </c>
      <c r="S21" s="139">
        <f>SUM(G21:R21)</f>
        <v/>
      </c>
    </row>
    <row r="22">
      <c r="A22" s="139" t="n">
        <v>9</v>
      </c>
      <c r="B22" s="139" t="inlineStr">
        <is>
          <t>일강수량：3㎜ 이상</t>
        </is>
      </c>
      <c r="C22" s="143" t="inlineStr">
        <is>
          <t>O</t>
        </is>
      </c>
      <c r="D22" s="143" t="inlineStr">
        <is>
          <t>X</t>
        </is>
      </c>
      <c r="E22" s="143" t="inlineStr">
        <is>
          <t>O</t>
        </is>
      </c>
      <c r="F22" s="143" t="inlineStr">
        <is>
          <t>X</t>
        </is>
      </c>
      <c r="G22" s="139">
        <f>SUMIFS(기상자료!$F$2:$F$53,기상자료!$A$2:$A$53,INDEX(지점목록!$C$2:$C$5,MATCH($B$4,지점목록!$A$2:$A$5,0)),기상자료!$D$2:$D$53,$A22)</f>
        <v/>
      </c>
      <c r="H22" s="139">
        <f>SUMIFS(기상자료!$G$2:$G$53,기상자료!$A$2:$A$53,INDEX(지점목록!$C$2:$C$5,MATCH($B$4,지점목록!$A$2:$A$5,0)),기상자료!$D$2:$D$53,$A22)</f>
        <v/>
      </c>
      <c r="I22" s="139">
        <f>SUMIFS(기상자료!$H$2:$H$53,기상자료!$A$2:$A$53,INDEX(지점목록!$C$2:$C$5,MATCH($B$4,지점목록!$A$2:$A$5,0)),기상자료!$D$2:$D$53,$A22)</f>
        <v/>
      </c>
      <c r="J22" s="139">
        <f>SUMIFS(기상자료!$I$2:$I$53,기상자료!$A$2:$A$53,INDEX(지점목록!$C$2:$C$5,MATCH($B$4,지점목록!$A$2:$A$5,0)),기상자료!$D$2:$D$53,$A22)</f>
        <v/>
      </c>
      <c r="K22" s="139">
        <f>SUMIFS(기상자료!$J$2:$J$53,기상자료!$A$2:$A$53,INDEX(지점목록!$C$2:$C$5,MATCH($B$4,지점목록!$A$2:$A$5,0)),기상자료!$D$2:$D$53,$A22)</f>
        <v/>
      </c>
      <c r="L22" s="139">
        <f>SUMIFS(기상자료!$K$2:$K$53,기상자료!$A$2:$A$53,INDEX(지점목록!$C$2:$C$5,MATCH($B$4,지점목록!$A$2:$A$5,0)),기상자료!$D$2:$D$53,$A22)</f>
        <v/>
      </c>
      <c r="M22" s="139">
        <f>SUMIFS(기상자료!$L$2:$L$53,기상자료!$A$2:$A$53,INDEX(지점목록!$C$2:$C$5,MATCH($B$4,지점목록!$A$2:$A$5,0)),기상자료!$D$2:$D$53,$A22)</f>
        <v/>
      </c>
      <c r="N22" s="139">
        <f>SUMIFS(기상자료!$M$2:$M$53,기상자료!$A$2:$A$53,INDEX(지점목록!$C$2:$C$5,MATCH($B$4,지점목록!$A$2:$A$5,0)),기상자료!$D$2:$D$53,$A22)</f>
        <v/>
      </c>
      <c r="O22" s="139">
        <f>SUMIFS(기상자료!$N$2:$N$53,기상자료!$A$2:$A$53,INDEX(지점목록!$C$2:$C$5,MATCH($B$4,지점목록!$A$2:$A$5,0)),기상자료!$D$2:$D$53,$A22)</f>
        <v/>
      </c>
      <c r="P22" s="139">
        <f>SUMIFS(기상자료!$O$2:$O$53,기상자료!$A$2:$A$53,INDEX(지점목록!$C$2:$C$5,MATCH($B$4,지점목록!$A$2:$A$5,0)),기상자료!$D$2:$D$53,$A22)</f>
        <v/>
      </c>
      <c r="Q22" s="139">
        <f>SUMIFS(기상자료!$P$2:$P$53,기상자료!$A$2:$A$53,INDEX(지점목록!$C$2:$C$5,MATCH($B$4,지점목록!$A$2:$A$5,0)),기상자료!$D$2:$D$53,$A22)</f>
        <v/>
      </c>
      <c r="R22" s="139">
        <f>SUMIFS(기상자료!$Q$2:$Q$53,기상자료!$A$2:$A$53,INDEX(지점목록!$C$2:$C$5,MATCH($B$4,지점목록!$A$2:$A$5,0)),기상자료!$D$2:$D$53,$A22)</f>
        <v/>
      </c>
      <c r="S22" s="139">
        <f>SUM(G22:R22)</f>
        <v/>
      </c>
    </row>
    <row r="23">
      <c r="A23" s="139" t="n">
        <v>10</v>
      </c>
      <c r="B23" s="139" t="inlineStr">
        <is>
          <t>일강수량：5㎜ 이상</t>
        </is>
      </c>
      <c r="C23" s="143" t="inlineStr">
        <is>
          <t>X</t>
        </is>
      </c>
      <c r="D23" s="143" t="inlineStr">
        <is>
          <t>O</t>
        </is>
      </c>
      <c r="E23" s="143" t="inlineStr">
        <is>
          <t>X</t>
        </is>
      </c>
      <c r="F23" s="143" t="inlineStr">
        <is>
          <t>X</t>
        </is>
      </c>
      <c r="G23" s="139">
        <f>SUMIFS(기상자료!$F$2:$F$53,기상자료!$A$2:$A$53,INDEX(지점목록!$C$2:$C$5,MATCH($B$4,지점목록!$A$2:$A$5,0)),기상자료!$D$2:$D$53,$A23)</f>
        <v/>
      </c>
      <c r="H23" s="139">
        <f>SUMIFS(기상자료!$G$2:$G$53,기상자료!$A$2:$A$53,INDEX(지점목록!$C$2:$C$5,MATCH($B$4,지점목록!$A$2:$A$5,0)),기상자료!$D$2:$D$53,$A23)</f>
        <v/>
      </c>
      <c r="I23" s="139">
        <f>SUMIFS(기상자료!$H$2:$H$53,기상자료!$A$2:$A$53,INDEX(지점목록!$C$2:$C$5,MATCH($B$4,지점목록!$A$2:$A$5,0)),기상자료!$D$2:$D$53,$A23)</f>
        <v/>
      </c>
      <c r="J23" s="139">
        <f>SUMIFS(기상자료!$I$2:$I$53,기상자료!$A$2:$A$53,INDEX(지점목록!$C$2:$C$5,MATCH($B$4,지점목록!$A$2:$A$5,0)),기상자료!$D$2:$D$53,$A23)</f>
        <v/>
      </c>
      <c r="K23" s="139">
        <f>SUMIFS(기상자료!$J$2:$J$53,기상자료!$A$2:$A$53,INDEX(지점목록!$C$2:$C$5,MATCH($B$4,지점목록!$A$2:$A$5,0)),기상자료!$D$2:$D$53,$A23)</f>
        <v/>
      </c>
      <c r="L23" s="139">
        <f>SUMIFS(기상자료!$K$2:$K$53,기상자료!$A$2:$A$53,INDEX(지점목록!$C$2:$C$5,MATCH($B$4,지점목록!$A$2:$A$5,0)),기상자료!$D$2:$D$53,$A23)</f>
        <v/>
      </c>
      <c r="M23" s="139">
        <f>SUMIFS(기상자료!$L$2:$L$53,기상자료!$A$2:$A$53,INDEX(지점목록!$C$2:$C$5,MATCH($B$4,지점목록!$A$2:$A$5,0)),기상자료!$D$2:$D$53,$A23)</f>
        <v/>
      </c>
      <c r="N23" s="139">
        <f>SUMIFS(기상자료!$M$2:$M$53,기상자료!$A$2:$A$53,INDEX(지점목록!$C$2:$C$5,MATCH($B$4,지점목록!$A$2:$A$5,0)),기상자료!$D$2:$D$53,$A23)</f>
        <v/>
      </c>
      <c r="O23" s="139">
        <f>SUMIFS(기상자료!$N$2:$N$53,기상자료!$A$2:$A$53,INDEX(지점목록!$C$2:$C$5,MATCH($B$4,지점목록!$A$2:$A$5,0)),기상자료!$D$2:$D$53,$A23)</f>
        <v/>
      </c>
      <c r="P23" s="139">
        <f>SUMIFS(기상자료!$O$2:$O$53,기상자료!$A$2:$A$53,INDEX(지점목록!$C$2:$C$5,MATCH($B$4,지점목록!$A$2:$A$5,0)),기상자료!$D$2:$D$53,$A23)</f>
        <v/>
      </c>
      <c r="Q23" s="139">
        <f>SUMIFS(기상자료!$P$2:$P$53,기상자료!$A$2:$A$53,INDEX(지점목록!$C$2:$C$5,MATCH($B$4,지점목록!$A$2:$A$5,0)),기상자료!$D$2:$D$53,$A23)</f>
        <v/>
      </c>
      <c r="R23" s="139">
        <f>SUMIFS(기상자료!$Q$2:$Q$53,기상자료!$A$2:$A$53,INDEX(지점목록!$C$2:$C$5,MATCH($B$4,지점목록!$A$2:$A$5,0)),기상자료!$D$2:$D$53,$A23)</f>
        <v/>
      </c>
      <c r="S23" s="139">
        <f>SUM(G23:R23)</f>
        <v/>
      </c>
    </row>
    <row r="24">
      <c r="A24" s="139" t="n">
        <v>11</v>
      </c>
      <c r="B24" s="139" t="inlineStr">
        <is>
          <t>일강수량：10㎜ 이상</t>
        </is>
      </c>
      <c r="C24" s="143" t="inlineStr">
        <is>
          <t>X</t>
        </is>
      </c>
      <c r="D24" s="143" t="inlineStr">
        <is>
          <t>X</t>
        </is>
      </c>
      <c r="E24" s="143" t="inlineStr">
        <is>
          <t>X</t>
        </is>
      </c>
      <c r="F24" s="143" t="inlineStr">
        <is>
          <t>X</t>
        </is>
      </c>
      <c r="G24" s="139">
        <f>SUMIFS(기상자료!$F$2:$F$53,기상자료!$A$2:$A$53,INDEX(지점목록!$C$2:$C$5,MATCH($B$4,지점목록!$A$2:$A$5,0)),기상자료!$D$2:$D$53,$A24)</f>
        <v/>
      </c>
      <c r="H24" s="139">
        <f>SUMIFS(기상자료!$G$2:$G$53,기상자료!$A$2:$A$53,INDEX(지점목록!$C$2:$C$5,MATCH($B$4,지점목록!$A$2:$A$5,0)),기상자료!$D$2:$D$53,$A24)</f>
        <v/>
      </c>
      <c r="I24" s="139">
        <f>SUMIFS(기상자료!$H$2:$H$53,기상자료!$A$2:$A$53,INDEX(지점목록!$C$2:$C$5,MATCH($B$4,지점목록!$A$2:$A$5,0)),기상자료!$D$2:$D$53,$A24)</f>
        <v/>
      </c>
      <c r="J24" s="139">
        <f>SUMIFS(기상자료!$I$2:$I$53,기상자료!$A$2:$A$53,INDEX(지점목록!$C$2:$C$5,MATCH($B$4,지점목록!$A$2:$A$5,0)),기상자료!$D$2:$D$53,$A24)</f>
        <v/>
      </c>
      <c r="K24" s="139">
        <f>SUMIFS(기상자료!$J$2:$J$53,기상자료!$A$2:$A$53,INDEX(지점목록!$C$2:$C$5,MATCH($B$4,지점목록!$A$2:$A$5,0)),기상자료!$D$2:$D$53,$A24)</f>
        <v/>
      </c>
      <c r="L24" s="139">
        <f>SUMIFS(기상자료!$K$2:$K$53,기상자료!$A$2:$A$53,INDEX(지점목록!$C$2:$C$5,MATCH($B$4,지점목록!$A$2:$A$5,0)),기상자료!$D$2:$D$53,$A24)</f>
        <v/>
      </c>
      <c r="M24" s="139">
        <f>SUMIFS(기상자료!$L$2:$L$53,기상자료!$A$2:$A$53,INDEX(지점목록!$C$2:$C$5,MATCH($B$4,지점목록!$A$2:$A$5,0)),기상자료!$D$2:$D$53,$A24)</f>
        <v/>
      </c>
      <c r="N24" s="139">
        <f>SUMIFS(기상자료!$M$2:$M$53,기상자료!$A$2:$A$53,INDEX(지점목록!$C$2:$C$5,MATCH($B$4,지점목록!$A$2:$A$5,0)),기상자료!$D$2:$D$53,$A24)</f>
        <v/>
      </c>
      <c r="O24" s="139">
        <f>SUMIFS(기상자료!$N$2:$N$53,기상자료!$A$2:$A$53,INDEX(지점목록!$C$2:$C$5,MATCH($B$4,지점목록!$A$2:$A$5,0)),기상자료!$D$2:$D$53,$A24)</f>
        <v/>
      </c>
      <c r="P24" s="139">
        <f>SUMIFS(기상자료!$O$2:$O$53,기상자료!$A$2:$A$53,INDEX(지점목록!$C$2:$C$5,MATCH($B$4,지점목록!$A$2:$A$5,0)),기상자료!$D$2:$D$53,$A24)</f>
        <v/>
      </c>
      <c r="Q24" s="139">
        <f>SUMIFS(기상자료!$P$2:$P$53,기상자료!$A$2:$A$53,INDEX(지점목록!$C$2:$C$5,MATCH($B$4,지점목록!$A$2:$A$5,0)),기상자료!$D$2:$D$53,$A24)</f>
        <v/>
      </c>
      <c r="R24" s="139">
        <f>SUMIFS(기상자료!$Q$2:$Q$53,기상자료!$A$2:$A$53,INDEX(지점목록!$C$2:$C$5,MATCH($B$4,지점목록!$A$2:$A$5,0)),기상자료!$D$2:$D$53,$A24)</f>
        <v/>
      </c>
      <c r="S24" s="139">
        <f>SUM(G24:R24)</f>
        <v/>
      </c>
    </row>
    <row r="25">
      <c r="A25" s="139" t="n">
        <v>12</v>
      </c>
      <c r="B25" s="139" t="inlineStr">
        <is>
          <t>일강수량：20㎜ 이상</t>
        </is>
      </c>
      <c r="C25" s="143" t="inlineStr">
        <is>
          <t>X</t>
        </is>
      </c>
      <c r="D25" s="143" t="inlineStr">
        <is>
          <t>X</t>
        </is>
      </c>
      <c r="E25" s="143" t="inlineStr">
        <is>
          <t>X</t>
        </is>
      </c>
      <c r="F25" s="143" t="inlineStr">
        <is>
          <t>X</t>
        </is>
      </c>
      <c r="G25" s="139">
        <f>SUMIFS(기상자료!$F$2:$F$53,기상자료!$A$2:$A$53,INDEX(지점목록!$C$2:$C$5,MATCH($B$4,지점목록!$A$2:$A$5,0)),기상자료!$D$2:$D$53,$A25)</f>
        <v/>
      </c>
      <c r="H25" s="139">
        <f>SUMIFS(기상자료!$G$2:$G$53,기상자료!$A$2:$A$53,INDEX(지점목록!$C$2:$C$5,MATCH($B$4,지점목록!$A$2:$A$5,0)),기상자료!$D$2:$D$53,$A25)</f>
        <v/>
      </c>
      <c r="I25" s="139">
        <f>SUMIFS(기상자료!$H$2:$H$53,기상자료!$A$2:$A$53,INDEX(지점목록!$C$2:$C$5,MATCH($B$4,지점목록!$A$2:$A$5,0)),기상자료!$D$2:$D$53,$A25)</f>
        <v/>
      </c>
      <c r="J25" s="139">
        <f>SUMIFS(기상자료!$I$2:$I$53,기상자료!$A$2:$A$53,INDEX(지점목록!$C$2:$C$5,MATCH($B$4,지점목록!$A$2:$A$5,0)),기상자료!$D$2:$D$53,$A25)</f>
        <v/>
      </c>
      <c r="K25" s="139">
        <f>SUMIFS(기상자료!$J$2:$J$53,기상자료!$A$2:$A$53,INDEX(지점목록!$C$2:$C$5,MATCH($B$4,지점목록!$A$2:$A$5,0)),기상자료!$D$2:$D$53,$A25)</f>
        <v/>
      </c>
      <c r="L25" s="139">
        <f>SUMIFS(기상자료!$K$2:$K$53,기상자료!$A$2:$A$53,INDEX(지점목록!$C$2:$C$5,MATCH($B$4,지점목록!$A$2:$A$5,0)),기상자료!$D$2:$D$53,$A25)</f>
        <v/>
      </c>
      <c r="M25" s="139">
        <f>SUMIFS(기상자료!$L$2:$L$53,기상자료!$A$2:$A$53,INDEX(지점목록!$C$2:$C$5,MATCH($B$4,지점목록!$A$2:$A$5,0)),기상자료!$D$2:$D$53,$A25)</f>
        <v/>
      </c>
      <c r="N25" s="139">
        <f>SUMIFS(기상자료!$M$2:$M$53,기상자료!$A$2:$A$53,INDEX(지점목록!$C$2:$C$5,MATCH($B$4,지점목록!$A$2:$A$5,0)),기상자료!$D$2:$D$53,$A25)</f>
        <v/>
      </c>
      <c r="O25" s="139">
        <f>SUMIFS(기상자료!$N$2:$N$53,기상자료!$A$2:$A$53,INDEX(지점목록!$C$2:$C$5,MATCH($B$4,지점목록!$A$2:$A$5,0)),기상자료!$D$2:$D$53,$A25)</f>
        <v/>
      </c>
      <c r="P25" s="139">
        <f>SUMIFS(기상자료!$O$2:$O$53,기상자료!$A$2:$A$53,INDEX(지점목록!$C$2:$C$5,MATCH($B$4,지점목록!$A$2:$A$5,0)),기상자료!$D$2:$D$53,$A25)</f>
        <v/>
      </c>
      <c r="Q25" s="139">
        <f>SUMIFS(기상자료!$P$2:$P$53,기상자료!$A$2:$A$53,INDEX(지점목록!$C$2:$C$5,MATCH($B$4,지점목록!$A$2:$A$5,0)),기상자료!$D$2:$D$53,$A25)</f>
        <v/>
      </c>
      <c r="R25" s="139">
        <f>SUMIFS(기상자료!$Q$2:$Q$53,기상자료!$A$2:$A$53,INDEX(지점목록!$C$2:$C$5,MATCH($B$4,지점목록!$A$2:$A$5,0)),기상자료!$D$2:$D$53,$A25)</f>
        <v/>
      </c>
      <c r="S25" s="139">
        <f>SUM(G25:R25)</f>
        <v/>
      </c>
    </row>
    <row r="26">
      <c r="A26" s="139" t="n">
        <v>13</v>
      </c>
      <c r="B26" s="139" t="inlineStr">
        <is>
          <t>일최대순간풍속：15m/s 이상</t>
        </is>
      </c>
      <c r="C26" s="143" t="inlineStr">
        <is>
          <t>O</t>
        </is>
      </c>
      <c r="D26" s="143" t="inlineStr">
        <is>
          <t>O</t>
        </is>
      </c>
      <c r="E26" s="143" t="inlineStr">
        <is>
          <t>X</t>
        </is>
      </c>
      <c r="F26" s="143" t="inlineStr">
        <is>
          <t>X</t>
        </is>
      </c>
      <c r="G26" s="139">
        <f>SUMIFS(기상자료!$F$2:$F$53,기상자료!$A$2:$A$53,INDEX(지점목록!$C$2:$C$5,MATCH($B$4,지점목록!$A$2:$A$5,0)),기상자료!$D$2:$D$53,$A26)</f>
        <v/>
      </c>
      <c r="H26" s="139">
        <f>SUMIFS(기상자료!$G$2:$G$53,기상자료!$A$2:$A$53,INDEX(지점목록!$C$2:$C$5,MATCH($B$4,지점목록!$A$2:$A$5,0)),기상자료!$D$2:$D$53,$A26)</f>
        <v/>
      </c>
      <c r="I26" s="139">
        <f>SUMIFS(기상자료!$H$2:$H$53,기상자료!$A$2:$A$53,INDEX(지점목록!$C$2:$C$5,MATCH($B$4,지점목록!$A$2:$A$5,0)),기상자료!$D$2:$D$53,$A26)</f>
        <v/>
      </c>
      <c r="J26" s="139">
        <f>SUMIFS(기상자료!$I$2:$I$53,기상자료!$A$2:$A$53,INDEX(지점목록!$C$2:$C$5,MATCH($B$4,지점목록!$A$2:$A$5,0)),기상자료!$D$2:$D$53,$A26)</f>
        <v/>
      </c>
      <c r="K26" s="139">
        <f>SUMIFS(기상자료!$J$2:$J$53,기상자료!$A$2:$A$53,INDEX(지점목록!$C$2:$C$5,MATCH($B$4,지점목록!$A$2:$A$5,0)),기상자료!$D$2:$D$53,$A26)</f>
        <v/>
      </c>
      <c r="L26" s="139">
        <f>SUMIFS(기상자료!$K$2:$K$53,기상자료!$A$2:$A$53,INDEX(지점목록!$C$2:$C$5,MATCH($B$4,지점목록!$A$2:$A$5,0)),기상자료!$D$2:$D$53,$A26)</f>
        <v/>
      </c>
      <c r="M26" s="139">
        <f>SUMIFS(기상자료!$L$2:$L$53,기상자료!$A$2:$A$53,INDEX(지점목록!$C$2:$C$5,MATCH($B$4,지점목록!$A$2:$A$5,0)),기상자료!$D$2:$D$53,$A26)</f>
        <v/>
      </c>
      <c r="N26" s="139">
        <f>SUMIFS(기상자료!$M$2:$M$53,기상자료!$A$2:$A$53,INDEX(지점목록!$C$2:$C$5,MATCH($B$4,지점목록!$A$2:$A$5,0)),기상자료!$D$2:$D$53,$A26)</f>
        <v/>
      </c>
      <c r="O26" s="139">
        <f>SUMIFS(기상자료!$N$2:$N$53,기상자료!$A$2:$A$53,INDEX(지점목록!$C$2:$C$5,MATCH($B$4,지점목록!$A$2:$A$5,0)),기상자료!$D$2:$D$53,$A26)</f>
        <v/>
      </c>
      <c r="P26" s="139">
        <f>SUMIFS(기상자료!$O$2:$O$53,기상자료!$A$2:$A$53,INDEX(지점목록!$C$2:$C$5,MATCH($B$4,지점목록!$A$2:$A$5,0)),기상자료!$D$2:$D$53,$A26)</f>
        <v/>
      </c>
      <c r="Q26" s="139">
        <f>SUMIFS(기상자료!$P$2:$P$53,기상자료!$A$2:$A$53,INDEX(지점목록!$C$2:$C$5,MATCH($B$4,지점목록!$A$2:$A$5,0)),기상자료!$D$2:$D$53,$A26)</f>
        <v/>
      </c>
      <c r="R26" s="139">
        <f>SUMIFS(기상자료!$Q$2:$Q$53,기상자료!$A$2:$A$53,INDEX(지점목록!$C$2:$C$5,MATCH($B$4,지점목록!$A$2:$A$5,0)),기상자료!$D$2:$D$53,$A26)</f>
        <v/>
      </c>
      <c r="S26" s="139">
        <f>SUM(G26:R26)</f>
        <v/>
      </c>
    </row>
    <row r="27">
      <c r="B27" s="130" t="inlineStr">
        <is>
          <t>세트1 기후여건 A 합계</t>
        </is>
      </c>
      <c r="G27" s="144">
        <f>SUMPRODUCT((C$14:C$26="O")*G$14:G$26)</f>
        <v/>
      </c>
      <c r="H27" s="144">
        <f>SUMPRODUCT((C$14:C$26="O")*H$14:H$26)</f>
        <v/>
      </c>
      <c r="I27" s="144">
        <f>SUMPRODUCT((C$14:C$26="O")*I$14:I$26)</f>
        <v/>
      </c>
      <c r="J27" s="144">
        <f>SUMPRODUCT((C$14:C$26="O")*J$14:J$26)</f>
        <v/>
      </c>
      <c r="K27" s="144">
        <f>SUMPRODUCT((C$14:C$26="O")*K$14:K$26)</f>
        <v/>
      </c>
      <c r="L27" s="144">
        <f>SUMPRODUCT((C$14:C$26="O")*L$14:L$26)</f>
        <v/>
      </c>
      <c r="M27" s="144">
        <f>SUMPRODUCT((C$14:C$26="O")*M$14:M$26)</f>
        <v/>
      </c>
      <c r="N27" s="144">
        <f>SUMPRODUCT((C$14:C$26="O")*N$14:N$26)</f>
        <v/>
      </c>
      <c r="O27" s="144">
        <f>SUMPRODUCT((C$14:C$26="O")*O$14:O$26)</f>
        <v/>
      </c>
      <c r="P27" s="144">
        <f>SUMPRODUCT((C$14:C$26="O")*P$14:P$26)</f>
        <v/>
      </c>
      <c r="Q27" s="144">
        <f>SUMPRODUCT((C$14:C$26="O")*Q$14:Q$26)</f>
        <v/>
      </c>
      <c r="R27" s="144">
        <f>SUMPRODUCT((C$14:C$26="O")*R$14:R$26)</f>
        <v/>
      </c>
      <c r="S27">
        <f>SUM(G27:R27)</f>
        <v/>
      </c>
    </row>
    <row r="28">
      <c r="B28" s="130" t="inlineStr">
        <is>
          <t>세트2 기후여건 A 합계</t>
        </is>
      </c>
      <c r="G28" s="144">
        <f>SUMPRODUCT((D$14:D$26="O")*G$14:G$26)</f>
        <v/>
      </c>
      <c r="H28" s="144">
        <f>SUMPRODUCT((D$14:D$26="O")*H$14:H$26)</f>
        <v/>
      </c>
      <c r="I28" s="144">
        <f>SUMPRODUCT((D$14:D$26="O")*I$14:I$26)</f>
        <v/>
      </c>
      <c r="J28" s="144">
        <f>SUMPRODUCT((D$14:D$26="O")*J$14:J$26)</f>
        <v/>
      </c>
      <c r="K28" s="144">
        <f>SUMPRODUCT((D$14:D$26="O")*K$14:K$26)</f>
        <v/>
      </c>
      <c r="L28" s="144">
        <f>SUMPRODUCT((D$14:D$26="O")*L$14:L$26)</f>
        <v/>
      </c>
      <c r="M28" s="144">
        <f>SUMPRODUCT((D$14:D$26="O")*M$14:M$26)</f>
        <v/>
      </c>
      <c r="N28" s="144">
        <f>SUMPRODUCT((D$14:D$26="O")*N$14:N$26)</f>
        <v/>
      </c>
      <c r="O28" s="144">
        <f>SUMPRODUCT((D$14:D$26="O")*O$14:O$26)</f>
        <v/>
      </c>
      <c r="P28" s="144">
        <f>SUMPRODUCT((D$14:D$26="O")*P$14:P$26)</f>
        <v/>
      </c>
      <c r="Q28" s="144">
        <f>SUMPRODUCT((D$14:D$26="O")*Q$14:Q$26)</f>
        <v/>
      </c>
      <c r="R28" s="144">
        <f>SUMPRODUCT((D$14:D$26="O")*R$14:R$26)</f>
        <v/>
      </c>
      <c r="S28">
        <f>SUM(G28:R28)</f>
        <v/>
      </c>
    </row>
    <row r="29">
      <c r="B29" s="130" t="inlineStr">
        <is>
          <t>세트3 기후여건 A 합계</t>
        </is>
      </c>
      <c r="G29" s="144">
        <f>SUMPRODUCT((E$14:E$26="O")*G$14:G$26)</f>
        <v/>
      </c>
      <c r="H29" s="144">
        <f>SUMPRODUCT((E$14:E$26="O")*H$14:H$26)</f>
        <v/>
      </c>
      <c r="I29" s="144">
        <f>SUMPRODUCT((E$14:E$26="O")*I$14:I$26)</f>
        <v/>
      </c>
      <c r="J29" s="144">
        <f>SUMPRODUCT((E$14:E$26="O")*J$14:J$26)</f>
        <v/>
      </c>
      <c r="K29" s="144">
        <f>SUMPRODUCT((E$14:E$26="O")*K$14:K$26)</f>
        <v/>
      </c>
      <c r="L29" s="144">
        <f>SUMPRODUCT((E$14:E$26="O")*L$14:L$26)</f>
        <v/>
      </c>
      <c r="M29" s="144">
        <f>SUMPRODUCT((E$14:E$26="O")*M$14:M$26)</f>
        <v/>
      </c>
      <c r="N29" s="144">
        <f>SUMPRODUCT((E$14:E$26="O")*N$14:N$26)</f>
        <v/>
      </c>
      <c r="O29" s="144">
        <f>SUMPRODUCT((E$14:E$26="O")*O$14:O$26)</f>
        <v/>
      </c>
      <c r="P29" s="144">
        <f>SUMPRODUCT((E$14:E$26="O")*P$14:P$26)</f>
        <v/>
      </c>
      <c r="Q29" s="144">
        <f>SUMPRODUCT((E$14:E$26="O")*Q$14:Q$26)</f>
        <v/>
      </c>
      <c r="R29" s="144">
        <f>SUMPRODUCT((E$14:E$26="O")*R$14:R$26)</f>
        <v/>
      </c>
      <c r="S29">
        <f>SUM(G29:R29)</f>
        <v/>
      </c>
    </row>
    <row r="30">
      <c r="B30" s="130" t="inlineStr">
        <is>
          <t>세트4 기후여건 A 합계</t>
        </is>
      </c>
      <c r="G30" s="144">
        <f>SUMPRODUCT((F$14:F$26="O")*G$14:G$26)</f>
        <v/>
      </c>
      <c r="H30" s="144">
        <f>SUMPRODUCT((F$14:F$26="O")*H$14:H$26)</f>
        <v/>
      </c>
      <c r="I30" s="144">
        <f>SUMPRODUCT((F$14:F$26="O")*I$14:I$26)</f>
        <v/>
      </c>
      <c r="J30" s="144">
        <f>SUMPRODUCT((F$14:F$26="O")*J$14:J$26)</f>
        <v/>
      </c>
      <c r="K30" s="144">
        <f>SUMPRODUCT((F$14:F$26="O")*K$14:K$26)</f>
        <v/>
      </c>
      <c r="L30" s="144">
        <f>SUMPRODUCT((F$14:F$26="O")*L$14:L$26)</f>
        <v/>
      </c>
      <c r="M30" s="144">
        <f>SUMPRODUCT((F$14:F$26="O")*M$14:M$26)</f>
        <v/>
      </c>
      <c r="N30" s="144">
        <f>SUMPRODUCT((F$14:F$26="O")*N$14:N$26)</f>
        <v/>
      </c>
      <c r="O30" s="144">
        <f>SUMPRODUCT((F$14:F$26="O")*O$14:O$26)</f>
        <v/>
      </c>
      <c r="P30" s="144">
        <f>SUMPRODUCT((F$14:F$26="O")*P$14:P$26)</f>
        <v/>
      </c>
      <c r="Q30" s="144">
        <f>SUMPRODUCT((F$14:F$26="O")*Q$14:Q$26)</f>
        <v/>
      </c>
      <c r="R30" s="144">
        <f>SUMPRODUCT((F$14:F$26="O")*R$14:R$26)</f>
        <v/>
      </c>
      <c r="S30">
        <f>SUM(G30:R30)</f>
        <v/>
      </c>
    </row>
    <row r="32">
      <c r="A32" s="130" t="inlineStr">
        <is>
          <t>공종 목록 분류 (선택 범위 좁히기)</t>
        </is>
      </c>
      <c r="B32" s="138" t="inlineStr">
        <is>
          <t>전체</t>
        </is>
      </c>
      <c r="C32" t="inlineStr">
        <is>
          <t>※ 분류를 고르면 아래 공종 칸의 목록이 그 분류의 공종만 보입니다.</t>
        </is>
      </c>
    </row>
    <row r="33">
      <c r="A33" s="130" t="inlineStr">
        <is>
          <t>▼ 공종별 작업량 입력 (주공정=Y인 공종만 공사기간에 합산, 위에서 아래 순서로 이어서 시공)</t>
        </is>
      </c>
      <c r="F33" t="inlineStr">
        <is>
          <t>※ 공종 삭제=칸 지우기, 추가=빈 줄에서 목록 선택. 1일 작업량·기상세트는 덮어써서 수정 가능.</t>
        </is>
      </c>
    </row>
    <row r="34">
      <c r="A34" s="133" t="inlineStr">
        <is>
          <t>공종 (목록 선택 또는 직접 입력)</t>
        </is>
      </c>
      <c r="B34" s="133" t="inlineStr">
        <is>
          <t>작업수량</t>
        </is>
      </c>
      <c r="C34" s="133" t="inlineStr">
        <is>
          <t>단위</t>
        </is>
      </c>
      <c r="D34" s="133" t="inlineStr">
        <is>
          <t>1일 작업량 (수정 가능)</t>
        </is>
      </c>
      <c r="E34" s="133" t="inlineStr">
        <is>
          <t>주공정(Y/N)</t>
        </is>
      </c>
      <c r="F34" s="133" t="inlineStr">
        <is>
          <t>기상조건 세트</t>
        </is>
      </c>
      <c r="G34" s="133" t="inlineStr">
        <is>
          <t>작업일수</t>
        </is>
      </c>
      <c r="H34" s="133" t="inlineStr">
        <is>
          <t>시작(경과일)</t>
        </is>
      </c>
      <c r="I34" s="133" t="inlineStr">
        <is>
          <t>종료(경과일)</t>
        </is>
      </c>
      <c r="J34" s="133" t="inlineStr">
        <is>
          <t>공종별 공사기간</t>
        </is>
      </c>
      <c r="K34" s="133" t="inlineStr">
        <is>
          <t>비작업일수</t>
        </is>
      </c>
      <c r="L34" s="133" t="inlineStr">
        <is>
          <t>부록4 원문 표기</t>
        </is>
      </c>
      <c r="M34" s="145" t="inlineStr">
        <is>
          <t>세트번호</t>
        </is>
      </c>
      <c r="N34" s="145" t="inlineStr">
        <is>
          <t>시작월 순번</t>
        </is>
      </c>
      <c r="O34" s="145" t="inlineStr">
        <is>
          <t>시작시 누적작업가능</t>
        </is>
      </c>
      <c r="P34" s="145" t="inlineStr">
        <is>
          <t>종료월 순번</t>
        </is>
      </c>
    </row>
    <row r="35">
      <c r="A35" s="138">
        <f>IFERROR(INDEX(공종프리셋!$A$2:$F$16,1,MATCH($B$9,공종프리셋!$A$1:$F$1,0))&amp;"","")</f>
        <v/>
      </c>
      <c r="B35" s="138" t="n"/>
      <c r="C35" s="138">
        <f>IFERROR(INDEX('1일작업량(토목)'!$B$2:$B$115,MATCH($A35,'1일작업량(토목)'!$A$2:$A$115,0)),"")</f>
        <v/>
      </c>
      <c r="D35" s="138">
        <f>IFERROR(INDEX('1일작업량(토목)'!$C$2:$C$115,MATCH($A35,'1일작업량(토목)'!$A$2:$A$115,0)),"")</f>
        <v/>
      </c>
      <c r="E35" s="138">
        <f>IF(A35="","","Y")</f>
        <v/>
      </c>
      <c r="F35" s="138">
        <f>IF(A35="","",IFERROR(INDEX('1일작업량(토목)'!$E$2:$E$115,MATCH($A35,'1일작업량(토목)'!$A$2:$A$115,0)),IF(ISNUMBER(SEARCH("포장",A35)),"세트3","세트1")))</f>
        <v/>
      </c>
      <c r="G35" s="139">
        <f>IF(AND(ISNUMBER(B35),ISNUMBER(D35),N(D35)&gt;0),ROUNDUP(ROUND(B35/D35,6),0),"")</f>
        <v/>
      </c>
      <c r="H35" s="139">
        <f>IF(G35="","",0)</f>
        <v/>
      </c>
      <c r="I35" s="139">
        <f>IF(G35="","",IF(E35&lt;&gt;"Y",H35,IF(P35="기간초과","기간초과",INDEX($F$63:$F$122,P35)+(O35+G35-INDEX(CHOOSE($M35,$K$63:$K$122,$P$63:$P$122,$U$63:$U$122,$Z$63:$Z$122),P35))*INDEX($D$63:$D$122,P35)/INDEX(CHOOSE($M35,$J$63:$J$122,$O$63:$O$122,$T$63:$T$122,$Y$63:$Y$122),P35))))</f>
        <v/>
      </c>
      <c r="J35" s="139">
        <f>IF(G35="","",IF(E35="Y",IF(ISNUMBER(I35),ROUND(I35-H35,1),"기간초과"),"-"))</f>
        <v/>
      </c>
      <c r="K35" s="139">
        <f>IF(ISNUMBER(J35),ROUND(J35-G35,1),"")</f>
        <v/>
      </c>
      <c r="L35" s="139">
        <f>IFERROR(INDEX('1일작업량(토목)'!$D$2:$D$115,MATCH($A35,'1일작업량(토목)'!$A$2:$A$115,0)),"")</f>
        <v/>
      </c>
      <c r="M35" s="146">
        <f>IF(G35="","",IFERROR(MATCH(F35,$C$13:$F$13,0),1))</f>
        <v/>
      </c>
      <c r="N35" s="146">
        <f>IF(G35="","",MATCH(H35,$F$63:$F$122,1))</f>
        <v/>
      </c>
      <c r="O35" s="146">
        <f>IF(G35="","",INDEX(CHOOSE($M35,$K$63:$K$122,$P$63:$P$122,$U$63:$U$122,$Z$63:$Z$122),N35)+(H35-INDEX($F$63:$F$122,N35))*INDEX(CHOOSE($M35,$J$63:$J$122,$O$63:$O$122,$T$63:$T$122,$Y$63:$Y$122),N35)/INDEX($D$63:$D$122,N35))</f>
        <v/>
      </c>
      <c r="P35" s="146">
        <f>IF(G35="","",IF(O35+G35&gt;INDEX(CHOOSE($M35,$K$63:$K$122,$P$63:$P$122,$U$63:$U$122,$Z$63:$Z$122),60)+INDEX(CHOOSE($M35,$J$63:$J$122,$O$63:$O$122,$T$63:$T$122,$Y$63:$Y$122),60),"기간초과",MATCH(O35+G35,CHOOSE($M35,$K$63:$K$122,$P$63:$P$122,$U$63:$U$122,$Z$63:$Z$122),1)))</f>
        <v/>
      </c>
    </row>
    <row r="36">
      <c r="A36" s="138">
        <f>IFERROR(INDEX(공종프리셋!$A$2:$F$16,2,MATCH($B$9,공종프리셋!$A$1:$F$1,0))&amp;"","")</f>
        <v/>
      </c>
      <c r="B36" s="138" t="n"/>
      <c r="C36" s="138">
        <f>IFERROR(INDEX('1일작업량(토목)'!$B$2:$B$115,MATCH($A36,'1일작업량(토목)'!$A$2:$A$115,0)),"")</f>
        <v/>
      </c>
      <c r="D36" s="138">
        <f>IFERROR(INDEX('1일작업량(토목)'!$C$2:$C$115,MATCH($A36,'1일작업량(토목)'!$A$2:$A$115,0)),"")</f>
        <v/>
      </c>
      <c r="E36" s="138">
        <f>IF(A36="","","Y")</f>
        <v/>
      </c>
      <c r="F36" s="138">
        <f>IF(A36="","",IFERROR(INDEX('1일작업량(토목)'!$E$2:$E$115,MATCH($A36,'1일작업량(토목)'!$A$2:$A$115,0)),IF(ISNUMBER(SEARCH("포장",A36)),"세트3","세트1")))</f>
        <v/>
      </c>
      <c r="G36" s="139">
        <f>IF(AND(ISNUMBER(B36),ISNUMBER(D36),N(D36)&gt;0),ROUNDUP(ROUND(B36/D36,6),0),"")</f>
        <v/>
      </c>
      <c r="H36" s="139">
        <f>IF(G36="","",MAX(0,MAX(I$35:I35)))</f>
        <v/>
      </c>
      <c r="I36" s="139">
        <f>IF(G36="","",IF(E36&lt;&gt;"Y",H36,IF(P36="기간초과","기간초과",INDEX($F$63:$F$122,P36)+(O36+G36-INDEX(CHOOSE($M36,$K$63:$K$122,$P$63:$P$122,$U$63:$U$122,$Z$63:$Z$122),P36))*INDEX($D$63:$D$122,P36)/INDEX(CHOOSE($M36,$J$63:$J$122,$O$63:$O$122,$T$63:$T$122,$Y$63:$Y$122),P36))))</f>
        <v/>
      </c>
      <c r="J36" s="139">
        <f>IF(G36="","",IF(E36="Y",IF(ISNUMBER(I36),ROUND(I36-H36,1),"기간초과"),"-"))</f>
        <v/>
      </c>
      <c r="K36" s="139">
        <f>IF(ISNUMBER(J36),ROUND(J36-G36,1),"")</f>
        <v/>
      </c>
      <c r="L36" s="139">
        <f>IFERROR(INDEX('1일작업량(토목)'!$D$2:$D$115,MATCH($A36,'1일작업량(토목)'!$A$2:$A$115,0)),"")</f>
        <v/>
      </c>
      <c r="M36" s="146">
        <f>IF(G36="","",IFERROR(MATCH(F36,$C$13:$F$13,0),1))</f>
        <v/>
      </c>
      <c r="N36" s="146">
        <f>IF(G36="","",MATCH(H36,$F$63:$F$122,1))</f>
        <v/>
      </c>
      <c r="O36" s="146">
        <f>IF(G36="","",INDEX(CHOOSE($M36,$K$63:$K$122,$P$63:$P$122,$U$63:$U$122,$Z$63:$Z$122),N36)+(H36-INDEX($F$63:$F$122,N36))*INDEX(CHOOSE($M36,$J$63:$J$122,$O$63:$O$122,$T$63:$T$122,$Y$63:$Y$122),N36)/INDEX($D$63:$D$122,N36))</f>
        <v/>
      </c>
      <c r="P36" s="146">
        <f>IF(G36="","",IF(O36+G36&gt;INDEX(CHOOSE($M36,$K$63:$K$122,$P$63:$P$122,$U$63:$U$122,$Z$63:$Z$122),60)+INDEX(CHOOSE($M36,$J$63:$J$122,$O$63:$O$122,$T$63:$T$122,$Y$63:$Y$122),60),"기간초과",MATCH(O36+G36,CHOOSE($M36,$K$63:$K$122,$P$63:$P$122,$U$63:$U$122,$Z$63:$Z$122),1)))</f>
        <v/>
      </c>
    </row>
    <row r="37">
      <c r="A37" s="138">
        <f>IFERROR(INDEX(공종프리셋!$A$2:$F$16,3,MATCH($B$9,공종프리셋!$A$1:$F$1,0))&amp;"","")</f>
        <v/>
      </c>
      <c r="B37" s="138" t="n"/>
      <c r="C37" s="138">
        <f>IFERROR(INDEX('1일작업량(토목)'!$B$2:$B$115,MATCH($A37,'1일작업량(토목)'!$A$2:$A$115,0)),"")</f>
        <v/>
      </c>
      <c r="D37" s="138">
        <f>IFERROR(INDEX('1일작업량(토목)'!$C$2:$C$115,MATCH($A37,'1일작업량(토목)'!$A$2:$A$115,0)),"")</f>
        <v/>
      </c>
      <c r="E37" s="138">
        <f>IF(A37="","","Y")</f>
        <v/>
      </c>
      <c r="F37" s="138">
        <f>IF(A37="","",IFERROR(INDEX('1일작업량(토목)'!$E$2:$E$115,MATCH($A37,'1일작업량(토목)'!$A$2:$A$115,0)),IF(ISNUMBER(SEARCH("포장",A37)),"세트3","세트1")))</f>
        <v/>
      </c>
      <c r="G37" s="139">
        <f>IF(AND(ISNUMBER(B37),ISNUMBER(D37),N(D37)&gt;0),ROUNDUP(ROUND(B37/D37,6),0),"")</f>
        <v/>
      </c>
      <c r="H37" s="139">
        <f>IF(G37="","",MAX(0,MAX(I$35:I36)))</f>
        <v/>
      </c>
      <c r="I37" s="139">
        <f>IF(G37="","",IF(E37&lt;&gt;"Y",H37,IF(P37="기간초과","기간초과",INDEX($F$63:$F$122,P37)+(O37+G37-INDEX(CHOOSE($M37,$K$63:$K$122,$P$63:$P$122,$U$63:$U$122,$Z$63:$Z$122),P37))*INDEX($D$63:$D$122,P37)/INDEX(CHOOSE($M37,$J$63:$J$122,$O$63:$O$122,$T$63:$T$122,$Y$63:$Y$122),P37))))</f>
        <v/>
      </c>
      <c r="J37" s="139">
        <f>IF(G37="","",IF(E37="Y",IF(ISNUMBER(I37),ROUND(I37-H37,1),"기간초과"),"-"))</f>
        <v/>
      </c>
      <c r="K37" s="139">
        <f>IF(ISNUMBER(J37),ROUND(J37-G37,1),"")</f>
        <v/>
      </c>
      <c r="L37" s="139">
        <f>IFERROR(INDEX('1일작업량(토목)'!$D$2:$D$115,MATCH($A37,'1일작업량(토목)'!$A$2:$A$115,0)),"")</f>
        <v/>
      </c>
      <c r="M37" s="146">
        <f>IF(G37="","",IFERROR(MATCH(F37,$C$13:$F$13,0),1))</f>
        <v/>
      </c>
      <c r="N37" s="146">
        <f>IF(G37="","",MATCH(H37,$F$63:$F$122,1))</f>
        <v/>
      </c>
      <c r="O37" s="146">
        <f>IF(G37="","",INDEX(CHOOSE($M37,$K$63:$K$122,$P$63:$P$122,$U$63:$U$122,$Z$63:$Z$122),N37)+(H37-INDEX($F$63:$F$122,N37))*INDEX(CHOOSE($M37,$J$63:$J$122,$O$63:$O$122,$T$63:$T$122,$Y$63:$Y$122),N37)/INDEX($D$63:$D$122,N37))</f>
        <v/>
      </c>
      <c r="P37" s="146">
        <f>IF(G37="","",IF(O37+G37&gt;INDEX(CHOOSE($M37,$K$63:$K$122,$P$63:$P$122,$U$63:$U$122,$Z$63:$Z$122),60)+INDEX(CHOOSE($M37,$J$63:$J$122,$O$63:$O$122,$T$63:$T$122,$Y$63:$Y$122),60),"기간초과",MATCH(O37+G37,CHOOSE($M37,$K$63:$K$122,$P$63:$P$122,$U$63:$U$122,$Z$63:$Z$122),1)))</f>
        <v/>
      </c>
    </row>
    <row r="38">
      <c r="A38" s="138">
        <f>IFERROR(INDEX(공종프리셋!$A$2:$F$16,4,MATCH($B$9,공종프리셋!$A$1:$F$1,0))&amp;"","")</f>
        <v/>
      </c>
      <c r="B38" s="138" t="n"/>
      <c r="C38" s="138">
        <f>IFERROR(INDEX('1일작업량(토목)'!$B$2:$B$115,MATCH($A38,'1일작업량(토목)'!$A$2:$A$115,0)),"")</f>
        <v/>
      </c>
      <c r="D38" s="138">
        <f>IFERROR(INDEX('1일작업량(토목)'!$C$2:$C$115,MATCH($A38,'1일작업량(토목)'!$A$2:$A$115,0)),"")</f>
        <v/>
      </c>
      <c r="E38" s="138">
        <f>IF(A38="","","Y")</f>
        <v/>
      </c>
      <c r="F38" s="138">
        <f>IF(A38="","",IFERROR(INDEX('1일작업량(토목)'!$E$2:$E$115,MATCH($A38,'1일작업량(토목)'!$A$2:$A$115,0)),IF(ISNUMBER(SEARCH("포장",A38)),"세트3","세트1")))</f>
        <v/>
      </c>
      <c r="G38" s="139">
        <f>IF(AND(ISNUMBER(B38),ISNUMBER(D38),N(D38)&gt;0),ROUNDUP(ROUND(B38/D38,6),0),"")</f>
        <v/>
      </c>
      <c r="H38" s="139">
        <f>IF(G38="","",MAX(0,MAX(I$35:I37)))</f>
        <v/>
      </c>
      <c r="I38" s="139">
        <f>IF(G38="","",IF(E38&lt;&gt;"Y",H38,IF(P38="기간초과","기간초과",INDEX($F$63:$F$122,P38)+(O38+G38-INDEX(CHOOSE($M38,$K$63:$K$122,$P$63:$P$122,$U$63:$U$122,$Z$63:$Z$122),P38))*INDEX($D$63:$D$122,P38)/INDEX(CHOOSE($M38,$J$63:$J$122,$O$63:$O$122,$T$63:$T$122,$Y$63:$Y$122),P38))))</f>
        <v/>
      </c>
      <c r="J38" s="139">
        <f>IF(G38="","",IF(E38="Y",IF(ISNUMBER(I38),ROUND(I38-H38,1),"기간초과"),"-"))</f>
        <v/>
      </c>
      <c r="K38" s="139">
        <f>IF(ISNUMBER(J38),ROUND(J38-G38,1),"")</f>
        <v/>
      </c>
      <c r="L38" s="139">
        <f>IFERROR(INDEX('1일작업량(토목)'!$D$2:$D$115,MATCH($A38,'1일작업량(토목)'!$A$2:$A$115,0)),"")</f>
        <v/>
      </c>
      <c r="M38" s="146">
        <f>IF(G38="","",IFERROR(MATCH(F38,$C$13:$F$13,0),1))</f>
        <v/>
      </c>
      <c r="N38" s="146">
        <f>IF(G38="","",MATCH(H38,$F$63:$F$122,1))</f>
        <v/>
      </c>
      <c r="O38" s="146">
        <f>IF(G38="","",INDEX(CHOOSE($M38,$K$63:$K$122,$P$63:$P$122,$U$63:$U$122,$Z$63:$Z$122),N38)+(H38-INDEX($F$63:$F$122,N38))*INDEX(CHOOSE($M38,$J$63:$J$122,$O$63:$O$122,$T$63:$T$122,$Y$63:$Y$122),N38)/INDEX($D$63:$D$122,N38))</f>
        <v/>
      </c>
      <c r="P38" s="146">
        <f>IF(G38="","",IF(O38+G38&gt;INDEX(CHOOSE($M38,$K$63:$K$122,$P$63:$P$122,$U$63:$U$122,$Z$63:$Z$122),60)+INDEX(CHOOSE($M38,$J$63:$J$122,$O$63:$O$122,$T$63:$T$122,$Y$63:$Y$122),60),"기간초과",MATCH(O38+G38,CHOOSE($M38,$K$63:$K$122,$P$63:$P$122,$U$63:$U$122,$Z$63:$Z$122),1)))</f>
        <v/>
      </c>
    </row>
    <row r="39">
      <c r="A39" s="138">
        <f>IFERROR(INDEX(공종프리셋!$A$2:$F$16,5,MATCH($B$9,공종프리셋!$A$1:$F$1,0))&amp;"","")</f>
        <v/>
      </c>
      <c r="B39" s="138" t="n"/>
      <c r="C39" s="138">
        <f>IFERROR(INDEX('1일작업량(토목)'!$B$2:$B$115,MATCH($A39,'1일작업량(토목)'!$A$2:$A$115,0)),"")</f>
        <v/>
      </c>
      <c r="D39" s="138">
        <f>IFERROR(INDEX('1일작업량(토목)'!$C$2:$C$115,MATCH($A39,'1일작업량(토목)'!$A$2:$A$115,0)),"")</f>
        <v/>
      </c>
      <c r="E39" s="138">
        <f>IF(A39="","","Y")</f>
        <v/>
      </c>
      <c r="F39" s="138">
        <f>IF(A39="","",IFERROR(INDEX('1일작업량(토목)'!$E$2:$E$115,MATCH($A39,'1일작업량(토목)'!$A$2:$A$115,0)),IF(ISNUMBER(SEARCH("포장",A39)),"세트3","세트1")))</f>
        <v/>
      </c>
      <c r="G39" s="139">
        <f>IF(AND(ISNUMBER(B39),ISNUMBER(D39),N(D39)&gt;0),ROUNDUP(ROUND(B39/D39,6),0),"")</f>
        <v/>
      </c>
      <c r="H39" s="139">
        <f>IF(G39="","",MAX(0,MAX(I$35:I38)))</f>
        <v/>
      </c>
      <c r="I39" s="139">
        <f>IF(G39="","",IF(E39&lt;&gt;"Y",H39,IF(P39="기간초과","기간초과",INDEX($F$63:$F$122,P39)+(O39+G39-INDEX(CHOOSE($M39,$K$63:$K$122,$P$63:$P$122,$U$63:$U$122,$Z$63:$Z$122),P39))*INDEX($D$63:$D$122,P39)/INDEX(CHOOSE($M39,$J$63:$J$122,$O$63:$O$122,$T$63:$T$122,$Y$63:$Y$122),P39))))</f>
        <v/>
      </c>
      <c r="J39" s="139">
        <f>IF(G39="","",IF(E39="Y",IF(ISNUMBER(I39),ROUND(I39-H39,1),"기간초과"),"-"))</f>
        <v/>
      </c>
      <c r="K39" s="139">
        <f>IF(ISNUMBER(J39),ROUND(J39-G39,1),"")</f>
        <v/>
      </c>
      <c r="L39" s="139">
        <f>IFERROR(INDEX('1일작업량(토목)'!$D$2:$D$115,MATCH($A39,'1일작업량(토목)'!$A$2:$A$115,0)),"")</f>
        <v/>
      </c>
      <c r="M39" s="146">
        <f>IF(G39="","",IFERROR(MATCH(F39,$C$13:$F$13,0),1))</f>
        <v/>
      </c>
      <c r="N39" s="146">
        <f>IF(G39="","",MATCH(H39,$F$63:$F$122,1))</f>
        <v/>
      </c>
      <c r="O39" s="146">
        <f>IF(G39="","",INDEX(CHOOSE($M39,$K$63:$K$122,$P$63:$P$122,$U$63:$U$122,$Z$63:$Z$122),N39)+(H39-INDEX($F$63:$F$122,N39))*INDEX(CHOOSE($M39,$J$63:$J$122,$O$63:$O$122,$T$63:$T$122,$Y$63:$Y$122),N39)/INDEX($D$63:$D$122,N39))</f>
        <v/>
      </c>
      <c r="P39" s="146">
        <f>IF(G39="","",IF(O39+G39&gt;INDEX(CHOOSE($M39,$K$63:$K$122,$P$63:$P$122,$U$63:$U$122,$Z$63:$Z$122),60)+INDEX(CHOOSE($M39,$J$63:$J$122,$O$63:$O$122,$T$63:$T$122,$Y$63:$Y$122),60),"기간초과",MATCH(O39+G39,CHOOSE($M39,$K$63:$K$122,$P$63:$P$122,$U$63:$U$122,$Z$63:$Z$122),1)))</f>
        <v/>
      </c>
    </row>
    <row r="40">
      <c r="A40" s="138">
        <f>IFERROR(INDEX(공종프리셋!$A$2:$F$16,6,MATCH($B$9,공종프리셋!$A$1:$F$1,0))&amp;"","")</f>
        <v/>
      </c>
      <c r="B40" s="138" t="n"/>
      <c r="C40" s="138">
        <f>IFERROR(INDEX('1일작업량(토목)'!$B$2:$B$115,MATCH($A40,'1일작업량(토목)'!$A$2:$A$115,0)),"")</f>
        <v/>
      </c>
      <c r="D40" s="138">
        <f>IFERROR(INDEX('1일작업량(토목)'!$C$2:$C$115,MATCH($A40,'1일작업량(토목)'!$A$2:$A$115,0)),"")</f>
        <v/>
      </c>
      <c r="E40" s="138">
        <f>IF(A40="","","Y")</f>
        <v/>
      </c>
      <c r="F40" s="138">
        <f>IF(A40="","",IFERROR(INDEX('1일작업량(토목)'!$E$2:$E$115,MATCH($A40,'1일작업량(토목)'!$A$2:$A$115,0)),IF(ISNUMBER(SEARCH("포장",A40)),"세트3","세트1")))</f>
        <v/>
      </c>
      <c r="G40" s="139">
        <f>IF(AND(ISNUMBER(B40),ISNUMBER(D40),N(D40)&gt;0),ROUNDUP(ROUND(B40/D40,6),0),"")</f>
        <v/>
      </c>
      <c r="H40" s="139">
        <f>IF(G40="","",MAX(0,MAX(I$35:I39)))</f>
        <v/>
      </c>
      <c r="I40" s="139">
        <f>IF(G40="","",IF(E40&lt;&gt;"Y",H40,IF(P40="기간초과","기간초과",INDEX($F$63:$F$122,P40)+(O40+G40-INDEX(CHOOSE($M40,$K$63:$K$122,$P$63:$P$122,$U$63:$U$122,$Z$63:$Z$122),P40))*INDEX($D$63:$D$122,P40)/INDEX(CHOOSE($M40,$J$63:$J$122,$O$63:$O$122,$T$63:$T$122,$Y$63:$Y$122),P40))))</f>
        <v/>
      </c>
      <c r="J40" s="139">
        <f>IF(G40="","",IF(E40="Y",IF(ISNUMBER(I40),ROUND(I40-H40,1),"기간초과"),"-"))</f>
        <v/>
      </c>
      <c r="K40" s="139">
        <f>IF(ISNUMBER(J40),ROUND(J40-G40,1),"")</f>
        <v/>
      </c>
      <c r="L40" s="139">
        <f>IFERROR(INDEX('1일작업량(토목)'!$D$2:$D$115,MATCH($A40,'1일작업량(토목)'!$A$2:$A$115,0)),"")</f>
        <v/>
      </c>
      <c r="M40" s="146">
        <f>IF(G40="","",IFERROR(MATCH(F40,$C$13:$F$13,0),1))</f>
        <v/>
      </c>
      <c r="N40" s="146">
        <f>IF(G40="","",MATCH(H40,$F$63:$F$122,1))</f>
        <v/>
      </c>
      <c r="O40" s="146">
        <f>IF(G40="","",INDEX(CHOOSE($M40,$K$63:$K$122,$P$63:$P$122,$U$63:$U$122,$Z$63:$Z$122),N40)+(H40-INDEX($F$63:$F$122,N40))*INDEX(CHOOSE($M40,$J$63:$J$122,$O$63:$O$122,$T$63:$T$122,$Y$63:$Y$122),N40)/INDEX($D$63:$D$122,N40))</f>
        <v/>
      </c>
      <c r="P40" s="146">
        <f>IF(G40="","",IF(O40+G40&gt;INDEX(CHOOSE($M40,$K$63:$K$122,$P$63:$P$122,$U$63:$U$122,$Z$63:$Z$122),60)+INDEX(CHOOSE($M40,$J$63:$J$122,$O$63:$O$122,$T$63:$T$122,$Y$63:$Y$122),60),"기간초과",MATCH(O40+G40,CHOOSE($M40,$K$63:$K$122,$P$63:$P$122,$U$63:$U$122,$Z$63:$Z$122),1)))</f>
        <v/>
      </c>
    </row>
    <row r="41">
      <c r="A41" s="138">
        <f>IFERROR(INDEX(공종프리셋!$A$2:$F$16,7,MATCH($B$9,공종프리셋!$A$1:$F$1,0))&amp;"","")</f>
        <v/>
      </c>
      <c r="B41" s="138" t="n"/>
      <c r="C41" s="138">
        <f>IFERROR(INDEX('1일작업량(토목)'!$B$2:$B$115,MATCH($A41,'1일작업량(토목)'!$A$2:$A$115,0)),"")</f>
        <v/>
      </c>
      <c r="D41" s="138">
        <f>IFERROR(INDEX('1일작업량(토목)'!$C$2:$C$115,MATCH($A41,'1일작업량(토목)'!$A$2:$A$115,0)),"")</f>
        <v/>
      </c>
      <c r="E41" s="138">
        <f>IF(A41="","","Y")</f>
        <v/>
      </c>
      <c r="F41" s="138">
        <f>IF(A41="","",IFERROR(INDEX('1일작업량(토목)'!$E$2:$E$115,MATCH($A41,'1일작업량(토목)'!$A$2:$A$115,0)),IF(ISNUMBER(SEARCH("포장",A41)),"세트3","세트1")))</f>
        <v/>
      </c>
      <c r="G41" s="139">
        <f>IF(AND(ISNUMBER(B41),ISNUMBER(D41),N(D41)&gt;0),ROUNDUP(ROUND(B41/D41,6),0),"")</f>
        <v/>
      </c>
      <c r="H41" s="139">
        <f>IF(G41="","",MAX(0,MAX(I$35:I40)))</f>
        <v/>
      </c>
      <c r="I41" s="139">
        <f>IF(G41="","",IF(E41&lt;&gt;"Y",H41,IF(P41="기간초과","기간초과",INDEX($F$63:$F$122,P41)+(O41+G41-INDEX(CHOOSE($M41,$K$63:$K$122,$P$63:$P$122,$U$63:$U$122,$Z$63:$Z$122),P41))*INDEX($D$63:$D$122,P41)/INDEX(CHOOSE($M41,$J$63:$J$122,$O$63:$O$122,$T$63:$T$122,$Y$63:$Y$122),P41))))</f>
        <v/>
      </c>
      <c r="J41" s="139">
        <f>IF(G41="","",IF(E41="Y",IF(ISNUMBER(I41),ROUND(I41-H41,1),"기간초과"),"-"))</f>
        <v/>
      </c>
      <c r="K41" s="139">
        <f>IF(ISNUMBER(J41),ROUND(J41-G41,1),"")</f>
        <v/>
      </c>
      <c r="L41" s="139">
        <f>IFERROR(INDEX('1일작업량(토목)'!$D$2:$D$115,MATCH($A41,'1일작업량(토목)'!$A$2:$A$115,0)),"")</f>
        <v/>
      </c>
      <c r="M41" s="146">
        <f>IF(G41="","",IFERROR(MATCH(F41,$C$13:$F$13,0),1))</f>
        <v/>
      </c>
      <c r="N41" s="146">
        <f>IF(G41="","",MATCH(H41,$F$63:$F$122,1))</f>
        <v/>
      </c>
      <c r="O41" s="146">
        <f>IF(G41="","",INDEX(CHOOSE($M41,$K$63:$K$122,$P$63:$P$122,$U$63:$U$122,$Z$63:$Z$122),N41)+(H41-INDEX($F$63:$F$122,N41))*INDEX(CHOOSE($M41,$J$63:$J$122,$O$63:$O$122,$T$63:$T$122,$Y$63:$Y$122),N41)/INDEX($D$63:$D$122,N41))</f>
        <v/>
      </c>
      <c r="P41" s="146">
        <f>IF(G41="","",IF(O41+G41&gt;INDEX(CHOOSE($M41,$K$63:$K$122,$P$63:$P$122,$U$63:$U$122,$Z$63:$Z$122),60)+INDEX(CHOOSE($M41,$J$63:$J$122,$O$63:$O$122,$T$63:$T$122,$Y$63:$Y$122),60),"기간초과",MATCH(O41+G41,CHOOSE($M41,$K$63:$K$122,$P$63:$P$122,$U$63:$U$122,$Z$63:$Z$122),1)))</f>
        <v/>
      </c>
    </row>
    <row r="42">
      <c r="A42" s="138">
        <f>IFERROR(INDEX(공종프리셋!$A$2:$F$16,8,MATCH($B$9,공종프리셋!$A$1:$F$1,0))&amp;"","")</f>
        <v/>
      </c>
      <c r="B42" s="138" t="n"/>
      <c r="C42" s="138">
        <f>IFERROR(INDEX('1일작업량(토목)'!$B$2:$B$115,MATCH($A42,'1일작업량(토목)'!$A$2:$A$115,0)),"")</f>
        <v/>
      </c>
      <c r="D42" s="138">
        <f>IFERROR(INDEX('1일작업량(토목)'!$C$2:$C$115,MATCH($A42,'1일작업량(토목)'!$A$2:$A$115,0)),"")</f>
        <v/>
      </c>
      <c r="E42" s="138">
        <f>IF(A42="","","Y")</f>
        <v/>
      </c>
      <c r="F42" s="138">
        <f>IF(A42="","",IFERROR(INDEX('1일작업량(토목)'!$E$2:$E$115,MATCH($A42,'1일작업량(토목)'!$A$2:$A$115,0)),IF(ISNUMBER(SEARCH("포장",A42)),"세트3","세트1")))</f>
        <v/>
      </c>
      <c r="G42" s="139">
        <f>IF(AND(ISNUMBER(B42),ISNUMBER(D42),N(D42)&gt;0),ROUNDUP(ROUND(B42/D42,6),0),"")</f>
        <v/>
      </c>
      <c r="H42" s="139">
        <f>IF(G42="","",MAX(0,MAX(I$35:I41)))</f>
        <v/>
      </c>
      <c r="I42" s="139">
        <f>IF(G42="","",IF(E42&lt;&gt;"Y",H42,IF(P42="기간초과","기간초과",INDEX($F$63:$F$122,P42)+(O42+G42-INDEX(CHOOSE($M42,$K$63:$K$122,$P$63:$P$122,$U$63:$U$122,$Z$63:$Z$122),P42))*INDEX($D$63:$D$122,P42)/INDEX(CHOOSE($M42,$J$63:$J$122,$O$63:$O$122,$T$63:$T$122,$Y$63:$Y$122),P42))))</f>
        <v/>
      </c>
      <c r="J42" s="139">
        <f>IF(G42="","",IF(E42="Y",IF(ISNUMBER(I42),ROUND(I42-H42,1),"기간초과"),"-"))</f>
        <v/>
      </c>
      <c r="K42" s="139">
        <f>IF(ISNUMBER(J42),ROUND(J42-G42,1),"")</f>
        <v/>
      </c>
      <c r="L42" s="139">
        <f>IFERROR(INDEX('1일작업량(토목)'!$D$2:$D$115,MATCH($A42,'1일작업량(토목)'!$A$2:$A$115,0)),"")</f>
        <v/>
      </c>
      <c r="M42" s="146">
        <f>IF(G42="","",IFERROR(MATCH(F42,$C$13:$F$13,0),1))</f>
        <v/>
      </c>
      <c r="N42" s="146">
        <f>IF(G42="","",MATCH(H42,$F$63:$F$122,1))</f>
        <v/>
      </c>
      <c r="O42" s="146">
        <f>IF(G42="","",INDEX(CHOOSE($M42,$K$63:$K$122,$P$63:$P$122,$U$63:$U$122,$Z$63:$Z$122),N42)+(H42-INDEX($F$63:$F$122,N42))*INDEX(CHOOSE($M42,$J$63:$J$122,$O$63:$O$122,$T$63:$T$122,$Y$63:$Y$122),N42)/INDEX($D$63:$D$122,N42))</f>
        <v/>
      </c>
      <c r="P42" s="146">
        <f>IF(G42="","",IF(O42+G42&gt;INDEX(CHOOSE($M42,$K$63:$K$122,$P$63:$P$122,$U$63:$U$122,$Z$63:$Z$122),60)+INDEX(CHOOSE($M42,$J$63:$J$122,$O$63:$O$122,$T$63:$T$122,$Y$63:$Y$122),60),"기간초과",MATCH(O42+G42,CHOOSE($M42,$K$63:$K$122,$P$63:$P$122,$U$63:$U$122,$Z$63:$Z$122),1)))</f>
        <v/>
      </c>
    </row>
    <row r="43">
      <c r="A43" s="138">
        <f>IFERROR(INDEX(공종프리셋!$A$2:$F$16,9,MATCH($B$9,공종프리셋!$A$1:$F$1,0))&amp;"","")</f>
        <v/>
      </c>
      <c r="B43" s="138" t="n"/>
      <c r="C43" s="138">
        <f>IFERROR(INDEX('1일작업량(토목)'!$B$2:$B$115,MATCH($A43,'1일작업량(토목)'!$A$2:$A$115,0)),"")</f>
        <v/>
      </c>
      <c r="D43" s="138">
        <f>IFERROR(INDEX('1일작업량(토목)'!$C$2:$C$115,MATCH($A43,'1일작업량(토목)'!$A$2:$A$115,0)),"")</f>
        <v/>
      </c>
      <c r="E43" s="138">
        <f>IF(A43="","","Y")</f>
        <v/>
      </c>
      <c r="F43" s="138">
        <f>IF(A43="","",IFERROR(INDEX('1일작업량(토목)'!$E$2:$E$115,MATCH($A43,'1일작업량(토목)'!$A$2:$A$115,0)),IF(ISNUMBER(SEARCH("포장",A43)),"세트3","세트1")))</f>
        <v/>
      </c>
      <c r="G43" s="139">
        <f>IF(AND(ISNUMBER(B43),ISNUMBER(D43),N(D43)&gt;0),ROUNDUP(ROUND(B43/D43,6),0),"")</f>
        <v/>
      </c>
      <c r="H43" s="139">
        <f>IF(G43="","",MAX(0,MAX(I$35:I42)))</f>
        <v/>
      </c>
      <c r="I43" s="139">
        <f>IF(G43="","",IF(E43&lt;&gt;"Y",H43,IF(P43="기간초과","기간초과",INDEX($F$63:$F$122,P43)+(O43+G43-INDEX(CHOOSE($M43,$K$63:$K$122,$P$63:$P$122,$U$63:$U$122,$Z$63:$Z$122),P43))*INDEX($D$63:$D$122,P43)/INDEX(CHOOSE($M43,$J$63:$J$122,$O$63:$O$122,$T$63:$T$122,$Y$63:$Y$122),P43))))</f>
        <v/>
      </c>
      <c r="J43" s="139">
        <f>IF(G43="","",IF(E43="Y",IF(ISNUMBER(I43),ROUND(I43-H43,1),"기간초과"),"-"))</f>
        <v/>
      </c>
      <c r="K43" s="139">
        <f>IF(ISNUMBER(J43),ROUND(J43-G43,1),"")</f>
        <v/>
      </c>
      <c r="L43" s="139">
        <f>IFERROR(INDEX('1일작업량(토목)'!$D$2:$D$115,MATCH($A43,'1일작업량(토목)'!$A$2:$A$115,0)),"")</f>
        <v/>
      </c>
      <c r="M43" s="146">
        <f>IF(G43="","",IFERROR(MATCH(F43,$C$13:$F$13,0),1))</f>
        <v/>
      </c>
      <c r="N43" s="146">
        <f>IF(G43="","",MATCH(H43,$F$63:$F$122,1))</f>
        <v/>
      </c>
      <c r="O43" s="146">
        <f>IF(G43="","",INDEX(CHOOSE($M43,$K$63:$K$122,$P$63:$P$122,$U$63:$U$122,$Z$63:$Z$122),N43)+(H43-INDEX($F$63:$F$122,N43))*INDEX(CHOOSE($M43,$J$63:$J$122,$O$63:$O$122,$T$63:$T$122,$Y$63:$Y$122),N43)/INDEX($D$63:$D$122,N43))</f>
        <v/>
      </c>
      <c r="P43" s="146">
        <f>IF(G43="","",IF(O43+G43&gt;INDEX(CHOOSE($M43,$K$63:$K$122,$P$63:$P$122,$U$63:$U$122,$Z$63:$Z$122),60)+INDEX(CHOOSE($M43,$J$63:$J$122,$O$63:$O$122,$T$63:$T$122,$Y$63:$Y$122),60),"기간초과",MATCH(O43+G43,CHOOSE($M43,$K$63:$K$122,$P$63:$P$122,$U$63:$U$122,$Z$63:$Z$122),1)))</f>
        <v/>
      </c>
    </row>
    <row r="44">
      <c r="A44" s="138">
        <f>IFERROR(INDEX(공종프리셋!$A$2:$F$16,10,MATCH($B$9,공종프리셋!$A$1:$F$1,0))&amp;"","")</f>
        <v/>
      </c>
      <c r="B44" s="138" t="n"/>
      <c r="C44" s="138">
        <f>IFERROR(INDEX('1일작업량(토목)'!$B$2:$B$115,MATCH($A44,'1일작업량(토목)'!$A$2:$A$115,0)),"")</f>
        <v/>
      </c>
      <c r="D44" s="138">
        <f>IFERROR(INDEX('1일작업량(토목)'!$C$2:$C$115,MATCH($A44,'1일작업량(토목)'!$A$2:$A$115,0)),"")</f>
        <v/>
      </c>
      <c r="E44" s="138">
        <f>IF(A44="","","Y")</f>
        <v/>
      </c>
      <c r="F44" s="138">
        <f>IF(A44="","",IFERROR(INDEX('1일작업량(토목)'!$E$2:$E$115,MATCH($A44,'1일작업량(토목)'!$A$2:$A$115,0)),IF(ISNUMBER(SEARCH("포장",A44)),"세트3","세트1")))</f>
        <v/>
      </c>
      <c r="G44" s="139">
        <f>IF(AND(ISNUMBER(B44),ISNUMBER(D44),N(D44)&gt;0),ROUNDUP(ROUND(B44/D44,6),0),"")</f>
        <v/>
      </c>
      <c r="H44" s="139">
        <f>IF(G44="","",MAX(0,MAX(I$35:I43)))</f>
        <v/>
      </c>
      <c r="I44" s="139">
        <f>IF(G44="","",IF(E44&lt;&gt;"Y",H44,IF(P44="기간초과","기간초과",INDEX($F$63:$F$122,P44)+(O44+G44-INDEX(CHOOSE($M44,$K$63:$K$122,$P$63:$P$122,$U$63:$U$122,$Z$63:$Z$122),P44))*INDEX($D$63:$D$122,P44)/INDEX(CHOOSE($M44,$J$63:$J$122,$O$63:$O$122,$T$63:$T$122,$Y$63:$Y$122),P44))))</f>
        <v/>
      </c>
      <c r="J44" s="139">
        <f>IF(G44="","",IF(E44="Y",IF(ISNUMBER(I44),ROUND(I44-H44,1),"기간초과"),"-"))</f>
        <v/>
      </c>
      <c r="K44" s="139">
        <f>IF(ISNUMBER(J44),ROUND(J44-G44,1),"")</f>
        <v/>
      </c>
      <c r="L44" s="139">
        <f>IFERROR(INDEX('1일작업량(토목)'!$D$2:$D$115,MATCH($A44,'1일작업량(토목)'!$A$2:$A$115,0)),"")</f>
        <v/>
      </c>
      <c r="M44" s="146">
        <f>IF(G44="","",IFERROR(MATCH(F44,$C$13:$F$13,0),1))</f>
        <v/>
      </c>
      <c r="N44" s="146">
        <f>IF(G44="","",MATCH(H44,$F$63:$F$122,1))</f>
        <v/>
      </c>
      <c r="O44" s="146">
        <f>IF(G44="","",INDEX(CHOOSE($M44,$K$63:$K$122,$P$63:$P$122,$U$63:$U$122,$Z$63:$Z$122),N44)+(H44-INDEX($F$63:$F$122,N44))*INDEX(CHOOSE($M44,$J$63:$J$122,$O$63:$O$122,$T$63:$T$122,$Y$63:$Y$122),N44)/INDEX($D$63:$D$122,N44))</f>
        <v/>
      </c>
      <c r="P44" s="146">
        <f>IF(G44="","",IF(O44+G44&gt;INDEX(CHOOSE($M44,$K$63:$K$122,$P$63:$P$122,$U$63:$U$122,$Z$63:$Z$122),60)+INDEX(CHOOSE($M44,$J$63:$J$122,$O$63:$O$122,$T$63:$T$122,$Y$63:$Y$122),60),"기간초과",MATCH(O44+G44,CHOOSE($M44,$K$63:$K$122,$P$63:$P$122,$U$63:$U$122,$Z$63:$Z$122),1)))</f>
        <v/>
      </c>
    </row>
    <row r="45">
      <c r="A45" s="138">
        <f>IFERROR(INDEX(공종프리셋!$A$2:$F$16,11,MATCH($B$9,공종프리셋!$A$1:$F$1,0))&amp;"","")</f>
        <v/>
      </c>
      <c r="B45" s="138" t="n"/>
      <c r="C45" s="138">
        <f>IFERROR(INDEX('1일작업량(토목)'!$B$2:$B$115,MATCH($A45,'1일작업량(토목)'!$A$2:$A$115,0)),"")</f>
        <v/>
      </c>
      <c r="D45" s="138">
        <f>IFERROR(INDEX('1일작업량(토목)'!$C$2:$C$115,MATCH($A45,'1일작업량(토목)'!$A$2:$A$115,0)),"")</f>
        <v/>
      </c>
      <c r="E45" s="138">
        <f>IF(A45="","","Y")</f>
        <v/>
      </c>
      <c r="F45" s="138">
        <f>IF(A45="","",IFERROR(INDEX('1일작업량(토목)'!$E$2:$E$115,MATCH($A45,'1일작업량(토목)'!$A$2:$A$115,0)),IF(ISNUMBER(SEARCH("포장",A45)),"세트3","세트1")))</f>
        <v/>
      </c>
      <c r="G45" s="139">
        <f>IF(AND(ISNUMBER(B45),ISNUMBER(D45),N(D45)&gt;0),ROUNDUP(ROUND(B45/D45,6),0),"")</f>
        <v/>
      </c>
      <c r="H45" s="139">
        <f>IF(G45="","",MAX(0,MAX(I$35:I44)))</f>
        <v/>
      </c>
      <c r="I45" s="139">
        <f>IF(G45="","",IF(E45&lt;&gt;"Y",H45,IF(P45="기간초과","기간초과",INDEX($F$63:$F$122,P45)+(O45+G45-INDEX(CHOOSE($M45,$K$63:$K$122,$P$63:$P$122,$U$63:$U$122,$Z$63:$Z$122),P45))*INDEX($D$63:$D$122,P45)/INDEX(CHOOSE($M45,$J$63:$J$122,$O$63:$O$122,$T$63:$T$122,$Y$63:$Y$122),P45))))</f>
        <v/>
      </c>
      <c r="J45" s="139">
        <f>IF(G45="","",IF(E45="Y",IF(ISNUMBER(I45),ROUND(I45-H45,1),"기간초과"),"-"))</f>
        <v/>
      </c>
      <c r="K45" s="139">
        <f>IF(ISNUMBER(J45),ROUND(J45-G45,1),"")</f>
        <v/>
      </c>
      <c r="L45" s="139">
        <f>IFERROR(INDEX('1일작업량(토목)'!$D$2:$D$115,MATCH($A45,'1일작업량(토목)'!$A$2:$A$115,0)),"")</f>
        <v/>
      </c>
      <c r="M45" s="146">
        <f>IF(G45="","",IFERROR(MATCH(F45,$C$13:$F$13,0),1))</f>
        <v/>
      </c>
      <c r="N45" s="146">
        <f>IF(G45="","",MATCH(H45,$F$63:$F$122,1))</f>
        <v/>
      </c>
      <c r="O45" s="146">
        <f>IF(G45="","",INDEX(CHOOSE($M45,$K$63:$K$122,$P$63:$P$122,$U$63:$U$122,$Z$63:$Z$122),N45)+(H45-INDEX($F$63:$F$122,N45))*INDEX(CHOOSE($M45,$J$63:$J$122,$O$63:$O$122,$T$63:$T$122,$Y$63:$Y$122),N45)/INDEX($D$63:$D$122,N45))</f>
        <v/>
      </c>
      <c r="P45" s="146">
        <f>IF(G45="","",IF(O45+G45&gt;INDEX(CHOOSE($M45,$K$63:$K$122,$P$63:$P$122,$U$63:$U$122,$Z$63:$Z$122),60)+INDEX(CHOOSE($M45,$J$63:$J$122,$O$63:$O$122,$T$63:$T$122,$Y$63:$Y$122),60),"기간초과",MATCH(O45+G45,CHOOSE($M45,$K$63:$K$122,$P$63:$P$122,$U$63:$U$122,$Z$63:$Z$122),1)))</f>
        <v/>
      </c>
    </row>
    <row r="46">
      <c r="A46" s="138">
        <f>IFERROR(INDEX(공종프리셋!$A$2:$F$16,12,MATCH($B$9,공종프리셋!$A$1:$F$1,0))&amp;"","")</f>
        <v/>
      </c>
      <c r="B46" s="138" t="n"/>
      <c r="C46" s="138">
        <f>IFERROR(INDEX('1일작업량(토목)'!$B$2:$B$115,MATCH($A46,'1일작업량(토목)'!$A$2:$A$115,0)),"")</f>
        <v/>
      </c>
      <c r="D46" s="138">
        <f>IFERROR(INDEX('1일작업량(토목)'!$C$2:$C$115,MATCH($A46,'1일작업량(토목)'!$A$2:$A$115,0)),"")</f>
        <v/>
      </c>
      <c r="E46" s="138">
        <f>IF(A46="","","Y")</f>
        <v/>
      </c>
      <c r="F46" s="138">
        <f>IF(A46="","",IFERROR(INDEX('1일작업량(토목)'!$E$2:$E$115,MATCH($A46,'1일작업량(토목)'!$A$2:$A$115,0)),IF(ISNUMBER(SEARCH("포장",A46)),"세트3","세트1")))</f>
        <v/>
      </c>
      <c r="G46" s="139">
        <f>IF(AND(ISNUMBER(B46),ISNUMBER(D46),N(D46)&gt;0),ROUNDUP(ROUND(B46/D46,6),0),"")</f>
        <v/>
      </c>
      <c r="H46" s="139">
        <f>IF(G46="","",MAX(0,MAX(I$35:I45)))</f>
        <v/>
      </c>
      <c r="I46" s="139">
        <f>IF(G46="","",IF(E46&lt;&gt;"Y",H46,IF(P46="기간초과","기간초과",INDEX($F$63:$F$122,P46)+(O46+G46-INDEX(CHOOSE($M46,$K$63:$K$122,$P$63:$P$122,$U$63:$U$122,$Z$63:$Z$122),P46))*INDEX($D$63:$D$122,P46)/INDEX(CHOOSE($M46,$J$63:$J$122,$O$63:$O$122,$T$63:$T$122,$Y$63:$Y$122),P46))))</f>
        <v/>
      </c>
      <c r="J46" s="139">
        <f>IF(G46="","",IF(E46="Y",IF(ISNUMBER(I46),ROUND(I46-H46,1),"기간초과"),"-"))</f>
        <v/>
      </c>
      <c r="K46" s="139">
        <f>IF(ISNUMBER(J46),ROUND(J46-G46,1),"")</f>
        <v/>
      </c>
      <c r="L46" s="139">
        <f>IFERROR(INDEX('1일작업량(토목)'!$D$2:$D$115,MATCH($A46,'1일작업량(토목)'!$A$2:$A$115,0)),"")</f>
        <v/>
      </c>
      <c r="M46" s="146">
        <f>IF(G46="","",IFERROR(MATCH(F46,$C$13:$F$13,0),1))</f>
        <v/>
      </c>
      <c r="N46" s="146">
        <f>IF(G46="","",MATCH(H46,$F$63:$F$122,1))</f>
        <v/>
      </c>
      <c r="O46" s="146">
        <f>IF(G46="","",INDEX(CHOOSE($M46,$K$63:$K$122,$P$63:$P$122,$U$63:$U$122,$Z$63:$Z$122),N46)+(H46-INDEX($F$63:$F$122,N46))*INDEX(CHOOSE($M46,$J$63:$J$122,$O$63:$O$122,$T$63:$T$122,$Y$63:$Y$122),N46)/INDEX($D$63:$D$122,N46))</f>
        <v/>
      </c>
      <c r="P46" s="146">
        <f>IF(G46="","",IF(O46+G46&gt;INDEX(CHOOSE($M46,$K$63:$K$122,$P$63:$P$122,$U$63:$U$122,$Z$63:$Z$122),60)+INDEX(CHOOSE($M46,$J$63:$J$122,$O$63:$O$122,$T$63:$T$122,$Y$63:$Y$122),60),"기간초과",MATCH(O46+G46,CHOOSE($M46,$K$63:$K$122,$P$63:$P$122,$U$63:$U$122,$Z$63:$Z$122),1)))</f>
        <v/>
      </c>
    </row>
    <row r="47">
      <c r="A47" s="138">
        <f>IFERROR(INDEX(공종프리셋!$A$2:$F$16,13,MATCH($B$9,공종프리셋!$A$1:$F$1,0))&amp;"","")</f>
        <v/>
      </c>
      <c r="B47" s="138" t="n"/>
      <c r="C47" s="138">
        <f>IFERROR(INDEX('1일작업량(토목)'!$B$2:$B$115,MATCH($A47,'1일작업량(토목)'!$A$2:$A$115,0)),"")</f>
        <v/>
      </c>
      <c r="D47" s="138">
        <f>IFERROR(INDEX('1일작업량(토목)'!$C$2:$C$115,MATCH($A47,'1일작업량(토목)'!$A$2:$A$115,0)),"")</f>
        <v/>
      </c>
      <c r="E47" s="138">
        <f>IF(A47="","","Y")</f>
        <v/>
      </c>
      <c r="F47" s="138">
        <f>IF(A47="","",IFERROR(INDEX('1일작업량(토목)'!$E$2:$E$115,MATCH($A47,'1일작업량(토목)'!$A$2:$A$115,0)),IF(ISNUMBER(SEARCH("포장",A47)),"세트3","세트1")))</f>
        <v/>
      </c>
      <c r="G47" s="139">
        <f>IF(AND(ISNUMBER(B47),ISNUMBER(D47),N(D47)&gt;0),ROUNDUP(ROUND(B47/D47,6),0),"")</f>
        <v/>
      </c>
      <c r="H47" s="139">
        <f>IF(G47="","",MAX(0,MAX(I$35:I46)))</f>
        <v/>
      </c>
      <c r="I47" s="139">
        <f>IF(G47="","",IF(E47&lt;&gt;"Y",H47,IF(P47="기간초과","기간초과",INDEX($F$63:$F$122,P47)+(O47+G47-INDEX(CHOOSE($M47,$K$63:$K$122,$P$63:$P$122,$U$63:$U$122,$Z$63:$Z$122),P47))*INDEX($D$63:$D$122,P47)/INDEX(CHOOSE($M47,$J$63:$J$122,$O$63:$O$122,$T$63:$T$122,$Y$63:$Y$122),P47))))</f>
        <v/>
      </c>
      <c r="J47" s="139">
        <f>IF(G47="","",IF(E47="Y",IF(ISNUMBER(I47),ROUND(I47-H47,1),"기간초과"),"-"))</f>
        <v/>
      </c>
      <c r="K47" s="139">
        <f>IF(ISNUMBER(J47),ROUND(J47-G47,1),"")</f>
        <v/>
      </c>
      <c r="L47" s="139">
        <f>IFERROR(INDEX('1일작업량(토목)'!$D$2:$D$115,MATCH($A47,'1일작업량(토목)'!$A$2:$A$115,0)),"")</f>
        <v/>
      </c>
      <c r="M47" s="146">
        <f>IF(G47="","",IFERROR(MATCH(F47,$C$13:$F$13,0),1))</f>
        <v/>
      </c>
      <c r="N47" s="146">
        <f>IF(G47="","",MATCH(H47,$F$63:$F$122,1))</f>
        <v/>
      </c>
      <c r="O47" s="146">
        <f>IF(G47="","",INDEX(CHOOSE($M47,$K$63:$K$122,$P$63:$P$122,$U$63:$U$122,$Z$63:$Z$122),N47)+(H47-INDEX($F$63:$F$122,N47))*INDEX(CHOOSE($M47,$J$63:$J$122,$O$63:$O$122,$T$63:$T$122,$Y$63:$Y$122),N47)/INDEX($D$63:$D$122,N47))</f>
        <v/>
      </c>
      <c r="P47" s="146">
        <f>IF(G47="","",IF(O47+G47&gt;INDEX(CHOOSE($M47,$K$63:$K$122,$P$63:$P$122,$U$63:$U$122,$Z$63:$Z$122),60)+INDEX(CHOOSE($M47,$J$63:$J$122,$O$63:$O$122,$T$63:$T$122,$Y$63:$Y$122),60),"기간초과",MATCH(O47+G47,CHOOSE($M47,$K$63:$K$122,$P$63:$P$122,$U$63:$U$122,$Z$63:$Z$122),1)))</f>
        <v/>
      </c>
    </row>
    <row r="48">
      <c r="A48" s="138">
        <f>IFERROR(INDEX(공종프리셋!$A$2:$F$16,14,MATCH($B$9,공종프리셋!$A$1:$F$1,0))&amp;"","")</f>
        <v/>
      </c>
      <c r="B48" s="138" t="n"/>
      <c r="C48" s="138">
        <f>IFERROR(INDEX('1일작업량(토목)'!$B$2:$B$115,MATCH($A48,'1일작업량(토목)'!$A$2:$A$115,0)),"")</f>
        <v/>
      </c>
      <c r="D48" s="138">
        <f>IFERROR(INDEX('1일작업량(토목)'!$C$2:$C$115,MATCH($A48,'1일작업량(토목)'!$A$2:$A$115,0)),"")</f>
        <v/>
      </c>
      <c r="E48" s="138">
        <f>IF(A48="","","Y")</f>
        <v/>
      </c>
      <c r="F48" s="138">
        <f>IF(A48="","",IFERROR(INDEX('1일작업량(토목)'!$E$2:$E$115,MATCH($A48,'1일작업량(토목)'!$A$2:$A$115,0)),IF(ISNUMBER(SEARCH("포장",A48)),"세트3","세트1")))</f>
        <v/>
      </c>
      <c r="G48" s="139">
        <f>IF(AND(ISNUMBER(B48),ISNUMBER(D48),N(D48)&gt;0),ROUNDUP(ROUND(B48/D48,6),0),"")</f>
        <v/>
      </c>
      <c r="H48" s="139">
        <f>IF(G48="","",MAX(0,MAX(I$35:I47)))</f>
        <v/>
      </c>
      <c r="I48" s="139">
        <f>IF(G48="","",IF(E48&lt;&gt;"Y",H48,IF(P48="기간초과","기간초과",INDEX($F$63:$F$122,P48)+(O48+G48-INDEX(CHOOSE($M48,$K$63:$K$122,$P$63:$P$122,$U$63:$U$122,$Z$63:$Z$122),P48))*INDEX($D$63:$D$122,P48)/INDEX(CHOOSE($M48,$J$63:$J$122,$O$63:$O$122,$T$63:$T$122,$Y$63:$Y$122),P48))))</f>
        <v/>
      </c>
      <c r="J48" s="139">
        <f>IF(G48="","",IF(E48="Y",IF(ISNUMBER(I48),ROUND(I48-H48,1),"기간초과"),"-"))</f>
        <v/>
      </c>
      <c r="K48" s="139">
        <f>IF(ISNUMBER(J48),ROUND(J48-G48,1),"")</f>
        <v/>
      </c>
      <c r="L48" s="139">
        <f>IFERROR(INDEX('1일작업량(토목)'!$D$2:$D$115,MATCH($A48,'1일작업량(토목)'!$A$2:$A$115,0)),"")</f>
        <v/>
      </c>
      <c r="M48" s="146">
        <f>IF(G48="","",IFERROR(MATCH(F48,$C$13:$F$13,0),1))</f>
        <v/>
      </c>
      <c r="N48" s="146">
        <f>IF(G48="","",MATCH(H48,$F$63:$F$122,1))</f>
        <v/>
      </c>
      <c r="O48" s="146">
        <f>IF(G48="","",INDEX(CHOOSE($M48,$K$63:$K$122,$P$63:$P$122,$U$63:$U$122,$Z$63:$Z$122),N48)+(H48-INDEX($F$63:$F$122,N48))*INDEX(CHOOSE($M48,$J$63:$J$122,$O$63:$O$122,$T$63:$T$122,$Y$63:$Y$122),N48)/INDEX($D$63:$D$122,N48))</f>
        <v/>
      </c>
      <c r="P48" s="146">
        <f>IF(G48="","",IF(O48+G48&gt;INDEX(CHOOSE($M48,$K$63:$K$122,$P$63:$P$122,$U$63:$U$122,$Z$63:$Z$122),60)+INDEX(CHOOSE($M48,$J$63:$J$122,$O$63:$O$122,$T$63:$T$122,$Y$63:$Y$122),60),"기간초과",MATCH(O48+G48,CHOOSE($M48,$K$63:$K$122,$P$63:$P$122,$U$63:$U$122,$Z$63:$Z$122),1)))</f>
        <v/>
      </c>
    </row>
    <row r="49">
      <c r="A49" s="138">
        <f>IFERROR(INDEX(공종프리셋!$A$2:$F$16,15,MATCH($B$9,공종프리셋!$A$1:$F$1,0))&amp;"","")</f>
        <v/>
      </c>
      <c r="B49" s="138" t="n"/>
      <c r="C49" s="138">
        <f>IFERROR(INDEX('1일작업량(토목)'!$B$2:$B$115,MATCH($A49,'1일작업량(토목)'!$A$2:$A$115,0)),"")</f>
        <v/>
      </c>
      <c r="D49" s="138">
        <f>IFERROR(INDEX('1일작업량(토목)'!$C$2:$C$115,MATCH($A49,'1일작업량(토목)'!$A$2:$A$115,0)),"")</f>
        <v/>
      </c>
      <c r="E49" s="138">
        <f>IF(A49="","","Y")</f>
        <v/>
      </c>
      <c r="F49" s="138">
        <f>IF(A49="","",IFERROR(INDEX('1일작업량(토목)'!$E$2:$E$115,MATCH($A49,'1일작업량(토목)'!$A$2:$A$115,0)),IF(ISNUMBER(SEARCH("포장",A49)),"세트3","세트1")))</f>
        <v/>
      </c>
      <c r="G49" s="139">
        <f>IF(AND(ISNUMBER(B49),ISNUMBER(D49),N(D49)&gt;0),ROUNDUP(ROUND(B49/D49,6),0),"")</f>
        <v/>
      </c>
      <c r="H49" s="139">
        <f>IF(G49="","",MAX(0,MAX(I$35:I48)))</f>
        <v/>
      </c>
      <c r="I49" s="139">
        <f>IF(G49="","",IF(E49&lt;&gt;"Y",H49,IF(P49="기간초과","기간초과",INDEX($F$63:$F$122,P49)+(O49+G49-INDEX(CHOOSE($M49,$K$63:$K$122,$P$63:$P$122,$U$63:$U$122,$Z$63:$Z$122),P49))*INDEX($D$63:$D$122,P49)/INDEX(CHOOSE($M49,$J$63:$J$122,$O$63:$O$122,$T$63:$T$122,$Y$63:$Y$122),P49))))</f>
        <v/>
      </c>
      <c r="J49" s="139">
        <f>IF(G49="","",IF(E49="Y",IF(ISNUMBER(I49),ROUND(I49-H49,1),"기간초과"),"-"))</f>
        <v/>
      </c>
      <c r="K49" s="139">
        <f>IF(ISNUMBER(J49),ROUND(J49-G49,1),"")</f>
        <v/>
      </c>
      <c r="L49" s="139">
        <f>IFERROR(INDEX('1일작업량(토목)'!$D$2:$D$115,MATCH($A49,'1일작업량(토목)'!$A$2:$A$115,0)),"")</f>
        <v/>
      </c>
      <c r="M49" s="146">
        <f>IF(G49="","",IFERROR(MATCH(F49,$C$13:$F$13,0),1))</f>
        <v/>
      </c>
      <c r="N49" s="146">
        <f>IF(G49="","",MATCH(H49,$F$63:$F$122,1))</f>
        <v/>
      </c>
      <c r="O49" s="146">
        <f>IF(G49="","",INDEX(CHOOSE($M49,$K$63:$K$122,$P$63:$P$122,$U$63:$U$122,$Z$63:$Z$122),N49)+(H49-INDEX($F$63:$F$122,N49))*INDEX(CHOOSE($M49,$J$63:$J$122,$O$63:$O$122,$T$63:$T$122,$Y$63:$Y$122),N49)/INDEX($D$63:$D$122,N49))</f>
        <v/>
      </c>
      <c r="P49" s="146">
        <f>IF(G49="","",IF(O49+G49&gt;INDEX(CHOOSE($M49,$K$63:$K$122,$P$63:$P$122,$U$63:$U$122,$Z$63:$Z$122),60)+INDEX(CHOOSE($M49,$J$63:$J$122,$O$63:$O$122,$T$63:$T$122,$Y$63:$Y$122),60),"기간초과",MATCH(O49+G49,CHOOSE($M49,$K$63:$K$122,$P$63:$P$122,$U$63:$U$122,$Z$63:$Z$122),1)))</f>
        <v/>
      </c>
    </row>
    <row r="51">
      <c r="A51" s="130" t="inlineStr">
        <is>
          <t>▼ 결과</t>
        </is>
      </c>
    </row>
    <row r="52">
      <c r="A52" s="130" t="inlineStr">
        <is>
          <t>준비기간 (일)</t>
        </is>
      </c>
      <c r="B52" s="140">
        <f>B7</f>
        <v/>
      </c>
    </row>
    <row r="53">
      <c r="A53" s="130" t="inlineStr">
        <is>
          <t>주공정 공종별 공사기간의 합 (일)</t>
        </is>
      </c>
      <c r="B53" s="140">
        <f>IF(COUNTIF(I35:I49,"기간초과")&gt;0,"기간초과",ROUNDUP(MAX(0,MAX(I35:I49)),0))</f>
        <v/>
      </c>
    </row>
    <row r="54">
      <c r="A54" s="130" t="inlineStr">
        <is>
          <t>정리기간 (일)</t>
        </is>
      </c>
      <c r="B54" s="140">
        <f>B8</f>
        <v/>
      </c>
    </row>
    <row r="55">
      <c r="A55" s="130" t="inlineStr">
        <is>
          <t>공사기간 A (일)</t>
        </is>
      </c>
      <c r="B55" s="140">
        <f>IF(ISNUMBER(B53),B52+B53+B54,"-")</f>
        <v/>
      </c>
    </row>
    <row r="56">
      <c r="A56" s="130" t="inlineStr">
        <is>
          <t>환산 (개월)</t>
        </is>
      </c>
      <c r="B56" s="140">
        <f>IF(ISNUMBER(B55),ROUND(B55/30,1),"-")</f>
        <v/>
      </c>
    </row>
    <row r="57">
      <c r="A57" s="130" t="inlineStr">
        <is>
          <t>산정공식 공사기간 B (일) — 시설물별공기(토목)</t>
        </is>
      </c>
      <c r="B57" s="140">
        <f>'시설물별공기(토목)'!B19</f>
        <v/>
      </c>
    </row>
    <row r="58">
      <c r="A58" s="130" t="inlineStr">
        <is>
          <t>적정성 검토 (A가 B의 ±20% 이내인지)</t>
        </is>
      </c>
      <c r="B58" s="140">
        <f>IF(AND(ISNUMBER(B55),ISNUMBER(B57)),IF(ABS(B55/B57-1)&lt;=0.2,"±20% 이내 (적정)","±20% 초과 → 산정 과정 재검토 (편차 "&amp;TEXT(B55/B57-1,"0.0%")&amp;")"),"산정공식 적용범위 밖이거나 미입력 → 비교 생략")</f>
        <v/>
      </c>
    </row>
    <row r="59">
      <c r="A59" s="130" t="inlineStr">
        <is>
          <t>착공일 (착공 월 1일)</t>
        </is>
      </c>
      <c r="B59" s="141">
        <f>DATE(B5,B6,1)</f>
        <v/>
      </c>
    </row>
    <row r="60">
      <c r="A60" s="130" t="inlineStr">
        <is>
          <t>종료 예정일 (착공일 + 준비 + 본공사 + 정리 - 1일)</t>
        </is>
      </c>
      <c r="B60" s="141">
        <f>IF(ISNUMBER(B55),DATE(B5,B6,1)+B55-1,"-")</f>
        <v/>
      </c>
    </row>
    <row r="61">
      <c r="A61" s="130" t="inlineStr">
        <is>
          <t>▼ 월별 비작업일수 계산 (착수 월부터 60개월) — 세트별로 기후여건 A가 다릅니다</t>
        </is>
      </c>
    </row>
    <row r="62" ht="62" customHeight="1" s="92">
      <c r="A62" s="133" t="inlineStr">
        <is>
          <t>순번</t>
        </is>
      </c>
      <c r="B62" s="133" t="inlineStr">
        <is>
          <t>연도</t>
        </is>
      </c>
      <c r="C62" s="133" t="inlineStr">
        <is>
          <t>월</t>
        </is>
      </c>
      <c r="D62" s="133" t="inlineStr">
        <is>
          <t>달력일수 (첫 달은 본공사 시작일부터)</t>
        </is>
      </c>
      <c r="E62" s="133" t="inlineStr">
        <is>
          <t>법정공휴일 B</t>
        </is>
      </c>
      <c r="F62" s="133" t="inlineStr">
        <is>
          <t>누적 달력일수(전월까지)</t>
        </is>
      </c>
      <c r="G62" s="133" t="inlineStr">
        <is>
          <t>세트1 기후여건 A</t>
        </is>
      </c>
      <c r="H62" s="133" t="inlineStr">
        <is>
          <t>세트1 중복일수 C</t>
        </is>
      </c>
      <c r="I62" s="133" t="inlineStr">
        <is>
          <t>세트1 적용 비작업일수(월8일 이상, 정수)</t>
        </is>
      </c>
      <c r="J62" s="133" t="inlineStr">
        <is>
          <t>세트1 작업가능일수</t>
        </is>
      </c>
      <c r="K62" s="133" t="inlineStr">
        <is>
          <t>세트1 누적 작업가능(전월까지)</t>
        </is>
      </c>
      <c r="L62" s="133" t="inlineStr">
        <is>
          <t>세트2 기후여건 A</t>
        </is>
      </c>
      <c r="M62" s="133" t="inlineStr">
        <is>
          <t>세트2 중복일수 C</t>
        </is>
      </c>
      <c r="N62" s="133" t="inlineStr">
        <is>
          <t>세트2 적용 비작업일수(월8일 이상, 정수)</t>
        </is>
      </c>
      <c r="O62" s="133" t="inlineStr">
        <is>
          <t>세트2 작업가능일수</t>
        </is>
      </c>
      <c r="P62" s="133" t="inlineStr">
        <is>
          <t>세트2 누적 작업가능(전월까지)</t>
        </is>
      </c>
      <c r="Q62" s="133" t="inlineStr">
        <is>
          <t>세트3 기후여건 A</t>
        </is>
      </c>
      <c r="R62" s="133" t="inlineStr">
        <is>
          <t>세트3 중복일수 C</t>
        </is>
      </c>
      <c r="S62" s="133" t="inlineStr">
        <is>
          <t>세트3 적용 비작업일수(월8일 이상, 정수)</t>
        </is>
      </c>
      <c r="T62" s="133" t="inlineStr">
        <is>
          <t>세트3 작업가능일수</t>
        </is>
      </c>
      <c r="U62" s="133" t="inlineStr">
        <is>
          <t>세트3 누적 작업가능(전월까지)</t>
        </is>
      </c>
      <c r="V62" s="133" t="inlineStr">
        <is>
          <t>세트4 기후여건 A</t>
        </is>
      </c>
      <c r="W62" s="133" t="inlineStr">
        <is>
          <t>세트4 중복일수 C</t>
        </is>
      </c>
      <c r="X62" s="133" t="inlineStr">
        <is>
          <t>세트4 적용 비작업일수(월8일 이상, 정수)</t>
        </is>
      </c>
      <c r="Y62" s="133" t="inlineStr">
        <is>
          <t>세트4 작업가능일수</t>
        </is>
      </c>
      <c r="Z62" s="133" t="inlineStr">
        <is>
          <t>세트4 누적 작업가능(전월까지)</t>
        </is>
      </c>
    </row>
    <row r="63">
      <c r="A63" s="139" t="n">
        <v>1</v>
      </c>
      <c r="B63" s="139">
        <f>YEAR(EDATE(DATE(YEAR($B$10),MONTH($B$10),1),A63-1))</f>
        <v/>
      </c>
      <c r="C63" s="139">
        <f>MONTH(EDATE(DATE(YEAR($B$10),MONTH($B$10),1),A63-1))</f>
        <v/>
      </c>
      <c r="D63" s="139">
        <f>DAY(EOMONTH($B$10,0))-DAY($B$10)+1</f>
        <v/>
      </c>
      <c r="E63" s="139">
        <f>IFERROR(INDEX(법정공휴일!$B$4:$M$20,MATCH(B63,법정공휴일!$A$4:$A$20,0),C63),0)</f>
        <v/>
      </c>
      <c r="F63" s="139" t="n">
        <v>0</v>
      </c>
      <c r="G63" s="139">
        <f>INDEX($G$27:$R$27,C63)</f>
        <v/>
      </c>
      <c r="H63" s="139">
        <f>ROUND(G63*E63/DAY(EOMONTH(DATE(B63,C63,1),0)),1)</f>
        <v/>
      </c>
      <c r="I63" s="139">
        <f>ROUND(MAX(G63+E63-H63,8),0)</f>
        <v/>
      </c>
      <c r="J63" s="139">
        <f>D63*(DAY(EOMONTH(DATE(B63,C63,1),0))-I63)/DAY(EOMONTH(DATE(B63,C63,1),0))</f>
        <v/>
      </c>
      <c r="K63" s="139" t="n">
        <v>0</v>
      </c>
      <c r="L63" s="139">
        <f>INDEX($G$28:$R$28,C63)</f>
        <v/>
      </c>
      <c r="M63" s="139">
        <f>ROUND(L63*E63/DAY(EOMONTH(DATE(B63,C63,1),0)),1)</f>
        <v/>
      </c>
      <c r="N63" s="139">
        <f>ROUND(MAX(L63+E63-M63,8),0)</f>
        <v/>
      </c>
      <c r="O63" s="139">
        <f>D63*(DAY(EOMONTH(DATE(B63,C63,1),0))-N63)/DAY(EOMONTH(DATE(B63,C63,1),0))</f>
        <v/>
      </c>
      <c r="P63" s="139" t="n">
        <v>0</v>
      </c>
      <c r="Q63" s="139">
        <f>INDEX($G$29:$R$29,C63)</f>
        <v/>
      </c>
      <c r="R63" s="139">
        <f>ROUND(Q63*E63/DAY(EOMONTH(DATE(B63,C63,1),0)),1)</f>
        <v/>
      </c>
      <c r="S63" s="139">
        <f>ROUND(MAX(Q63+E63-R63,8),0)</f>
        <v/>
      </c>
      <c r="T63" s="139">
        <f>D63*(DAY(EOMONTH(DATE(B63,C63,1),0))-S63)/DAY(EOMONTH(DATE(B63,C63,1),0))</f>
        <v/>
      </c>
      <c r="U63" s="139" t="n">
        <v>0</v>
      </c>
      <c r="V63" s="139">
        <f>INDEX($G$30:$R$30,C63)</f>
        <v/>
      </c>
      <c r="W63" s="139">
        <f>ROUND(V63*E63/DAY(EOMONTH(DATE(B63,C63,1),0)),1)</f>
        <v/>
      </c>
      <c r="X63" s="139">
        <f>ROUND(MAX(V63+E63-W63,8),0)</f>
        <v/>
      </c>
      <c r="Y63" s="139">
        <f>D63*(DAY(EOMONTH(DATE(B63,C63,1),0))-X63)/DAY(EOMONTH(DATE(B63,C63,1),0))</f>
        <v/>
      </c>
      <c r="Z63" s="139" t="n">
        <v>0</v>
      </c>
    </row>
    <row r="64">
      <c r="A64" s="139" t="n">
        <v>2</v>
      </c>
      <c r="B64" s="139">
        <f>YEAR(EDATE(DATE(YEAR($B$10),MONTH($B$10),1),A64-1))</f>
        <v/>
      </c>
      <c r="C64" s="139">
        <f>MONTH(EDATE(DATE(YEAR($B$10),MONTH($B$10),1),A64-1))</f>
        <v/>
      </c>
      <c r="D64" s="139">
        <f>DAY(EOMONTH(DATE(B64,C64,1),0))</f>
        <v/>
      </c>
      <c r="E64" s="139">
        <f>IFERROR(INDEX(법정공휴일!$B$4:$M$20,MATCH(B64,법정공휴일!$A$4:$A$20,0),C64),0)</f>
        <v/>
      </c>
      <c r="F64" s="139">
        <f>F63+D63</f>
        <v/>
      </c>
      <c r="G64" s="139">
        <f>INDEX($G$27:$R$27,C64)</f>
        <v/>
      </c>
      <c r="H64" s="139">
        <f>ROUND(G64*E64/DAY(EOMONTH(DATE(B64,C64,1),0)),1)</f>
        <v/>
      </c>
      <c r="I64" s="139">
        <f>ROUND(MAX(G64+E64-H64,8),0)</f>
        <v/>
      </c>
      <c r="J64" s="139">
        <f>D64*(DAY(EOMONTH(DATE(B64,C64,1),0))-I64)/DAY(EOMONTH(DATE(B64,C64,1),0))</f>
        <v/>
      </c>
      <c r="K64" s="139">
        <f>K63+J63</f>
        <v/>
      </c>
      <c r="L64" s="139">
        <f>INDEX($G$28:$R$28,C64)</f>
        <v/>
      </c>
      <c r="M64" s="139">
        <f>ROUND(L64*E64/DAY(EOMONTH(DATE(B64,C64,1),0)),1)</f>
        <v/>
      </c>
      <c r="N64" s="139">
        <f>ROUND(MAX(L64+E64-M64,8),0)</f>
        <v/>
      </c>
      <c r="O64" s="139">
        <f>D64*(DAY(EOMONTH(DATE(B64,C64,1),0))-N64)/DAY(EOMONTH(DATE(B64,C64,1),0))</f>
        <v/>
      </c>
      <c r="P64" s="139">
        <f>P63+O63</f>
        <v/>
      </c>
      <c r="Q64" s="139">
        <f>INDEX($G$29:$R$29,C64)</f>
        <v/>
      </c>
      <c r="R64" s="139">
        <f>ROUND(Q64*E64/DAY(EOMONTH(DATE(B64,C64,1),0)),1)</f>
        <v/>
      </c>
      <c r="S64" s="139">
        <f>ROUND(MAX(Q64+E64-R64,8),0)</f>
        <v/>
      </c>
      <c r="T64" s="139">
        <f>D64*(DAY(EOMONTH(DATE(B64,C64,1),0))-S64)/DAY(EOMONTH(DATE(B64,C64,1),0))</f>
        <v/>
      </c>
      <c r="U64" s="139">
        <f>U63+T63</f>
        <v/>
      </c>
      <c r="V64" s="139">
        <f>INDEX($G$30:$R$30,C64)</f>
        <v/>
      </c>
      <c r="W64" s="139">
        <f>ROUND(V64*E64/DAY(EOMONTH(DATE(B64,C64,1),0)),1)</f>
        <v/>
      </c>
      <c r="X64" s="139">
        <f>ROUND(MAX(V64+E64-W64,8),0)</f>
        <v/>
      </c>
      <c r="Y64" s="139">
        <f>D64*(DAY(EOMONTH(DATE(B64,C64,1),0))-X64)/DAY(EOMONTH(DATE(B64,C64,1),0))</f>
        <v/>
      </c>
      <c r="Z64" s="139">
        <f>Z63+Y63</f>
        <v/>
      </c>
    </row>
    <row r="65">
      <c r="A65" s="139" t="n">
        <v>3</v>
      </c>
      <c r="B65" s="139">
        <f>YEAR(EDATE(DATE(YEAR($B$10),MONTH($B$10),1),A65-1))</f>
        <v/>
      </c>
      <c r="C65" s="139">
        <f>MONTH(EDATE(DATE(YEAR($B$10),MONTH($B$10),1),A65-1))</f>
        <v/>
      </c>
      <c r="D65" s="139">
        <f>DAY(EOMONTH(DATE(B65,C65,1),0))</f>
        <v/>
      </c>
      <c r="E65" s="139">
        <f>IFERROR(INDEX(법정공휴일!$B$4:$M$20,MATCH(B65,법정공휴일!$A$4:$A$20,0),C65),0)</f>
        <v/>
      </c>
      <c r="F65" s="139">
        <f>F64+D64</f>
        <v/>
      </c>
      <c r="G65" s="139">
        <f>INDEX($G$27:$R$27,C65)</f>
        <v/>
      </c>
      <c r="H65" s="139">
        <f>ROUND(G65*E65/DAY(EOMONTH(DATE(B65,C65,1),0)),1)</f>
        <v/>
      </c>
      <c r="I65" s="139">
        <f>ROUND(MAX(G65+E65-H65,8),0)</f>
        <v/>
      </c>
      <c r="J65" s="139">
        <f>D65*(DAY(EOMONTH(DATE(B65,C65,1),0))-I65)/DAY(EOMONTH(DATE(B65,C65,1),0))</f>
        <v/>
      </c>
      <c r="K65" s="139">
        <f>K64+J64</f>
        <v/>
      </c>
      <c r="L65" s="139">
        <f>INDEX($G$28:$R$28,C65)</f>
        <v/>
      </c>
      <c r="M65" s="139">
        <f>ROUND(L65*E65/DAY(EOMONTH(DATE(B65,C65,1),0)),1)</f>
        <v/>
      </c>
      <c r="N65" s="139">
        <f>ROUND(MAX(L65+E65-M65,8),0)</f>
        <v/>
      </c>
      <c r="O65" s="139">
        <f>D65*(DAY(EOMONTH(DATE(B65,C65,1),0))-N65)/DAY(EOMONTH(DATE(B65,C65,1),0))</f>
        <v/>
      </c>
      <c r="P65" s="139">
        <f>P64+O64</f>
        <v/>
      </c>
      <c r="Q65" s="139">
        <f>INDEX($G$29:$R$29,C65)</f>
        <v/>
      </c>
      <c r="R65" s="139">
        <f>ROUND(Q65*E65/DAY(EOMONTH(DATE(B65,C65,1),0)),1)</f>
        <v/>
      </c>
      <c r="S65" s="139">
        <f>ROUND(MAX(Q65+E65-R65,8),0)</f>
        <v/>
      </c>
      <c r="T65" s="139">
        <f>D65*(DAY(EOMONTH(DATE(B65,C65,1),0))-S65)/DAY(EOMONTH(DATE(B65,C65,1),0))</f>
        <v/>
      </c>
      <c r="U65" s="139">
        <f>U64+T64</f>
        <v/>
      </c>
      <c r="V65" s="139">
        <f>INDEX($G$30:$R$30,C65)</f>
        <v/>
      </c>
      <c r="W65" s="139">
        <f>ROUND(V65*E65/DAY(EOMONTH(DATE(B65,C65,1),0)),1)</f>
        <v/>
      </c>
      <c r="X65" s="139">
        <f>ROUND(MAX(V65+E65-W65,8),0)</f>
        <v/>
      </c>
      <c r="Y65" s="139">
        <f>D65*(DAY(EOMONTH(DATE(B65,C65,1),0))-X65)/DAY(EOMONTH(DATE(B65,C65,1),0))</f>
        <v/>
      </c>
      <c r="Z65" s="139">
        <f>Z64+Y64</f>
        <v/>
      </c>
    </row>
    <row r="66">
      <c r="A66" s="139" t="n">
        <v>4</v>
      </c>
      <c r="B66" s="139">
        <f>YEAR(EDATE(DATE(YEAR($B$10),MONTH($B$10),1),A66-1))</f>
        <v/>
      </c>
      <c r="C66" s="139">
        <f>MONTH(EDATE(DATE(YEAR($B$10),MONTH($B$10),1),A66-1))</f>
        <v/>
      </c>
      <c r="D66" s="139">
        <f>DAY(EOMONTH(DATE(B66,C66,1),0))</f>
        <v/>
      </c>
      <c r="E66" s="139">
        <f>IFERROR(INDEX(법정공휴일!$B$4:$M$20,MATCH(B66,법정공휴일!$A$4:$A$20,0),C66),0)</f>
        <v/>
      </c>
      <c r="F66" s="139">
        <f>F65+D65</f>
        <v/>
      </c>
      <c r="G66" s="139">
        <f>INDEX($G$27:$R$27,C66)</f>
        <v/>
      </c>
      <c r="H66" s="139">
        <f>ROUND(G66*E66/DAY(EOMONTH(DATE(B66,C66,1),0)),1)</f>
        <v/>
      </c>
      <c r="I66" s="139">
        <f>ROUND(MAX(G66+E66-H66,8),0)</f>
        <v/>
      </c>
      <c r="J66" s="139">
        <f>D66*(DAY(EOMONTH(DATE(B66,C66,1),0))-I66)/DAY(EOMONTH(DATE(B66,C66,1),0))</f>
        <v/>
      </c>
      <c r="K66" s="139">
        <f>K65+J65</f>
        <v/>
      </c>
      <c r="L66" s="139">
        <f>INDEX($G$28:$R$28,C66)</f>
        <v/>
      </c>
      <c r="M66" s="139">
        <f>ROUND(L66*E66/DAY(EOMONTH(DATE(B66,C66,1),0)),1)</f>
        <v/>
      </c>
      <c r="N66" s="139">
        <f>ROUND(MAX(L66+E66-M66,8),0)</f>
        <v/>
      </c>
      <c r="O66" s="139">
        <f>D66*(DAY(EOMONTH(DATE(B66,C66,1),0))-N66)/DAY(EOMONTH(DATE(B66,C66,1),0))</f>
        <v/>
      </c>
      <c r="P66" s="139">
        <f>P65+O65</f>
        <v/>
      </c>
      <c r="Q66" s="139">
        <f>INDEX($G$29:$R$29,C66)</f>
        <v/>
      </c>
      <c r="R66" s="139">
        <f>ROUND(Q66*E66/DAY(EOMONTH(DATE(B66,C66,1),0)),1)</f>
        <v/>
      </c>
      <c r="S66" s="139">
        <f>ROUND(MAX(Q66+E66-R66,8),0)</f>
        <v/>
      </c>
      <c r="T66" s="139">
        <f>D66*(DAY(EOMONTH(DATE(B66,C66,1),0))-S66)/DAY(EOMONTH(DATE(B66,C66,1),0))</f>
        <v/>
      </c>
      <c r="U66" s="139">
        <f>U65+T65</f>
        <v/>
      </c>
      <c r="V66" s="139">
        <f>INDEX($G$30:$R$30,C66)</f>
        <v/>
      </c>
      <c r="W66" s="139">
        <f>ROUND(V66*E66/DAY(EOMONTH(DATE(B66,C66,1),0)),1)</f>
        <v/>
      </c>
      <c r="X66" s="139">
        <f>ROUND(MAX(V66+E66-W66,8),0)</f>
        <v/>
      </c>
      <c r="Y66" s="139">
        <f>D66*(DAY(EOMONTH(DATE(B66,C66,1),0))-X66)/DAY(EOMONTH(DATE(B66,C66,1),0))</f>
        <v/>
      </c>
      <c r="Z66" s="139">
        <f>Z65+Y65</f>
        <v/>
      </c>
    </row>
    <row r="67">
      <c r="A67" s="139" t="n">
        <v>5</v>
      </c>
      <c r="B67" s="139">
        <f>YEAR(EDATE(DATE(YEAR($B$10),MONTH($B$10),1),A67-1))</f>
        <v/>
      </c>
      <c r="C67" s="139">
        <f>MONTH(EDATE(DATE(YEAR($B$10),MONTH($B$10),1),A67-1))</f>
        <v/>
      </c>
      <c r="D67" s="139">
        <f>DAY(EOMONTH(DATE(B67,C67,1),0))</f>
        <v/>
      </c>
      <c r="E67" s="139">
        <f>IFERROR(INDEX(법정공휴일!$B$4:$M$20,MATCH(B67,법정공휴일!$A$4:$A$20,0),C67),0)</f>
        <v/>
      </c>
      <c r="F67" s="139">
        <f>F66+D66</f>
        <v/>
      </c>
      <c r="G67" s="139">
        <f>INDEX($G$27:$R$27,C67)</f>
        <v/>
      </c>
      <c r="H67" s="139">
        <f>ROUND(G67*E67/DAY(EOMONTH(DATE(B67,C67,1),0)),1)</f>
        <v/>
      </c>
      <c r="I67" s="139">
        <f>ROUND(MAX(G67+E67-H67,8),0)</f>
        <v/>
      </c>
      <c r="J67" s="139">
        <f>D67*(DAY(EOMONTH(DATE(B67,C67,1),0))-I67)/DAY(EOMONTH(DATE(B67,C67,1),0))</f>
        <v/>
      </c>
      <c r="K67" s="139">
        <f>K66+J66</f>
        <v/>
      </c>
      <c r="L67" s="139">
        <f>INDEX($G$28:$R$28,C67)</f>
        <v/>
      </c>
      <c r="M67" s="139">
        <f>ROUND(L67*E67/DAY(EOMONTH(DATE(B67,C67,1),0)),1)</f>
        <v/>
      </c>
      <c r="N67" s="139">
        <f>ROUND(MAX(L67+E67-M67,8),0)</f>
        <v/>
      </c>
      <c r="O67" s="139">
        <f>D67*(DAY(EOMONTH(DATE(B67,C67,1),0))-N67)/DAY(EOMONTH(DATE(B67,C67,1),0))</f>
        <v/>
      </c>
      <c r="P67" s="139">
        <f>P66+O66</f>
        <v/>
      </c>
      <c r="Q67" s="139">
        <f>INDEX($G$29:$R$29,C67)</f>
        <v/>
      </c>
      <c r="R67" s="139">
        <f>ROUND(Q67*E67/DAY(EOMONTH(DATE(B67,C67,1),0)),1)</f>
        <v/>
      </c>
      <c r="S67" s="139">
        <f>ROUND(MAX(Q67+E67-R67,8),0)</f>
        <v/>
      </c>
      <c r="T67" s="139">
        <f>D67*(DAY(EOMONTH(DATE(B67,C67,1),0))-S67)/DAY(EOMONTH(DATE(B67,C67,1),0))</f>
        <v/>
      </c>
      <c r="U67" s="139">
        <f>U66+T66</f>
        <v/>
      </c>
      <c r="V67" s="139">
        <f>INDEX($G$30:$R$30,C67)</f>
        <v/>
      </c>
      <c r="W67" s="139">
        <f>ROUND(V67*E67/DAY(EOMONTH(DATE(B67,C67,1),0)),1)</f>
        <v/>
      </c>
      <c r="X67" s="139">
        <f>ROUND(MAX(V67+E67-W67,8),0)</f>
        <v/>
      </c>
      <c r="Y67" s="139">
        <f>D67*(DAY(EOMONTH(DATE(B67,C67,1),0))-X67)/DAY(EOMONTH(DATE(B67,C67,1),0))</f>
        <v/>
      </c>
      <c r="Z67" s="139">
        <f>Z66+Y66</f>
        <v/>
      </c>
    </row>
    <row r="68">
      <c r="A68" s="139" t="n">
        <v>6</v>
      </c>
      <c r="B68" s="139">
        <f>YEAR(EDATE(DATE(YEAR($B$10),MONTH($B$10),1),A68-1))</f>
        <v/>
      </c>
      <c r="C68" s="139">
        <f>MONTH(EDATE(DATE(YEAR($B$10),MONTH($B$10),1),A68-1))</f>
        <v/>
      </c>
      <c r="D68" s="139">
        <f>DAY(EOMONTH(DATE(B68,C68,1),0))</f>
        <v/>
      </c>
      <c r="E68" s="139">
        <f>IFERROR(INDEX(법정공휴일!$B$4:$M$20,MATCH(B68,법정공휴일!$A$4:$A$20,0),C68),0)</f>
        <v/>
      </c>
      <c r="F68" s="139">
        <f>F67+D67</f>
        <v/>
      </c>
      <c r="G68" s="139">
        <f>INDEX($G$27:$R$27,C68)</f>
        <v/>
      </c>
      <c r="H68" s="139">
        <f>ROUND(G68*E68/DAY(EOMONTH(DATE(B68,C68,1),0)),1)</f>
        <v/>
      </c>
      <c r="I68" s="139">
        <f>ROUND(MAX(G68+E68-H68,8),0)</f>
        <v/>
      </c>
      <c r="J68" s="139">
        <f>D68*(DAY(EOMONTH(DATE(B68,C68,1),0))-I68)/DAY(EOMONTH(DATE(B68,C68,1),0))</f>
        <v/>
      </c>
      <c r="K68" s="139">
        <f>K67+J67</f>
        <v/>
      </c>
      <c r="L68" s="139">
        <f>INDEX($G$28:$R$28,C68)</f>
        <v/>
      </c>
      <c r="M68" s="139">
        <f>ROUND(L68*E68/DAY(EOMONTH(DATE(B68,C68,1),0)),1)</f>
        <v/>
      </c>
      <c r="N68" s="139">
        <f>ROUND(MAX(L68+E68-M68,8),0)</f>
        <v/>
      </c>
      <c r="O68" s="139">
        <f>D68*(DAY(EOMONTH(DATE(B68,C68,1),0))-N68)/DAY(EOMONTH(DATE(B68,C68,1),0))</f>
        <v/>
      </c>
      <c r="P68" s="139">
        <f>P67+O67</f>
        <v/>
      </c>
      <c r="Q68" s="139">
        <f>INDEX($G$29:$R$29,C68)</f>
        <v/>
      </c>
      <c r="R68" s="139">
        <f>ROUND(Q68*E68/DAY(EOMONTH(DATE(B68,C68,1),0)),1)</f>
        <v/>
      </c>
      <c r="S68" s="139">
        <f>ROUND(MAX(Q68+E68-R68,8),0)</f>
        <v/>
      </c>
      <c r="T68" s="139">
        <f>D68*(DAY(EOMONTH(DATE(B68,C68,1),0))-S68)/DAY(EOMONTH(DATE(B68,C68,1),0))</f>
        <v/>
      </c>
      <c r="U68" s="139">
        <f>U67+T67</f>
        <v/>
      </c>
      <c r="V68" s="139">
        <f>INDEX($G$30:$R$30,C68)</f>
        <v/>
      </c>
      <c r="W68" s="139">
        <f>ROUND(V68*E68/DAY(EOMONTH(DATE(B68,C68,1),0)),1)</f>
        <v/>
      </c>
      <c r="X68" s="139">
        <f>ROUND(MAX(V68+E68-W68,8),0)</f>
        <v/>
      </c>
      <c r="Y68" s="139">
        <f>D68*(DAY(EOMONTH(DATE(B68,C68,1),0))-X68)/DAY(EOMONTH(DATE(B68,C68,1),0))</f>
        <v/>
      </c>
      <c r="Z68" s="139">
        <f>Z67+Y67</f>
        <v/>
      </c>
    </row>
    <row r="69">
      <c r="A69" s="139" t="n">
        <v>7</v>
      </c>
      <c r="B69" s="139">
        <f>YEAR(EDATE(DATE(YEAR($B$10),MONTH($B$10),1),A69-1))</f>
        <v/>
      </c>
      <c r="C69" s="139">
        <f>MONTH(EDATE(DATE(YEAR($B$10),MONTH($B$10),1),A69-1))</f>
        <v/>
      </c>
      <c r="D69" s="139">
        <f>DAY(EOMONTH(DATE(B69,C69,1),0))</f>
        <v/>
      </c>
      <c r="E69" s="139">
        <f>IFERROR(INDEX(법정공휴일!$B$4:$M$20,MATCH(B69,법정공휴일!$A$4:$A$20,0),C69),0)</f>
        <v/>
      </c>
      <c r="F69" s="139">
        <f>F68+D68</f>
        <v/>
      </c>
      <c r="G69" s="139">
        <f>INDEX($G$27:$R$27,C69)</f>
        <v/>
      </c>
      <c r="H69" s="139">
        <f>ROUND(G69*E69/DAY(EOMONTH(DATE(B69,C69,1),0)),1)</f>
        <v/>
      </c>
      <c r="I69" s="139">
        <f>ROUND(MAX(G69+E69-H69,8),0)</f>
        <v/>
      </c>
      <c r="J69" s="139">
        <f>D69*(DAY(EOMONTH(DATE(B69,C69,1),0))-I69)/DAY(EOMONTH(DATE(B69,C69,1),0))</f>
        <v/>
      </c>
      <c r="K69" s="139">
        <f>K68+J68</f>
        <v/>
      </c>
      <c r="L69" s="139">
        <f>INDEX($G$28:$R$28,C69)</f>
        <v/>
      </c>
      <c r="M69" s="139">
        <f>ROUND(L69*E69/DAY(EOMONTH(DATE(B69,C69,1),0)),1)</f>
        <v/>
      </c>
      <c r="N69" s="139">
        <f>ROUND(MAX(L69+E69-M69,8),0)</f>
        <v/>
      </c>
      <c r="O69" s="139">
        <f>D69*(DAY(EOMONTH(DATE(B69,C69,1),0))-N69)/DAY(EOMONTH(DATE(B69,C69,1),0))</f>
        <v/>
      </c>
      <c r="P69" s="139">
        <f>P68+O68</f>
        <v/>
      </c>
      <c r="Q69" s="139">
        <f>INDEX($G$29:$R$29,C69)</f>
        <v/>
      </c>
      <c r="R69" s="139">
        <f>ROUND(Q69*E69/DAY(EOMONTH(DATE(B69,C69,1),0)),1)</f>
        <v/>
      </c>
      <c r="S69" s="139">
        <f>ROUND(MAX(Q69+E69-R69,8),0)</f>
        <v/>
      </c>
      <c r="T69" s="139">
        <f>D69*(DAY(EOMONTH(DATE(B69,C69,1),0))-S69)/DAY(EOMONTH(DATE(B69,C69,1),0))</f>
        <v/>
      </c>
      <c r="U69" s="139">
        <f>U68+T68</f>
        <v/>
      </c>
      <c r="V69" s="139">
        <f>INDEX($G$30:$R$30,C69)</f>
        <v/>
      </c>
      <c r="W69" s="139">
        <f>ROUND(V69*E69/DAY(EOMONTH(DATE(B69,C69,1),0)),1)</f>
        <v/>
      </c>
      <c r="X69" s="139">
        <f>ROUND(MAX(V69+E69-W69,8),0)</f>
        <v/>
      </c>
      <c r="Y69" s="139">
        <f>D69*(DAY(EOMONTH(DATE(B69,C69,1),0))-X69)/DAY(EOMONTH(DATE(B69,C69,1),0))</f>
        <v/>
      </c>
      <c r="Z69" s="139">
        <f>Z68+Y68</f>
        <v/>
      </c>
    </row>
    <row r="70">
      <c r="A70" s="139" t="n">
        <v>8</v>
      </c>
      <c r="B70" s="139">
        <f>YEAR(EDATE(DATE(YEAR($B$10),MONTH($B$10),1),A70-1))</f>
        <v/>
      </c>
      <c r="C70" s="139">
        <f>MONTH(EDATE(DATE(YEAR($B$10),MONTH($B$10),1),A70-1))</f>
        <v/>
      </c>
      <c r="D70" s="139">
        <f>DAY(EOMONTH(DATE(B70,C70,1),0))</f>
        <v/>
      </c>
      <c r="E70" s="139">
        <f>IFERROR(INDEX(법정공휴일!$B$4:$M$20,MATCH(B70,법정공휴일!$A$4:$A$20,0),C70),0)</f>
        <v/>
      </c>
      <c r="F70" s="139">
        <f>F69+D69</f>
        <v/>
      </c>
      <c r="G70" s="139">
        <f>INDEX($G$27:$R$27,C70)</f>
        <v/>
      </c>
      <c r="H70" s="139">
        <f>ROUND(G70*E70/DAY(EOMONTH(DATE(B70,C70,1),0)),1)</f>
        <v/>
      </c>
      <c r="I70" s="139">
        <f>ROUND(MAX(G70+E70-H70,8),0)</f>
        <v/>
      </c>
      <c r="J70" s="139">
        <f>D70*(DAY(EOMONTH(DATE(B70,C70,1),0))-I70)/DAY(EOMONTH(DATE(B70,C70,1),0))</f>
        <v/>
      </c>
      <c r="K70" s="139">
        <f>K69+J69</f>
        <v/>
      </c>
      <c r="L70" s="139">
        <f>INDEX($G$28:$R$28,C70)</f>
        <v/>
      </c>
      <c r="M70" s="139">
        <f>ROUND(L70*E70/DAY(EOMONTH(DATE(B70,C70,1),0)),1)</f>
        <v/>
      </c>
      <c r="N70" s="139">
        <f>ROUND(MAX(L70+E70-M70,8),0)</f>
        <v/>
      </c>
      <c r="O70" s="139">
        <f>D70*(DAY(EOMONTH(DATE(B70,C70,1),0))-N70)/DAY(EOMONTH(DATE(B70,C70,1),0))</f>
        <v/>
      </c>
      <c r="P70" s="139">
        <f>P69+O69</f>
        <v/>
      </c>
      <c r="Q70" s="139">
        <f>INDEX($G$29:$R$29,C70)</f>
        <v/>
      </c>
      <c r="R70" s="139">
        <f>ROUND(Q70*E70/DAY(EOMONTH(DATE(B70,C70,1),0)),1)</f>
        <v/>
      </c>
      <c r="S70" s="139">
        <f>ROUND(MAX(Q70+E70-R70,8),0)</f>
        <v/>
      </c>
      <c r="T70" s="139">
        <f>D70*(DAY(EOMONTH(DATE(B70,C70,1),0))-S70)/DAY(EOMONTH(DATE(B70,C70,1),0))</f>
        <v/>
      </c>
      <c r="U70" s="139">
        <f>U69+T69</f>
        <v/>
      </c>
      <c r="V70" s="139">
        <f>INDEX($G$30:$R$30,C70)</f>
        <v/>
      </c>
      <c r="W70" s="139">
        <f>ROUND(V70*E70/DAY(EOMONTH(DATE(B70,C70,1),0)),1)</f>
        <v/>
      </c>
      <c r="X70" s="139">
        <f>ROUND(MAX(V70+E70-W70,8),0)</f>
        <v/>
      </c>
      <c r="Y70" s="139">
        <f>D70*(DAY(EOMONTH(DATE(B70,C70,1),0))-X70)/DAY(EOMONTH(DATE(B70,C70,1),0))</f>
        <v/>
      </c>
      <c r="Z70" s="139">
        <f>Z69+Y69</f>
        <v/>
      </c>
    </row>
    <row r="71">
      <c r="A71" s="139" t="n">
        <v>9</v>
      </c>
      <c r="B71" s="139">
        <f>YEAR(EDATE(DATE(YEAR($B$10),MONTH($B$10),1),A71-1))</f>
        <v/>
      </c>
      <c r="C71" s="139">
        <f>MONTH(EDATE(DATE(YEAR($B$10),MONTH($B$10),1),A71-1))</f>
        <v/>
      </c>
      <c r="D71" s="139">
        <f>DAY(EOMONTH(DATE(B71,C71,1),0))</f>
        <v/>
      </c>
      <c r="E71" s="139">
        <f>IFERROR(INDEX(법정공휴일!$B$4:$M$20,MATCH(B71,법정공휴일!$A$4:$A$20,0),C71),0)</f>
        <v/>
      </c>
      <c r="F71" s="139">
        <f>F70+D70</f>
        <v/>
      </c>
      <c r="G71" s="139">
        <f>INDEX($G$27:$R$27,C71)</f>
        <v/>
      </c>
      <c r="H71" s="139">
        <f>ROUND(G71*E71/DAY(EOMONTH(DATE(B71,C71,1),0)),1)</f>
        <v/>
      </c>
      <c r="I71" s="139">
        <f>ROUND(MAX(G71+E71-H71,8),0)</f>
        <v/>
      </c>
      <c r="J71" s="139">
        <f>D71*(DAY(EOMONTH(DATE(B71,C71,1),0))-I71)/DAY(EOMONTH(DATE(B71,C71,1),0))</f>
        <v/>
      </c>
      <c r="K71" s="139">
        <f>K70+J70</f>
        <v/>
      </c>
      <c r="L71" s="139">
        <f>INDEX($G$28:$R$28,C71)</f>
        <v/>
      </c>
      <c r="M71" s="139">
        <f>ROUND(L71*E71/DAY(EOMONTH(DATE(B71,C71,1),0)),1)</f>
        <v/>
      </c>
      <c r="N71" s="139">
        <f>ROUND(MAX(L71+E71-M71,8),0)</f>
        <v/>
      </c>
      <c r="O71" s="139">
        <f>D71*(DAY(EOMONTH(DATE(B71,C71,1),0))-N71)/DAY(EOMONTH(DATE(B71,C71,1),0))</f>
        <v/>
      </c>
      <c r="P71" s="139">
        <f>P70+O70</f>
        <v/>
      </c>
      <c r="Q71" s="139">
        <f>INDEX($G$29:$R$29,C71)</f>
        <v/>
      </c>
      <c r="R71" s="139">
        <f>ROUND(Q71*E71/DAY(EOMONTH(DATE(B71,C71,1),0)),1)</f>
        <v/>
      </c>
      <c r="S71" s="139">
        <f>ROUND(MAX(Q71+E71-R71,8),0)</f>
        <v/>
      </c>
      <c r="T71" s="139">
        <f>D71*(DAY(EOMONTH(DATE(B71,C71,1),0))-S71)/DAY(EOMONTH(DATE(B71,C71,1),0))</f>
        <v/>
      </c>
      <c r="U71" s="139">
        <f>U70+T70</f>
        <v/>
      </c>
      <c r="V71" s="139">
        <f>INDEX($G$30:$R$30,C71)</f>
        <v/>
      </c>
      <c r="W71" s="139">
        <f>ROUND(V71*E71/DAY(EOMONTH(DATE(B71,C71,1),0)),1)</f>
        <v/>
      </c>
      <c r="X71" s="139">
        <f>ROUND(MAX(V71+E71-W71,8),0)</f>
        <v/>
      </c>
      <c r="Y71" s="139">
        <f>D71*(DAY(EOMONTH(DATE(B71,C71,1),0))-X71)/DAY(EOMONTH(DATE(B71,C71,1),0))</f>
        <v/>
      </c>
      <c r="Z71" s="139">
        <f>Z70+Y70</f>
        <v/>
      </c>
    </row>
    <row r="72">
      <c r="A72" s="139" t="n">
        <v>10</v>
      </c>
      <c r="B72" s="139">
        <f>YEAR(EDATE(DATE(YEAR($B$10),MONTH($B$10),1),A72-1))</f>
        <v/>
      </c>
      <c r="C72" s="139">
        <f>MONTH(EDATE(DATE(YEAR($B$10),MONTH($B$10),1),A72-1))</f>
        <v/>
      </c>
      <c r="D72" s="139">
        <f>DAY(EOMONTH(DATE(B72,C72,1),0))</f>
        <v/>
      </c>
      <c r="E72" s="139">
        <f>IFERROR(INDEX(법정공휴일!$B$4:$M$20,MATCH(B72,법정공휴일!$A$4:$A$20,0),C72),0)</f>
        <v/>
      </c>
      <c r="F72" s="139">
        <f>F71+D71</f>
        <v/>
      </c>
      <c r="G72" s="139">
        <f>INDEX($G$27:$R$27,C72)</f>
        <v/>
      </c>
      <c r="H72" s="139">
        <f>ROUND(G72*E72/DAY(EOMONTH(DATE(B72,C72,1),0)),1)</f>
        <v/>
      </c>
      <c r="I72" s="139">
        <f>ROUND(MAX(G72+E72-H72,8),0)</f>
        <v/>
      </c>
      <c r="J72" s="139">
        <f>D72*(DAY(EOMONTH(DATE(B72,C72,1),0))-I72)/DAY(EOMONTH(DATE(B72,C72,1),0))</f>
        <v/>
      </c>
      <c r="K72" s="139">
        <f>K71+J71</f>
        <v/>
      </c>
      <c r="L72" s="139">
        <f>INDEX($G$28:$R$28,C72)</f>
        <v/>
      </c>
      <c r="M72" s="139">
        <f>ROUND(L72*E72/DAY(EOMONTH(DATE(B72,C72,1),0)),1)</f>
        <v/>
      </c>
      <c r="N72" s="139">
        <f>ROUND(MAX(L72+E72-M72,8),0)</f>
        <v/>
      </c>
      <c r="O72" s="139">
        <f>D72*(DAY(EOMONTH(DATE(B72,C72,1),0))-N72)/DAY(EOMONTH(DATE(B72,C72,1),0))</f>
        <v/>
      </c>
      <c r="P72" s="139">
        <f>P71+O71</f>
        <v/>
      </c>
      <c r="Q72" s="139">
        <f>INDEX($G$29:$R$29,C72)</f>
        <v/>
      </c>
      <c r="R72" s="139">
        <f>ROUND(Q72*E72/DAY(EOMONTH(DATE(B72,C72,1),0)),1)</f>
        <v/>
      </c>
      <c r="S72" s="139">
        <f>ROUND(MAX(Q72+E72-R72,8),0)</f>
        <v/>
      </c>
      <c r="T72" s="139">
        <f>D72*(DAY(EOMONTH(DATE(B72,C72,1),0))-S72)/DAY(EOMONTH(DATE(B72,C72,1),0))</f>
        <v/>
      </c>
      <c r="U72" s="139">
        <f>U71+T71</f>
        <v/>
      </c>
      <c r="V72" s="139">
        <f>INDEX($G$30:$R$30,C72)</f>
        <v/>
      </c>
      <c r="W72" s="139">
        <f>ROUND(V72*E72/DAY(EOMONTH(DATE(B72,C72,1),0)),1)</f>
        <v/>
      </c>
      <c r="X72" s="139">
        <f>ROUND(MAX(V72+E72-W72,8),0)</f>
        <v/>
      </c>
      <c r="Y72" s="139">
        <f>D72*(DAY(EOMONTH(DATE(B72,C72,1),0))-X72)/DAY(EOMONTH(DATE(B72,C72,1),0))</f>
        <v/>
      </c>
      <c r="Z72" s="139">
        <f>Z71+Y71</f>
        <v/>
      </c>
    </row>
    <row r="73">
      <c r="A73" s="139" t="n">
        <v>11</v>
      </c>
      <c r="B73" s="139">
        <f>YEAR(EDATE(DATE(YEAR($B$10),MONTH($B$10),1),A73-1))</f>
        <v/>
      </c>
      <c r="C73" s="139">
        <f>MONTH(EDATE(DATE(YEAR($B$10),MONTH($B$10),1),A73-1))</f>
        <v/>
      </c>
      <c r="D73" s="139">
        <f>DAY(EOMONTH(DATE(B73,C73,1),0))</f>
        <v/>
      </c>
      <c r="E73" s="139">
        <f>IFERROR(INDEX(법정공휴일!$B$4:$M$20,MATCH(B73,법정공휴일!$A$4:$A$20,0),C73),0)</f>
        <v/>
      </c>
      <c r="F73" s="139">
        <f>F72+D72</f>
        <v/>
      </c>
      <c r="G73" s="139">
        <f>INDEX($G$27:$R$27,C73)</f>
        <v/>
      </c>
      <c r="H73" s="139">
        <f>ROUND(G73*E73/DAY(EOMONTH(DATE(B73,C73,1),0)),1)</f>
        <v/>
      </c>
      <c r="I73" s="139">
        <f>ROUND(MAX(G73+E73-H73,8),0)</f>
        <v/>
      </c>
      <c r="J73" s="139">
        <f>D73*(DAY(EOMONTH(DATE(B73,C73,1),0))-I73)/DAY(EOMONTH(DATE(B73,C73,1),0))</f>
        <v/>
      </c>
      <c r="K73" s="139">
        <f>K72+J72</f>
        <v/>
      </c>
      <c r="L73" s="139">
        <f>INDEX($G$28:$R$28,C73)</f>
        <v/>
      </c>
      <c r="M73" s="139">
        <f>ROUND(L73*E73/DAY(EOMONTH(DATE(B73,C73,1),0)),1)</f>
        <v/>
      </c>
      <c r="N73" s="139">
        <f>ROUND(MAX(L73+E73-M73,8),0)</f>
        <v/>
      </c>
      <c r="O73" s="139">
        <f>D73*(DAY(EOMONTH(DATE(B73,C73,1),0))-N73)/DAY(EOMONTH(DATE(B73,C73,1),0))</f>
        <v/>
      </c>
      <c r="P73" s="139">
        <f>P72+O72</f>
        <v/>
      </c>
      <c r="Q73" s="139">
        <f>INDEX($G$29:$R$29,C73)</f>
        <v/>
      </c>
      <c r="R73" s="139">
        <f>ROUND(Q73*E73/DAY(EOMONTH(DATE(B73,C73,1),0)),1)</f>
        <v/>
      </c>
      <c r="S73" s="139">
        <f>ROUND(MAX(Q73+E73-R73,8),0)</f>
        <v/>
      </c>
      <c r="T73" s="139">
        <f>D73*(DAY(EOMONTH(DATE(B73,C73,1),0))-S73)/DAY(EOMONTH(DATE(B73,C73,1),0))</f>
        <v/>
      </c>
      <c r="U73" s="139">
        <f>U72+T72</f>
        <v/>
      </c>
      <c r="V73" s="139">
        <f>INDEX($G$30:$R$30,C73)</f>
        <v/>
      </c>
      <c r="W73" s="139">
        <f>ROUND(V73*E73/DAY(EOMONTH(DATE(B73,C73,1),0)),1)</f>
        <v/>
      </c>
      <c r="X73" s="139">
        <f>ROUND(MAX(V73+E73-W73,8),0)</f>
        <v/>
      </c>
      <c r="Y73" s="139">
        <f>D73*(DAY(EOMONTH(DATE(B73,C73,1),0))-X73)/DAY(EOMONTH(DATE(B73,C73,1),0))</f>
        <v/>
      </c>
      <c r="Z73" s="139">
        <f>Z72+Y72</f>
        <v/>
      </c>
    </row>
    <row r="74">
      <c r="A74" s="139" t="n">
        <v>12</v>
      </c>
      <c r="B74" s="139">
        <f>YEAR(EDATE(DATE(YEAR($B$10),MONTH($B$10),1),A74-1))</f>
        <v/>
      </c>
      <c r="C74" s="139">
        <f>MONTH(EDATE(DATE(YEAR($B$10),MONTH($B$10),1),A74-1))</f>
        <v/>
      </c>
      <c r="D74" s="139">
        <f>DAY(EOMONTH(DATE(B74,C74,1),0))</f>
        <v/>
      </c>
      <c r="E74" s="139">
        <f>IFERROR(INDEX(법정공휴일!$B$4:$M$20,MATCH(B74,법정공휴일!$A$4:$A$20,0),C74),0)</f>
        <v/>
      </c>
      <c r="F74" s="139">
        <f>F73+D73</f>
        <v/>
      </c>
      <c r="G74" s="139">
        <f>INDEX($G$27:$R$27,C74)</f>
        <v/>
      </c>
      <c r="H74" s="139">
        <f>ROUND(G74*E74/DAY(EOMONTH(DATE(B74,C74,1),0)),1)</f>
        <v/>
      </c>
      <c r="I74" s="139">
        <f>ROUND(MAX(G74+E74-H74,8),0)</f>
        <v/>
      </c>
      <c r="J74" s="139">
        <f>D74*(DAY(EOMONTH(DATE(B74,C74,1),0))-I74)/DAY(EOMONTH(DATE(B74,C74,1),0))</f>
        <v/>
      </c>
      <c r="K74" s="139">
        <f>K73+J73</f>
        <v/>
      </c>
      <c r="L74" s="139">
        <f>INDEX($G$28:$R$28,C74)</f>
        <v/>
      </c>
      <c r="M74" s="139">
        <f>ROUND(L74*E74/DAY(EOMONTH(DATE(B74,C74,1),0)),1)</f>
        <v/>
      </c>
      <c r="N74" s="139">
        <f>ROUND(MAX(L74+E74-M74,8),0)</f>
        <v/>
      </c>
      <c r="O74" s="139">
        <f>D74*(DAY(EOMONTH(DATE(B74,C74,1),0))-N74)/DAY(EOMONTH(DATE(B74,C74,1),0))</f>
        <v/>
      </c>
      <c r="P74" s="139">
        <f>P73+O73</f>
        <v/>
      </c>
      <c r="Q74" s="139">
        <f>INDEX($G$29:$R$29,C74)</f>
        <v/>
      </c>
      <c r="R74" s="139">
        <f>ROUND(Q74*E74/DAY(EOMONTH(DATE(B74,C74,1),0)),1)</f>
        <v/>
      </c>
      <c r="S74" s="139">
        <f>ROUND(MAX(Q74+E74-R74,8),0)</f>
        <v/>
      </c>
      <c r="T74" s="139">
        <f>D74*(DAY(EOMONTH(DATE(B74,C74,1),0))-S74)/DAY(EOMONTH(DATE(B74,C74,1),0))</f>
        <v/>
      </c>
      <c r="U74" s="139">
        <f>U73+T73</f>
        <v/>
      </c>
      <c r="V74" s="139">
        <f>INDEX($G$30:$R$30,C74)</f>
        <v/>
      </c>
      <c r="W74" s="139">
        <f>ROUND(V74*E74/DAY(EOMONTH(DATE(B74,C74,1),0)),1)</f>
        <v/>
      </c>
      <c r="X74" s="139">
        <f>ROUND(MAX(V74+E74-W74,8),0)</f>
        <v/>
      </c>
      <c r="Y74" s="139">
        <f>D74*(DAY(EOMONTH(DATE(B74,C74,1),0))-X74)/DAY(EOMONTH(DATE(B74,C74,1),0))</f>
        <v/>
      </c>
      <c r="Z74" s="139">
        <f>Z73+Y73</f>
        <v/>
      </c>
    </row>
    <row r="75">
      <c r="A75" s="139" t="n">
        <v>13</v>
      </c>
      <c r="B75" s="139">
        <f>YEAR(EDATE(DATE(YEAR($B$10),MONTH($B$10),1),A75-1))</f>
        <v/>
      </c>
      <c r="C75" s="139">
        <f>MONTH(EDATE(DATE(YEAR($B$10),MONTH($B$10),1),A75-1))</f>
        <v/>
      </c>
      <c r="D75" s="139">
        <f>DAY(EOMONTH(DATE(B75,C75,1),0))</f>
        <v/>
      </c>
      <c r="E75" s="139">
        <f>IFERROR(INDEX(법정공휴일!$B$4:$M$20,MATCH(B75,법정공휴일!$A$4:$A$20,0),C75),0)</f>
        <v/>
      </c>
      <c r="F75" s="139">
        <f>F74+D74</f>
        <v/>
      </c>
      <c r="G75" s="139">
        <f>INDEX($G$27:$R$27,C75)</f>
        <v/>
      </c>
      <c r="H75" s="139">
        <f>ROUND(G75*E75/DAY(EOMONTH(DATE(B75,C75,1),0)),1)</f>
        <v/>
      </c>
      <c r="I75" s="139">
        <f>ROUND(MAX(G75+E75-H75,8),0)</f>
        <v/>
      </c>
      <c r="J75" s="139">
        <f>D75*(DAY(EOMONTH(DATE(B75,C75,1),0))-I75)/DAY(EOMONTH(DATE(B75,C75,1),0))</f>
        <v/>
      </c>
      <c r="K75" s="139">
        <f>K74+J74</f>
        <v/>
      </c>
      <c r="L75" s="139">
        <f>INDEX($G$28:$R$28,C75)</f>
        <v/>
      </c>
      <c r="M75" s="139">
        <f>ROUND(L75*E75/DAY(EOMONTH(DATE(B75,C75,1),0)),1)</f>
        <v/>
      </c>
      <c r="N75" s="139">
        <f>ROUND(MAX(L75+E75-M75,8),0)</f>
        <v/>
      </c>
      <c r="O75" s="139">
        <f>D75*(DAY(EOMONTH(DATE(B75,C75,1),0))-N75)/DAY(EOMONTH(DATE(B75,C75,1),0))</f>
        <v/>
      </c>
      <c r="P75" s="139">
        <f>P74+O74</f>
        <v/>
      </c>
      <c r="Q75" s="139">
        <f>INDEX($G$29:$R$29,C75)</f>
        <v/>
      </c>
      <c r="R75" s="139">
        <f>ROUND(Q75*E75/DAY(EOMONTH(DATE(B75,C75,1),0)),1)</f>
        <v/>
      </c>
      <c r="S75" s="139">
        <f>ROUND(MAX(Q75+E75-R75,8),0)</f>
        <v/>
      </c>
      <c r="T75" s="139">
        <f>D75*(DAY(EOMONTH(DATE(B75,C75,1),0))-S75)/DAY(EOMONTH(DATE(B75,C75,1),0))</f>
        <v/>
      </c>
      <c r="U75" s="139">
        <f>U74+T74</f>
        <v/>
      </c>
      <c r="V75" s="139">
        <f>INDEX($G$30:$R$30,C75)</f>
        <v/>
      </c>
      <c r="W75" s="139">
        <f>ROUND(V75*E75/DAY(EOMONTH(DATE(B75,C75,1),0)),1)</f>
        <v/>
      </c>
      <c r="X75" s="139">
        <f>ROUND(MAX(V75+E75-W75,8),0)</f>
        <v/>
      </c>
      <c r="Y75" s="139">
        <f>D75*(DAY(EOMONTH(DATE(B75,C75,1),0))-X75)/DAY(EOMONTH(DATE(B75,C75,1),0))</f>
        <v/>
      </c>
      <c r="Z75" s="139">
        <f>Z74+Y74</f>
        <v/>
      </c>
    </row>
    <row r="76">
      <c r="A76" s="139" t="n">
        <v>14</v>
      </c>
      <c r="B76" s="139">
        <f>YEAR(EDATE(DATE(YEAR($B$10),MONTH($B$10),1),A76-1))</f>
        <v/>
      </c>
      <c r="C76" s="139">
        <f>MONTH(EDATE(DATE(YEAR($B$10),MONTH($B$10),1),A76-1))</f>
        <v/>
      </c>
      <c r="D76" s="139">
        <f>DAY(EOMONTH(DATE(B76,C76,1),0))</f>
        <v/>
      </c>
      <c r="E76" s="139">
        <f>IFERROR(INDEX(법정공휴일!$B$4:$M$20,MATCH(B76,법정공휴일!$A$4:$A$20,0),C76),0)</f>
        <v/>
      </c>
      <c r="F76" s="139">
        <f>F75+D75</f>
        <v/>
      </c>
      <c r="G76" s="139">
        <f>INDEX($G$27:$R$27,C76)</f>
        <v/>
      </c>
      <c r="H76" s="139">
        <f>ROUND(G76*E76/DAY(EOMONTH(DATE(B76,C76,1),0)),1)</f>
        <v/>
      </c>
      <c r="I76" s="139">
        <f>ROUND(MAX(G76+E76-H76,8),0)</f>
        <v/>
      </c>
      <c r="J76" s="139">
        <f>D76*(DAY(EOMONTH(DATE(B76,C76,1),0))-I76)/DAY(EOMONTH(DATE(B76,C76,1),0))</f>
        <v/>
      </c>
      <c r="K76" s="139">
        <f>K75+J75</f>
        <v/>
      </c>
      <c r="L76" s="139">
        <f>INDEX($G$28:$R$28,C76)</f>
        <v/>
      </c>
      <c r="M76" s="139">
        <f>ROUND(L76*E76/DAY(EOMONTH(DATE(B76,C76,1),0)),1)</f>
        <v/>
      </c>
      <c r="N76" s="139">
        <f>ROUND(MAX(L76+E76-M76,8),0)</f>
        <v/>
      </c>
      <c r="O76" s="139">
        <f>D76*(DAY(EOMONTH(DATE(B76,C76,1),0))-N76)/DAY(EOMONTH(DATE(B76,C76,1),0))</f>
        <v/>
      </c>
      <c r="P76" s="139">
        <f>P75+O75</f>
        <v/>
      </c>
      <c r="Q76" s="139">
        <f>INDEX($G$29:$R$29,C76)</f>
        <v/>
      </c>
      <c r="R76" s="139">
        <f>ROUND(Q76*E76/DAY(EOMONTH(DATE(B76,C76,1),0)),1)</f>
        <v/>
      </c>
      <c r="S76" s="139">
        <f>ROUND(MAX(Q76+E76-R76,8),0)</f>
        <v/>
      </c>
      <c r="T76" s="139">
        <f>D76*(DAY(EOMONTH(DATE(B76,C76,1),0))-S76)/DAY(EOMONTH(DATE(B76,C76,1),0))</f>
        <v/>
      </c>
      <c r="U76" s="139">
        <f>U75+T75</f>
        <v/>
      </c>
      <c r="V76" s="139">
        <f>INDEX($G$30:$R$30,C76)</f>
        <v/>
      </c>
      <c r="W76" s="139">
        <f>ROUND(V76*E76/DAY(EOMONTH(DATE(B76,C76,1),0)),1)</f>
        <v/>
      </c>
      <c r="X76" s="139">
        <f>ROUND(MAX(V76+E76-W76,8),0)</f>
        <v/>
      </c>
      <c r="Y76" s="139">
        <f>D76*(DAY(EOMONTH(DATE(B76,C76,1),0))-X76)/DAY(EOMONTH(DATE(B76,C76,1),0))</f>
        <v/>
      </c>
      <c r="Z76" s="139">
        <f>Z75+Y75</f>
        <v/>
      </c>
    </row>
    <row r="77">
      <c r="A77" s="139" t="n">
        <v>15</v>
      </c>
      <c r="B77" s="139">
        <f>YEAR(EDATE(DATE(YEAR($B$10),MONTH($B$10),1),A77-1))</f>
        <v/>
      </c>
      <c r="C77" s="139">
        <f>MONTH(EDATE(DATE(YEAR($B$10),MONTH($B$10),1),A77-1))</f>
        <v/>
      </c>
      <c r="D77" s="139">
        <f>DAY(EOMONTH(DATE(B77,C77,1),0))</f>
        <v/>
      </c>
      <c r="E77" s="139">
        <f>IFERROR(INDEX(법정공휴일!$B$4:$M$20,MATCH(B77,법정공휴일!$A$4:$A$20,0),C77),0)</f>
        <v/>
      </c>
      <c r="F77" s="139">
        <f>F76+D76</f>
        <v/>
      </c>
      <c r="G77" s="139">
        <f>INDEX($G$27:$R$27,C77)</f>
        <v/>
      </c>
      <c r="H77" s="139">
        <f>ROUND(G77*E77/DAY(EOMONTH(DATE(B77,C77,1),0)),1)</f>
        <v/>
      </c>
      <c r="I77" s="139">
        <f>ROUND(MAX(G77+E77-H77,8),0)</f>
        <v/>
      </c>
      <c r="J77" s="139">
        <f>D77*(DAY(EOMONTH(DATE(B77,C77,1),0))-I77)/DAY(EOMONTH(DATE(B77,C77,1),0))</f>
        <v/>
      </c>
      <c r="K77" s="139">
        <f>K76+J76</f>
        <v/>
      </c>
      <c r="L77" s="139">
        <f>INDEX($G$28:$R$28,C77)</f>
        <v/>
      </c>
      <c r="M77" s="139">
        <f>ROUND(L77*E77/DAY(EOMONTH(DATE(B77,C77,1),0)),1)</f>
        <v/>
      </c>
      <c r="N77" s="139">
        <f>ROUND(MAX(L77+E77-M77,8),0)</f>
        <v/>
      </c>
      <c r="O77" s="139">
        <f>D77*(DAY(EOMONTH(DATE(B77,C77,1),0))-N77)/DAY(EOMONTH(DATE(B77,C77,1),0))</f>
        <v/>
      </c>
      <c r="P77" s="139">
        <f>P76+O76</f>
        <v/>
      </c>
      <c r="Q77" s="139">
        <f>INDEX($G$29:$R$29,C77)</f>
        <v/>
      </c>
      <c r="R77" s="139">
        <f>ROUND(Q77*E77/DAY(EOMONTH(DATE(B77,C77,1),0)),1)</f>
        <v/>
      </c>
      <c r="S77" s="139">
        <f>ROUND(MAX(Q77+E77-R77,8),0)</f>
        <v/>
      </c>
      <c r="T77" s="139">
        <f>D77*(DAY(EOMONTH(DATE(B77,C77,1),0))-S77)/DAY(EOMONTH(DATE(B77,C77,1),0))</f>
        <v/>
      </c>
      <c r="U77" s="139">
        <f>U76+T76</f>
        <v/>
      </c>
      <c r="V77" s="139">
        <f>INDEX($G$30:$R$30,C77)</f>
        <v/>
      </c>
      <c r="W77" s="139">
        <f>ROUND(V77*E77/DAY(EOMONTH(DATE(B77,C77,1),0)),1)</f>
        <v/>
      </c>
      <c r="X77" s="139">
        <f>ROUND(MAX(V77+E77-W77,8),0)</f>
        <v/>
      </c>
      <c r="Y77" s="139">
        <f>D77*(DAY(EOMONTH(DATE(B77,C77,1),0))-X77)/DAY(EOMONTH(DATE(B77,C77,1),0))</f>
        <v/>
      </c>
      <c r="Z77" s="139">
        <f>Z76+Y76</f>
        <v/>
      </c>
    </row>
    <row r="78">
      <c r="A78" s="139" t="n">
        <v>16</v>
      </c>
      <c r="B78" s="139">
        <f>YEAR(EDATE(DATE(YEAR($B$10),MONTH($B$10),1),A78-1))</f>
        <v/>
      </c>
      <c r="C78" s="139">
        <f>MONTH(EDATE(DATE(YEAR($B$10),MONTH($B$10),1),A78-1))</f>
        <v/>
      </c>
      <c r="D78" s="139">
        <f>DAY(EOMONTH(DATE(B78,C78,1),0))</f>
        <v/>
      </c>
      <c r="E78" s="139">
        <f>IFERROR(INDEX(법정공휴일!$B$4:$M$20,MATCH(B78,법정공휴일!$A$4:$A$20,0),C78),0)</f>
        <v/>
      </c>
      <c r="F78" s="139">
        <f>F77+D77</f>
        <v/>
      </c>
      <c r="G78" s="139">
        <f>INDEX($G$27:$R$27,C78)</f>
        <v/>
      </c>
      <c r="H78" s="139">
        <f>ROUND(G78*E78/DAY(EOMONTH(DATE(B78,C78,1),0)),1)</f>
        <v/>
      </c>
      <c r="I78" s="139">
        <f>ROUND(MAX(G78+E78-H78,8),0)</f>
        <v/>
      </c>
      <c r="J78" s="139">
        <f>D78*(DAY(EOMONTH(DATE(B78,C78,1),0))-I78)/DAY(EOMONTH(DATE(B78,C78,1),0))</f>
        <v/>
      </c>
      <c r="K78" s="139">
        <f>K77+J77</f>
        <v/>
      </c>
      <c r="L78" s="139">
        <f>INDEX($G$28:$R$28,C78)</f>
        <v/>
      </c>
      <c r="M78" s="139">
        <f>ROUND(L78*E78/DAY(EOMONTH(DATE(B78,C78,1),0)),1)</f>
        <v/>
      </c>
      <c r="N78" s="139">
        <f>ROUND(MAX(L78+E78-M78,8),0)</f>
        <v/>
      </c>
      <c r="O78" s="139">
        <f>D78*(DAY(EOMONTH(DATE(B78,C78,1),0))-N78)/DAY(EOMONTH(DATE(B78,C78,1),0))</f>
        <v/>
      </c>
      <c r="P78" s="139">
        <f>P77+O77</f>
        <v/>
      </c>
      <c r="Q78" s="139">
        <f>INDEX($G$29:$R$29,C78)</f>
        <v/>
      </c>
      <c r="R78" s="139">
        <f>ROUND(Q78*E78/DAY(EOMONTH(DATE(B78,C78,1),0)),1)</f>
        <v/>
      </c>
      <c r="S78" s="139">
        <f>ROUND(MAX(Q78+E78-R78,8),0)</f>
        <v/>
      </c>
      <c r="T78" s="139">
        <f>D78*(DAY(EOMONTH(DATE(B78,C78,1),0))-S78)/DAY(EOMONTH(DATE(B78,C78,1),0))</f>
        <v/>
      </c>
      <c r="U78" s="139">
        <f>U77+T77</f>
        <v/>
      </c>
      <c r="V78" s="139">
        <f>INDEX($G$30:$R$30,C78)</f>
        <v/>
      </c>
      <c r="W78" s="139">
        <f>ROUND(V78*E78/DAY(EOMONTH(DATE(B78,C78,1),0)),1)</f>
        <v/>
      </c>
      <c r="X78" s="139">
        <f>ROUND(MAX(V78+E78-W78,8),0)</f>
        <v/>
      </c>
      <c r="Y78" s="139">
        <f>D78*(DAY(EOMONTH(DATE(B78,C78,1),0))-X78)/DAY(EOMONTH(DATE(B78,C78,1),0))</f>
        <v/>
      </c>
      <c r="Z78" s="139">
        <f>Z77+Y77</f>
        <v/>
      </c>
    </row>
    <row r="79">
      <c r="A79" s="139" t="n">
        <v>17</v>
      </c>
      <c r="B79" s="139">
        <f>YEAR(EDATE(DATE(YEAR($B$10),MONTH($B$10),1),A79-1))</f>
        <v/>
      </c>
      <c r="C79" s="139">
        <f>MONTH(EDATE(DATE(YEAR($B$10),MONTH($B$10),1),A79-1))</f>
        <v/>
      </c>
      <c r="D79" s="139">
        <f>DAY(EOMONTH(DATE(B79,C79,1),0))</f>
        <v/>
      </c>
      <c r="E79" s="139">
        <f>IFERROR(INDEX(법정공휴일!$B$4:$M$20,MATCH(B79,법정공휴일!$A$4:$A$20,0),C79),0)</f>
        <v/>
      </c>
      <c r="F79" s="139">
        <f>F78+D78</f>
        <v/>
      </c>
      <c r="G79" s="139">
        <f>INDEX($G$27:$R$27,C79)</f>
        <v/>
      </c>
      <c r="H79" s="139">
        <f>ROUND(G79*E79/DAY(EOMONTH(DATE(B79,C79,1),0)),1)</f>
        <v/>
      </c>
      <c r="I79" s="139">
        <f>ROUND(MAX(G79+E79-H79,8),0)</f>
        <v/>
      </c>
      <c r="J79" s="139">
        <f>D79*(DAY(EOMONTH(DATE(B79,C79,1),0))-I79)/DAY(EOMONTH(DATE(B79,C79,1),0))</f>
        <v/>
      </c>
      <c r="K79" s="139">
        <f>K78+J78</f>
        <v/>
      </c>
      <c r="L79" s="139">
        <f>INDEX($G$28:$R$28,C79)</f>
        <v/>
      </c>
      <c r="M79" s="139">
        <f>ROUND(L79*E79/DAY(EOMONTH(DATE(B79,C79,1),0)),1)</f>
        <v/>
      </c>
      <c r="N79" s="139">
        <f>ROUND(MAX(L79+E79-M79,8),0)</f>
        <v/>
      </c>
      <c r="O79" s="139">
        <f>D79*(DAY(EOMONTH(DATE(B79,C79,1),0))-N79)/DAY(EOMONTH(DATE(B79,C79,1),0))</f>
        <v/>
      </c>
      <c r="P79" s="139">
        <f>P78+O78</f>
        <v/>
      </c>
      <c r="Q79" s="139">
        <f>INDEX($G$29:$R$29,C79)</f>
        <v/>
      </c>
      <c r="R79" s="139">
        <f>ROUND(Q79*E79/DAY(EOMONTH(DATE(B79,C79,1),0)),1)</f>
        <v/>
      </c>
      <c r="S79" s="139">
        <f>ROUND(MAX(Q79+E79-R79,8),0)</f>
        <v/>
      </c>
      <c r="T79" s="139">
        <f>D79*(DAY(EOMONTH(DATE(B79,C79,1),0))-S79)/DAY(EOMONTH(DATE(B79,C79,1),0))</f>
        <v/>
      </c>
      <c r="U79" s="139">
        <f>U78+T78</f>
        <v/>
      </c>
      <c r="V79" s="139">
        <f>INDEX($G$30:$R$30,C79)</f>
        <v/>
      </c>
      <c r="W79" s="139">
        <f>ROUND(V79*E79/DAY(EOMONTH(DATE(B79,C79,1),0)),1)</f>
        <v/>
      </c>
      <c r="X79" s="139">
        <f>ROUND(MAX(V79+E79-W79,8),0)</f>
        <v/>
      </c>
      <c r="Y79" s="139">
        <f>D79*(DAY(EOMONTH(DATE(B79,C79,1),0))-X79)/DAY(EOMONTH(DATE(B79,C79,1),0))</f>
        <v/>
      </c>
      <c r="Z79" s="139">
        <f>Z78+Y78</f>
        <v/>
      </c>
    </row>
    <row r="80">
      <c r="A80" s="139" t="n">
        <v>18</v>
      </c>
      <c r="B80" s="139">
        <f>YEAR(EDATE(DATE(YEAR($B$10),MONTH($B$10),1),A80-1))</f>
        <v/>
      </c>
      <c r="C80" s="139">
        <f>MONTH(EDATE(DATE(YEAR($B$10),MONTH($B$10),1),A80-1))</f>
        <v/>
      </c>
      <c r="D80" s="139">
        <f>DAY(EOMONTH(DATE(B80,C80,1),0))</f>
        <v/>
      </c>
      <c r="E80" s="139">
        <f>IFERROR(INDEX(법정공휴일!$B$4:$M$20,MATCH(B80,법정공휴일!$A$4:$A$20,0),C80),0)</f>
        <v/>
      </c>
      <c r="F80" s="139">
        <f>F79+D79</f>
        <v/>
      </c>
      <c r="G80" s="139">
        <f>INDEX($G$27:$R$27,C80)</f>
        <v/>
      </c>
      <c r="H80" s="139">
        <f>ROUND(G80*E80/DAY(EOMONTH(DATE(B80,C80,1),0)),1)</f>
        <v/>
      </c>
      <c r="I80" s="139">
        <f>ROUND(MAX(G80+E80-H80,8),0)</f>
        <v/>
      </c>
      <c r="J80" s="139">
        <f>D80*(DAY(EOMONTH(DATE(B80,C80,1),0))-I80)/DAY(EOMONTH(DATE(B80,C80,1),0))</f>
        <v/>
      </c>
      <c r="K80" s="139">
        <f>K79+J79</f>
        <v/>
      </c>
      <c r="L80" s="139">
        <f>INDEX($G$28:$R$28,C80)</f>
        <v/>
      </c>
      <c r="M80" s="139">
        <f>ROUND(L80*E80/DAY(EOMONTH(DATE(B80,C80,1),0)),1)</f>
        <v/>
      </c>
      <c r="N80" s="139">
        <f>ROUND(MAX(L80+E80-M80,8),0)</f>
        <v/>
      </c>
      <c r="O80" s="139">
        <f>D80*(DAY(EOMONTH(DATE(B80,C80,1),0))-N80)/DAY(EOMONTH(DATE(B80,C80,1),0))</f>
        <v/>
      </c>
      <c r="P80" s="139">
        <f>P79+O79</f>
        <v/>
      </c>
      <c r="Q80" s="139">
        <f>INDEX($G$29:$R$29,C80)</f>
        <v/>
      </c>
      <c r="R80" s="139">
        <f>ROUND(Q80*E80/DAY(EOMONTH(DATE(B80,C80,1),0)),1)</f>
        <v/>
      </c>
      <c r="S80" s="139">
        <f>ROUND(MAX(Q80+E80-R80,8),0)</f>
        <v/>
      </c>
      <c r="T80" s="139">
        <f>D80*(DAY(EOMONTH(DATE(B80,C80,1),0))-S80)/DAY(EOMONTH(DATE(B80,C80,1),0))</f>
        <v/>
      </c>
      <c r="U80" s="139">
        <f>U79+T79</f>
        <v/>
      </c>
      <c r="V80" s="139">
        <f>INDEX($G$30:$R$30,C80)</f>
        <v/>
      </c>
      <c r="W80" s="139">
        <f>ROUND(V80*E80/DAY(EOMONTH(DATE(B80,C80,1),0)),1)</f>
        <v/>
      </c>
      <c r="X80" s="139">
        <f>ROUND(MAX(V80+E80-W80,8),0)</f>
        <v/>
      </c>
      <c r="Y80" s="139">
        <f>D80*(DAY(EOMONTH(DATE(B80,C80,1),0))-X80)/DAY(EOMONTH(DATE(B80,C80,1),0))</f>
        <v/>
      </c>
      <c r="Z80" s="139">
        <f>Z79+Y79</f>
        <v/>
      </c>
    </row>
    <row r="81">
      <c r="A81" s="139" t="n">
        <v>19</v>
      </c>
      <c r="B81" s="139">
        <f>YEAR(EDATE(DATE(YEAR($B$10),MONTH($B$10),1),A81-1))</f>
        <v/>
      </c>
      <c r="C81" s="139">
        <f>MONTH(EDATE(DATE(YEAR($B$10),MONTH($B$10),1),A81-1))</f>
        <v/>
      </c>
      <c r="D81" s="139">
        <f>DAY(EOMONTH(DATE(B81,C81,1),0))</f>
        <v/>
      </c>
      <c r="E81" s="139">
        <f>IFERROR(INDEX(법정공휴일!$B$4:$M$20,MATCH(B81,법정공휴일!$A$4:$A$20,0),C81),0)</f>
        <v/>
      </c>
      <c r="F81" s="139">
        <f>F80+D80</f>
        <v/>
      </c>
      <c r="G81" s="139">
        <f>INDEX($G$27:$R$27,C81)</f>
        <v/>
      </c>
      <c r="H81" s="139">
        <f>ROUND(G81*E81/DAY(EOMONTH(DATE(B81,C81,1),0)),1)</f>
        <v/>
      </c>
      <c r="I81" s="139">
        <f>ROUND(MAX(G81+E81-H81,8),0)</f>
        <v/>
      </c>
      <c r="J81" s="139">
        <f>D81*(DAY(EOMONTH(DATE(B81,C81,1),0))-I81)/DAY(EOMONTH(DATE(B81,C81,1),0))</f>
        <v/>
      </c>
      <c r="K81" s="139">
        <f>K80+J80</f>
        <v/>
      </c>
      <c r="L81" s="139">
        <f>INDEX($G$28:$R$28,C81)</f>
        <v/>
      </c>
      <c r="M81" s="139">
        <f>ROUND(L81*E81/DAY(EOMONTH(DATE(B81,C81,1),0)),1)</f>
        <v/>
      </c>
      <c r="N81" s="139">
        <f>ROUND(MAX(L81+E81-M81,8),0)</f>
        <v/>
      </c>
      <c r="O81" s="139">
        <f>D81*(DAY(EOMONTH(DATE(B81,C81,1),0))-N81)/DAY(EOMONTH(DATE(B81,C81,1),0))</f>
        <v/>
      </c>
      <c r="P81" s="139">
        <f>P80+O80</f>
        <v/>
      </c>
      <c r="Q81" s="139">
        <f>INDEX($G$29:$R$29,C81)</f>
        <v/>
      </c>
      <c r="R81" s="139">
        <f>ROUND(Q81*E81/DAY(EOMONTH(DATE(B81,C81,1),0)),1)</f>
        <v/>
      </c>
      <c r="S81" s="139">
        <f>ROUND(MAX(Q81+E81-R81,8),0)</f>
        <v/>
      </c>
      <c r="T81" s="139">
        <f>D81*(DAY(EOMONTH(DATE(B81,C81,1),0))-S81)/DAY(EOMONTH(DATE(B81,C81,1),0))</f>
        <v/>
      </c>
      <c r="U81" s="139">
        <f>U80+T80</f>
        <v/>
      </c>
      <c r="V81" s="139">
        <f>INDEX($G$30:$R$30,C81)</f>
        <v/>
      </c>
      <c r="W81" s="139">
        <f>ROUND(V81*E81/DAY(EOMONTH(DATE(B81,C81,1),0)),1)</f>
        <v/>
      </c>
      <c r="X81" s="139">
        <f>ROUND(MAX(V81+E81-W81,8),0)</f>
        <v/>
      </c>
      <c r="Y81" s="139">
        <f>D81*(DAY(EOMONTH(DATE(B81,C81,1),0))-X81)/DAY(EOMONTH(DATE(B81,C81,1),0))</f>
        <v/>
      </c>
      <c r="Z81" s="139">
        <f>Z80+Y80</f>
        <v/>
      </c>
    </row>
    <row r="82">
      <c r="A82" s="139" t="n">
        <v>20</v>
      </c>
      <c r="B82" s="139">
        <f>YEAR(EDATE(DATE(YEAR($B$10),MONTH($B$10),1),A82-1))</f>
        <v/>
      </c>
      <c r="C82" s="139">
        <f>MONTH(EDATE(DATE(YEAR($B$10),MONTH($B$10),1),A82-1))</f>
        <v/>
      </c>
      <c r="D82" s="139">
        <f>DAY(EOMONTH(DATE(B82,C82,1),0))</f>
        <v/>
      </c>
      <c r="E82" s="139">
        <f>IFERROR(INDEX(법정공휴일!$B$4:$M$20,MATCH(B82,법정공휴일!$A$4:$A$20,0),C82),0)</f>
        <v/>
      </c>
      <c r="F82" s="139">
        <f>F81+D81</f>
        <v/>
      </c>
      <c r="G82" s="139">
        <f>INDEX($G$27:$R$27,C82)</f>
        <v/>
      </c>
      <c r="H82" s="139">
        <f>ROUND(G82*E82/DAY(EOMONTH(DATE(B82,C82,1),0)),1)</f>
        <v/>
      </c>
      <c r="I82" s="139">
        <f>ROUND(MAX(G82+E82-H82,8),0)</f>
        <v/>
      </c>
      <c r="J82" s="139">
        <f>D82*(DAY(EOMONTH(DATE(B82,C82,1),0))-I82)/DAY(EOMONTH(DATE(B82,C82,1),0))</f>
        <v/>
      </c>
      <c r="K82" s="139">
        <f>K81+J81</f>
        <v/>
      </c>
      <c r="L82" s="139">
        <f>INDEX($G$28:$R$28,C82)</f>
        <v/>
      </c>
      <c r="M82" s="139">
        <f>ROUND(L82*E82/DAY(EOMONTH(DATE(B82,C82,1),0)),1)</f>
        <v/>
      </c>
      <c r="N82" s="139">
        <f>ROUND(MAX(L82+E82-M82,8),0)</f>
        <v/>
      </c>
      <c r="O82" s="139">
        <f>D82*(DAY(EOMONTH(DATE(B82,C82,1),0))-N82)/DAY(EOMONTH(DATE(B82,C82,1),0))</f>
        <v/>
      </c>
      <c r="P82" s="139">
        <f>P81+O81</f>
        <v/>
      </c>
      <c r="Q82" s="139">
        <f>INDEX($G$29:$R$29,C82)</f>
        <v/>
      </c>
      <c r="R82" s="139">
        <f>ROUND(Q82*E82/DAY(EOMONTH(DATE(B82,C82,1),0)),1)</f>
        <v/>
      </c>
      <c r="S82" s="139">
        <f>ROUND(MAX(Q82+E82-R82,8),0)</f>
        <v/>
      </c>
      <c r="T82" s="139">
        <f>D82*(DAY(EOMONTH(DATE(B82,C82,1),0))-S82)/DAY(EOMONTH(DATE(B82,C82,1),0))</f>
        <v/>
      </c>
      <c r="U82" s="139">
        <f>U81+T81</f>
        <v/>
      </c>
      <c r="V82" s="139">
        <f>INDEX($G$30:$R$30,C82)</f>
        <v/>
      </c>
      <c r="W82" s="139">
        <f>ROUND(V82*E82/DAY(EOMONTH(DATE(B82,C82,1),0)),1)</f>
        <v/>
      </c>
      <c r="X82" s="139">
        <f>ROUND(MAX(V82+E82-W82,8),0)</f>
        <v/>
      </c>
      <c r="Y82" s="139">
        <f>D82*(DAY(EOMONTH(DATE(B82,C82,1),0))-X82)/DAY(EOMONTH(DATE(B82,C82,1),0))</f>
        <v/>
      </c>
      <c r="Z82" s="139">
        <f>Z81+Y81</f>
        <v/>
      </c>
    </row>
    <row r="83">
      <c r="A83" s="139" t="n">
        <v>21</v>
      </c>
      <c r="B83" s="139">
        <f>YEAR(EDATE(DATE(YEAR($B$10),MONTH($B$10),1),A83-1))</f>
        <v/>
      </c>
      <c r="C83" s="139">
        <f>MONTH(EDATE(DATE(YEAR($B$10),MONTH($B$10),1),A83-1))</f>
        <v/>
      </c>
      <c r="D83" s="139">
        <f>DAY(EOMONTH(DATE(B83,C83,1),0))</f>
        <v/>
      </c>
      <c r="E83" s="139">
        <f>IFERROR(INDEX(법정공휴일!$B$4:$M$20,MATCH(B83,법정공휴일!$A$4:$A$20,0),C83),0)</f>
        <v/>
      </c>
      <c r="F83" s="139">
        <f>F82+D82</f>
        <v/>
      </c>
      <c r="G83" s="139">
        <f>INDEX($G$27:$R$27,C83)</f>
        <v/>
      </c>
      <c r="H83" s="139">
        <f>ROUND(G83*E83/DAY(EOMONTH(DATE(B83,C83,1),0)),1)</f>
        <v/>
      </c>
      <c r="I83" s="139">
        <f>ROUND(MAX(G83+E83-H83,8),0)</f>
        <v/>
      </c>
      <c r="J83" s="139">
        <f>D83*(DAY(EOMONTH(DATE(B83,C83,1),0))-I83)/DAY(EOMONTH(DATE(B83,C83,1),0))</f>
        <v/>
      </c>
      <c r="K83" s="139">
        <f>K82+J82</f>
        <v/>
      </c>
      <c r="L83" s="139">
        <f>INDEX($G$28:$R$28,C83)</f>
        <v/>
      </c>
      <c r="M83" s="139">
        <f>ROUND(L83*E83/DAY(EOMONTH(DATE(B83,C83,1),0)),1)</f>
        <v/>
      </c>
      <c r="N83" s="139">
        <f>ROUND(MAX(L83+E83-M83,8),0)</f>
        <v/>
      </c>
      <c r="O83" s="139">
        <f>D83*(DAY(EOMONTH(DATE(B83,C83,1),0))-N83)/DAY(EOMONTH(DATE(B83,C83,1),0))</f>
        <v/>
      </c>
      <c r="P83" s="139">
        <f>P82+O82</f>
        <v/>
      </c>
      <c r="Q83" s="139">
        <f>INDEX($G$29:$R$29,C83)</f>
        <v/>
      </c>
      <c r="R83" s="139">
        <f>ROUND(Q83*E83/DAY(EOMONTH(DATE(B83,C83,1),0)),1)</f>
        <v/>
      </c>
      <c r="S83" s="139">
        <f>ROUND(MAX(Q83+E83-R83,8),0)</f>
        <v/>
      </c>
      <c r="T83" s="139">
        <f>D83*(DAY(EOMONTH(DATE(B83,C83,1),0))-S83)/DAY(EOMONTH(DATE(B83,C83,1),0))</f>
        <v/>
      </c>
      <c r="U83" s="139">
        <f>U82+T82</f>
        <v/>
      </c>
      <c r="V83" s="139">
        <f>INDEX($G$30:$R$30,C83)</f>
        <v/>
      </c>
      <c r="W83" s="139">
        <f>ROUND(V83*E83/DAY(EOMONTH(DATE(B83,C83,1),0)),1)</f>
        <v/>
      </c>
      <c r="X83" s="139">
        <f>ROUND(MAX(V83+E83-W83,8),0)</f>
        <v/>
      </c>
      <c r="Y83" s="139">
        <f>D83*(DAY(EOMONTH(DATE(B83,C83,1),0))-X83)/DAY(EOMONTH(DATE(B83,C83,1),0))</f>
        <v/>
      </c>
      <c r="Z83" s="139">
        <f>Z82+Y82</f>
        <v/>
      </c>
    </row>
    <row r="84">
      <c r="A84" s="139" t="n">
        <v>22</v>
      </c>
      <c r="B84" s="139">
        <f>YEAR(EDATE(DATE(YEAR($B$10),MONTH($B$10),1),A84-1))</f>
        <v/>
      </c>
      <c r="C84" s="139">
        <f>MONTH(EDATE(DATE(YEAR($B$10),MONTH($B$10),1),A84-1))</f>
        <v/>
      </c>
      <c r="D84" s="139">
        <f>DAY(EOMONTH(DATE(B84,C84,1),0))</f>
        <v/>
      </c>
      <c r="E84" s="139">
        <f>IFERROR(INDEX(법정공휴일!$B$4:$M$20,MATCH(B84,법정공휴일!$A$4:$A$20,0),C84),0)</f>
        <v/>
      </c>
      <c r="F84" s="139">
        <f>F83+D83</f>
        <v/>
      </c>
      <c r="G84" s="139">
        <f>INDEX($G$27:$R$27,C84)</f>
        <v/>
      </c>
      <c r="H84" s="139">
        <f>ROUND(G84*E84/DAY(EOMONTH(DATE(B84,C84,1),0)),1)</f>
        <v/>
      </c>
      <c r="I84" s="139">
        <f>ROUND(MAX(G84+E84-H84,8),0)</f>
        <v/>
      </c>
      <c r="J84" s="139">
        <f>D84*(DAY(EOMONTH(DATE(B84,C84,1),0))-I84)/DAY(EOMONTH(DATE(B84,C84,1),0))</f>
        <v/>
      </c>
      <c r="K84" s="139">
        <f>K83+J83</f>
        <v/>
      </c>
      <c r="L84" s="139">
        <f>INDEX($G$28:$R$28,C84)</f>
        <v/>
      </c>
      <c r="M84" s="139">
        <f>ROUND(L84*E84/DAY(EOMONTH(DATE(B84,C84,1),0)),1)</f>
        <v/>
      </c>
      <c r="N84" s="139">
        <f>ROUND(MAX(L84+E84-M84,8),0)</f>
        <v/>
      </c>
      <c r="O84" s="139">
        <f>D84*(DAY(EOMONTH(DATE(B84,C84,1),0))-N84)/DAY(EOMONTH(DATE(B84,C84,1),0))</f>
        <v/>
      </c>
      <c r="P84" s="139">
        <f>P83+O83</f>
        <v/>
      </c>
      <c r="Q84" s="139">
        <f>INDEX($G$29:$R$29,C84)</f>
        <v/>
      </c>
      <c r="R84" s="139">
        <f>ROUND(Q84*E84/DAY(EOMONTH(DATE(B84,C84,1),0)),1)</f>
        <v/>
      </c>
      <c r="S84" s="139">
        <f>ROUND(MAX(Q84+E84-R84,8),0)</f>
        <v/>
      </c>
      <c r="T84" s="139">
        <f>D84*(DAY(EOMONTH(DATE(B84,C84,1),0))-S84)/DAY(EOMONTH(DATE(B84,C84,1),0))</f>
        <v/>
      </c>
      <c r="U84" s="139">
        <f>U83+T83</f>
        <v/>
      </c>
      <c r="V84" s="139">
        <f>INDEX($G$30:$R$30,C84)</f>
        <v/>
      </c>
      <c r="W84" s="139">
        <f>ROUND(V84*E84/DAY(EOMONTH(DATE(B84,C84,1),0)),1)</f>
        <v/>
      </c>
      <c r="X84" s="139">
        <f>ROUND(MAX(V84+E84-W84,8),0)</f>
        <v/>
      </c>
      <c r="Y84" s="139">
        <f>D84*(DAY(EOMONTH(DATE(B84,C84,1),0))-X84)/DAY(EOMONTH(DATE(B84,C84,1),0))</f>
        <v/>
      </c>
      <c r="Z84" s="139">
        <f>Z83+Y83</f>
        <v/>
      </c>
    </row>
    <row r="85">
      <c r="A85" s="139" t="n">
        <v>23</v>
      </c>
      <c r="B85" s="139">
        <f>YEAR(EDATE(DATE(YEAR($B$10),MONTH($B$10),1),A85-1))</f>
        <v/>
      </c>
      <c r="C85" s="139">
        <f>MONTH(EDATE(DATE(YEAR($B$10),MONTH($B$10),1),A85-1))</f>
        <v/>
      </c>
      <c r="D85" s="139">
        <f>DAY(EOMONTH(DATE(B85,C85,1),0))</f>
        <v/>
      </c>
      <c r="E85" s="139">
        <f>IFERROR(INDEX(법정공휴일!$B$4:$M$20,MATCH(B85,법정공휴일!$A$4:$A$20,0),C85),0)</f>
        <v/>
      </c>
      <c r="F85" s="139">
        <f>F84+D84</f>
        <v/>
      </c>
      <c r="G85" s="139">
        <f>INDEX($G$27:$R$27,C85)</f>
        <v/>
      </c>
      <c r="H85" s="139">
        <f>ROUND(G85*E85/DAY(EOMONTH(DATE(B85,C85,1),0)),1)</f>
        <v/>
      </c>
      <c r="I85" s="139">
        <f>ROUND(MAX(G85+E85-H85,8),0)</f>
        <v/>
      </c>
      <c r="J85" s="139">
        <f>D85*(DAY(EOMONTH(DATE(B85,C85,1),0))-I85)/DAY(EOMONTH(DATE(B85,C85,1),0))</f>
        <v/>
      </c>
      <c r="K85" s="139">
        <f>K84+J84</f>
        <v/>
      </c>
      <c r="L85" s="139">
        <f>INDEX($G$28:$R$28,C85)</f>
        <v/>
      </c>
      <c r="M85" s="139">
        <f>ROUND(L85*E85/DAY(EOMONTH(DATE(B85,C85,1),0)),1)</f>
        <v/>
      </c>
      <c r="N85" s="139">
        <f>ROUND(MAX(L85+E85-M85,8),0)</f>
        <v/>
      </c>
      <c r="O85" s="139">
        <f>D85*(DAY(EOMONTH(DATE(B85,C85,1),0))-N85)/DAY(EOMONTH(DATE(B85,C85,1),0))</f>
        <v/>
      </c>
      <c r="P85" s="139">
        <f>P84+O84</f>
        <v/>
      </c>
      <c r="Q85" s="139">
        <f>INDEX($G$29:$R$29,C85)</f>
        <v/>
      </c>
      <c r="R85" s="139">
        <f>ROUND(Q85*E85/DAY(EOMONTH(DATE(B85,C85,1),0)),1)</f>
        <v/>
      </c>
      <c r="S85" s="139">
        <f>ROUND(MAX(Q85+E85-R85,8),0)</f>
        <v/>
      </c>
      <c r="T85" s="139">
        <f>D85*(DAY(EOMONTH(DATE(B85,C85,1),0))-S85)/DAY(EOMONTH(DATE(B85,C85,1),0))</f>
        <v/>
      </c>
      <c r="U85" s="139">
        <f>U84+T84</f>
        <v/>
      </c>
      <c r="V85" s="139">
        <f>INDEX($G$30:$R$30,C85)</f>
        <v/>
      </c>
      <c r="W85" s="139">
        <f>ROUND(V85*E85/DAY(EOMONTH(DATE(B85,C85,1),0)),1)</f>
        <v/>
      </c>
      <c r="X85" s="139">
        <f>ROUND(MAX(V85+E85-W85,8),0)</f>
        <v/>
      </c>
      <c r="Y85" s="139">
        <f>D85*(DAY(EOMONTH(DATE(B85,C85,1),0))-X85)/DAY(EOMONTH(DATE(B85,C85,1),0))</f>
        <v/>
      </c>
      <c r="Z85" s="139">
        <f>Z84+Y84</f>
        <v/>
      </c>
    </row>
    <row r="86">
      <c r="A86" s="139" t="n">
        <v>24</v>
      </c>
      <c r="B86" s="139">
        <f>YEAR(EDATE(DATE(YEAR($B$10),MONTH($B$10),1),A86-1))</f>
        <v/>
      </c>
      <c r="C86" s="139">
        <f>MONTH(EDATE(DATE(YEAR($B$10),MONTH($B$10),1),A86-1))</f>
        <v/>
      </c>
      <c r="D86" s="139">
        <f>DAY(EOMONTH(DATE(B86,C86,1),0))</f>
        <v/>
      </c>
      <c r="E86" s="139">
        <f>IFERROR(INDEX(법정공휴일!$B$4:$M$20,MATCH(B86,법정공휴일!$A$4:$A$20,0),C86),0)</f>
        <v/>
      </c>
      <c r="F86" s="139">
        <f>F85+D85</f>
        <v/>
      </c>
      <c r="G86" s="139">
        <f>INDEX($G$27:$R$27,C86)</f>
        <v/>
      </c>
      <c r="H86" s="139">
        <f>ROUND(G86*E86/DAY(EOMONTH(DATE(B86,C86,1),0)),1)</f>
        <v/>
      </c>
      <c r="I86" s="139">
        <f>ROUND(MAX(G86+E86-H86,8),0)</f>
        <v/>
      </c>
      <c r="J86" s="139">
        <f>D86*(DAY(EOMONTH(DATE(B86,C86,1),0))-I86)/DAY(EOMONTH(DATE(B86,C86,1),0))</f>
        <v/>
      </c>
      <c r="K86" s="139">
        <f>K85+J85</f>
        <v/>
      </c>
      <c r="L86" s="139">
        <f>INDEX($G$28:$R$28,C86)</f>
        <v/>
      </c>
      <c r="M86" s="139">
        <f>ROUND(L86*E86/DAY(EOMONTH(DATE(B86,C86,1),0)),1)</f>
        <v/>
      </c>
      <c r="N86" s="139">
        <f>ROUND(MAX(L86+E86-M86,8),0)</f>
        <v/>
      </c>
      <c r="O86" s="139">
        <f>D86*(DAY(EOMONTH(DATE(B86,C86,1),0))-N86)/DAY(EOMONTH(DATE(B86,C86,1),0))</f>
        <v/>
      </c>
      <c r="P86" s="139">
        <f>P85+O85</f>
        <v/>
      </c>
      <c r="Q86" s="139">
        <f>INDEX($G$29:$R$29,C86)</f>
        <v/>
      </c>
      <c r="R86" s="139">
        <f>ROUND(Q86*E86/DAY(EOMONTH(DATE(B86,C86,1),0)),1)</f>
        <v/>
      </c>
      <c r="S86" s="139">
        <f>ROUND(MAX(Q86+E86-R86,8),0)</f>
        <v/>
      </c>
      <c r="T86" s="139">
        <f>D86*(DAY(EOMONTH(DATE(B86,C86,1),0))-S86)/DAY(EOMONTH(DATE(B86,C86,1),0))</f>
        <v/>
      </c>
      <c r="U86" s="139">
        <f>U85+T85</f>
        <v/>
      </c>
      <c r="V86" s="139">
        <f>INDEX($G$30:$R$30,C86)</f>
        <v/>
      </c>
      <c r="W86" s="139">
        <f>ROUND(V86*E86/DAY(EOMONTH(DATE(B86,C86,1),0)),1)</f>
        <v/>
      </c>
      <c r="X86" s="139">
        <f>ROUND(MAX(V86+E86-W86,8),0)</f>
        <v/>
      </c>
      <c r="Y86" s="139">
        <f>D86*(DAY(EOMONTH(DATE(B86,C86,1),0))-X86)/DAY(EOMONTH(DATE(B86,C86,1),0))</f>
        <v/>
      </c>
      <c r="Z86" s="139">
        <f>Z85+Y85</f>
        <v/>
      </c>
    </row>
    <row r="87">
      <c r="A87" s="139" t="n">
        <v>25</v>
      </c>
      <c r="B87" s="139">
        <f>YEAR(EDATE(DATE(YEAR($B$10),MONTH($B$10),1),A87-1))</f>
        <v/>
      </c>
      <c r="C87" s="139">
        <f>MONTH(EDATE(DATE(YEAR($B$10),MONTH($B$10),1),A87-1))</f>
        <v/>
      </c>
      <c r="D87" s="139">
        <f>DAY(EOMONTH(DATE(B87,C87,1),0))</f>
        <v/>
      </c>
      <c r="E87" s="139">
        <f>IFERROR(INDEX(법정공휴일!$B$4:$M$20,MATCH(B87,법정공휴일!$A$4:$A$20,0),C87),0)</f>
        <v/>
      </c>
      <c r="F87" s="139">
        <f>F86+D86</f>
        <v/>
      </c>
      <c r="G87" s="139">
        <f>INDEX($G$27:$R$27,C87)</f>
        <v/>
      </c>
      <c r="H87" s="139">
        <f>ROUND(G87*E87/DAY(EOMONTH(DATE(B87,C87,1),0)),1)</f>
        <v/>
      </c>
      <c r="I87" s="139">
        <f>ROUND(MAX(G87+E87-H87,8),0)</f>
        <v/>
      </c>
      <c r="J87" s="139">
        <f>D87*(DAY(EOMONTH(DATE(B87,C87,1),0))-I87)/DAY(EOMONTH(DATE(B87,C87,1),0))</f>
        <v/>
      </c>
      <c r="K87" s="139">
        <f>K86+J86</f>
        <v/>
      </c>
      <c r="L87" s="139">
        <f>INDEX($G$28:$R$28,C87)</f>
        <v/>
      </c>
      <c r="M87" s="139">
        <f>ROUND(L87*E87/DAY(EOMONTH(DATE(B87,C87,1),0)),1)</f>
        <v/>
      </c>
      <c r="N87" s="139">
        <f>ROUND(MAX(L87+E87-M87,8),0)</f>
        <v/>
      </c>
      <c r="O87" s="139">
        <f>D87*(DAY(EOMONTH(DATE(B87,C87,1),0))-N87)/DAY(EOMONTH(DATE(B87,C87,1),0))</f>
        <v/>
      </c>
      <c r="P87" s="139">
        <f>P86+O86</f>
        <v/>
      </c>
      <c r="Q87" s="139">
        <f>INDEX($G$29:$R$29,C87)</f>
        <v/>
      </c>
      <c r="R87" s="139">
        <f>ROUND(Q87*E87/DAY(EOMONTH(DATE(B87,C87,1),0)),1)</f>
        <v/>
      </c>
      <c r="S87" s="139">
        <f>ROUND(MAX(Q87+E87-R87,8),0)</f>
        <v/>
      </c>
      <c r="T87" s="139">
        <f>D87*(DAY(EOMONTH(DATE(B87,C87,1),0))-S87)/DAY(EOMONTH(DATE(B87,C87,1),0))</f>
        <v/>
      </c>
      <c r="U87" s="139">
        <f>U86+T86</f>
        <v/>
      </c>
      <c r="V87" s="139">
        <f>INDEX($G$30:$R$30,C87)</f>
        <v/>
      </c>
      <c r="W87" s="139">
        <f>ROUND(V87*E87/DAY(EOMONTH(DATE(B87,C87,1),0)),1)</f>
        <v/>
      </c>
      <c r="X87" s="139">
        <f>ROUND(MAX(V87+E87-W87,8),0)</f>
        <v/>
      </c>
      <c r="Y87" s="139">
        <f>D87*(DAY(EOMONTH(DATE(B87,C87,1),0))-X87)/DAY(EOMONTH(DATE(B87,C87,1),0))</f>
        <v/>
      </c>
      <c r="Z87" s="139">
        <f>Z86+Y86</f>
        <v/>
      </c>
    </row>
    <row r="88">
      <c r="A88" s="139" t="n">
        <v>26</v>
      </c>
      <c r="B88" s="139">
        <f>YEAR(EDATE(DATE(YEAR($B$10),MONTH($B$10),1),A88-1))</f>
        <v/>
      </c>
      <c r="C88" s="139">
        <f>MONTH(EDATE(DATE(YEAR($B$10),MONTH($B$10),1),A88-1))</f>
        <v/>
      </c>
      <c r="D88" s="139">
        <f>DAY(EOMONTH(DATE(B88,C88,1),0))</f>
        <v/>
      </c>
      <c r="E88" s="139">
        <f>IFERROR(INDEX(법정공휴일!$B$4:$M$20,MATCH(B88,법정공휴일!$A$4:$A$20,0),C88),0)</f>
        <v/>
      </c>
      <c r="F88" s="139">
        <f>F87+D87</f>
        <v/>
      </c>
      <c r="G88" s="139">
        <f>INDEX($G$27:$R$27,C88)</f>
        <v/>
      </c>
      <c r="H88" s="139">
        <f>ROUND(G88*E88/DAY(EOMONTH(DATE(B88,C88,1),0)),1)</f>
        <v/>
      </c>
      <c r="I88" s="139">
        <f>ROUND(MAX(G88+E88-H88,8),0)</f>
        <v/>
      </c>
      <c r="J88" s="139">
        <f>D88*(DAY(EOMONTH(DATE(B88,C88,1),0))-I88)/DAY(EOMONTH(DATE(B88,C88,1),0))</f>
        <v/>
      </c>
      <c r="K88" s="139">
        <f>K87+J87</f>
        <v/>
      </c>
      <c r="L88" s="139">
        <f>INDEX($G$28:$R$28,C88)</f>
        <v/>
      </c>
      <c r="M88" s="139">
        <f>ROUND(L88*E88/DAY(EOMONTH(DATE(B88,C88,1),0)),1)</f>
        <v/>
      </c>
      <c r="N88" s="139">
        <f>ROUND(MAX(L88+E88-M88,8),0)</f>
        <v/>
      </c>
      <c r="O88" s="139">
        <f>D88*(DAY(EOMONTH(DATE(B88,C88,1),0))-N88)/DAY(EOMONTH(DATE(B88,C88,1),0))</f>
        <v/>
      </c>
      <c r="P88" s="139">
        <f>P87+O87</f>
        <v/>
      </c>
      <c r="Q88" s="139">
        <f>INDEX($G$29:$R$29,C88)</f>
        <v/>
      </c>
      <c r="R88" s="139">
        <f>ROUND(Q88*E88/DAY(EOMONTH(DATE(B88,C88,1),0)),1)</f>
        <v/>
      </c>
      <c r="S88" s="139">
        <f>ROUND(MAX(Q88+E88-R88,8),0)</f>
        <v/>
      </c>
      <c r="T88" s="139">
        <f>D88*(DAY(EOMONTH(DATE(B88,C88,1),0))-S88)/DAY(EOMONTH(DATE(B88,C88,1),0))</f>
        <v/>
      </c>
      <c r="U88" s="139">
        <f>U87+T87</f>
        <v/>
      </c>
      <c r="V88" s="139">
        <f>INDEX($G$30:$R$30,C88)</f>
        <v/>
      </c>
      <c r="W88" s="139">
        <f>ROUND(V88*E88/DAY(EOMONTH(DATE(B88,C88,1),0)),1)</f>
        <v/>
      </c>
      <c r="X88" s="139">
        <f>ROUND(MAX(V88+E88-W88,8),0)</f>
        <v/>
      </c>
      <c r="Y88" s="139">
        <f>D88*(DAY(EOMONTH(DATE(B88,C88,1),0))-X88)/DAY(EOMONTH(DATE(B88,C88,1),0))</f>
        <v/>
      </c>
      <c r="Z88" s="139">
        <f>Z87+Y87</f>
        <v/>
      </c>
    </row>
    <row r="89">
      <c r="A89" s="139" t="n">
        <v>27</v>
      </c>
      <c r="B89" s="139">
        <f>YEAR(EDATE(DATE(YEAR($B$10),MONTH($B$10),1),A89-1))</f>
        <v/>
      </c>
      <c r="C89" s="139">
        <f>MONTH(EDATE(DATE(YEAR($B$10),MONTH($B$10),1),A89-1))</f>
        <v/>
      </c>
      <c r="D89" s="139">
        <f>DAY(EOMONTH(DATE(B89,C89,1),0))</f>
        <v/>
      </c>
      <c r="E89" s="139">
        <f>IFERROR(INDEX(법정공휴일!$B$4:$M$20,MATCH(B89,법정공휴일!$A$4:$A$20,0),C89),0)</f>
        <v/>
      </c>
      <c r="F89" s="139">
        <f>F88+D88</f>
        <v/>
      </c>
      <c r="G89" s="139">
        <f>INDEX($G$27:$R$27,C89)</f>
        <v/>
      </c>
      <c r="H89" s="139">
        <f>ROUND(G89*E89/DAY(EOMONTH(DATE(B89,C89,1),0)),1)</f>
        <v/>
      </c>
      <c r="I89" s="139">
        <f>ROUND(MAX(G89+E89-H89,8),0)</f>
        <v/>
      </c>
      <c r="J89" s="139">
        <f>D89*(DAY(EOMONTH(DATE(B89,C89,1),0))-I89)/DAY(EOMONTH(DATE(B89,C89,1),0))</f>
        <v/>
      </c>
      <c r="K89" s="139">
        <f>K88+J88</f>
        <v/>
      </c>
      <c r="L89" s="139">
        <f>INDEX($G$28:$R$28,C89)</f>
        <v/>
      </c>
      <c r="M89" s="139">
        <f>ROUND(L89*E89/DAY(EOMONTH(DATE(B89,C89,1),0)),1)</f>
        <v/>
      </c>
      <c r="N89" s="139">
        <f>ROUND(MAX(L89+E89-M89,8),0)</f>
        <v/>
      </c>
      <c r="O89" s="139">
        <f>D89*(DAY(EOMONTH(DATE(B89,C89,1),0))-N89)/DAY(EOMONTH(DATE(B89,C89,1),0))</f>
        <v/>
      </c>
      <c r="P89" s="139">
        <f>P88+O88</f>
        <v/>
      </c>
      <c r="Q89" s="139">
        <f>INDEX($G$29:$R$29,C89)</f>
        <v/>
      </c>
      <c r="R89" s="139">
        <f>ROUND(Q89*E89/DAY(EOMONTH(DATE(B89,C89,1),0)),1)</f>
        <v/>
      </c>
      <c r="S89" s="139">
        <f>ROUND(MAX(Q89+E89-R89,8),0)</f>
        <v/>
      </c>
      <c r="T89" s="139">
        <f>D89*(DAY(EOMONTH(DATE(B89,C89,1),0))-S89)/DAY(EOMONTH(DATE(B89,C89,1),0))</f>
        <v/>
      </c>
      <c r="U89" s="139">
        <f>U88+T88</f>
        <v/>
      </c>
      <c r="V89" s="139">
        <f>INDEX($G$30:$R$30,C89)</f>
        <v/>
      </c>
      <c r="W89" s="139">
        <f>ROUND(V89*E89/DAY(EOMONTH(DATE(B89,C89,1),0)),1)</f>
        <v/>
      </c>
      <c r="X89" s="139">
        <f>ROUND(MAX(V89+E89-W89,8),0)</f>
        <v/>
      </c>
      <c r="Y89" s="139">
        <f>D89*(DAY(EOMONTH(DATE(B89,C89,1),0))-X89)/DAY(EOMONTH(DATE(B89,C89,1),0))</f>
        <v/>
      </c>
      <c r="Z89" s="139">
        <f>Z88+Y88</f>
        <v/>
      </c>
    </row>
    <row r="90">
      <c r="A90" s="139" t="n">
        <v>28</v>
      </c>
      <c r="B90" s="139">
        <f>YEAR(EDATE(DATE(YEAR($B$10),MONTH($B$10),1),A90-1))</f>
        <v/>
      </c>
      <c r="C90" s="139">
        <f>MONTH(EDATE(DATE(YEAR($B$10),MONTH($B$10),1),A90-1))</f>
        <v/>
      </c>
      <c r="D90" s="139">
        <f>DAY(EOMONTH(DATE(B90,C90,1),0))</f>
        <v/>
      </c>
      <c r="E90" s="139">
        <f>IFERROR(INDEX(법정공휴일!$B$4:$M$20,MATCH(B90,법정공휴일!$A$4:$A$20,0),C90),0)</f>
        <v/>
      </c>
      <c r="F90" s="139">
        <f>F89+D89</f>
        <v/>
      </c>
      <c r="G90" s="139">
        <f>INDEX($G$27:$R$27,C90)</f>
        <v/>
      </c>
      <c r="H90" s="139">
        <f>ROUND(G90*E90/DAY(EOMONTH(DATE(B90,C90,1),0)),1)</f>
        <v/>
      </c>
      <c r="I90" s="139">
        <f>ROUND(MAX(G90+E90-H90,8),0)</f>
        <v/>
      </c>
      <c r="J90" s="139">
        <f>D90*(DAY(EOMONTH(DATE(B90,C90,1),0))-I90)/DAY(EOMONTH(DATE(B90,C90,1),0))</f>
        <v/>
      </c>
      <c r="K90" s="139">
        <f>K89+J89</f>
        <v/>
      </c>
      <c r="L90" s="139">
        <f>INDEX($G$28:$R$28,C90)</f>
        <v/>
      </c>
      <c r="M90" s="139">
        <f>ROUND(L90*E90/DAY(EOMONTH(DATE(B90,C90,1),0)),1)</f>
        <v/>
      </c>
      <c r="N90" s="139">
        <f>ROUND(MAX(L90+E90-M90,8),0)</f>
        <v/>
      </c>
      <c r="O90" s="139">
        <f>D90*(DAY(EOMONTH(DATE(B90,C90,1),0))-N90)/DAY(EOMONTH(DATE(B90,C90,1),0))</f>
        <v/>
      </c>
      <c r="P90" s="139">
        <f>P89+O89</f>
        <v/>
      </c>
      <c r="Q90" s="139">
        <f>INDEX($G$29:$R$29,C90)</f>
        <v/>
      </c>
      <c r="R90" s="139">
        <f>ROUND(Q90*E90/DAY(EOMONTH(DATE(B90,C90,1),0)),1)</f>
        <v/>
      </c>
      <c r="S90" s="139">
        <f>ROUND(MAX(Q90+E90-R90,8),0)</f>
        <v/>
      </c>
      <c r="T90" s="139">
        <f>D90*(DAY(EOMONTH(DATE(B90,C90,1),0))-S90)/DAY(EOMONTH(DATE(B90,C90,1),0))</f>
        <v/>
      </c>
      <c r="U90" s="139">
        <f>U89+T89</f>
        <v/>
      </c>
      <c r="V90" s="139">
        <f>INDEX($G$30:$R$30,C90)</f>
        <v/>
      </c>
      <c r="W90" s="139">
        <f>ROUND(V90*E90/DAY(EOMONTH(DATE(B90,C90,1),0)),1)</f>
        <v/>
      </c>
      <c r="X90" s="139">
        <f>ROUND(MAX(V90+E90-W90,8),0)</f>
        <v/>
      </c>
      <c r="Y90" s="139">
        <f>D90*(DAY(EOMONTH(DATE(B90,C90,1),0))-X90)/DAY(EOMONTH(DATE(B90,C90,1),0))</f>
        <v/>
      </c>
      <c r="Z90" s="139">
        <f>Z89+Y89</f>
        <v/>
      </c>
    </row>
    <row r="91">
      <c r="A91" s="139" t="n">
        <v>29</v>
      </c>
      <c r="B91" s="139">
        <f>YEAR(EDATE(DATE(YEAR($B$10),MONTH($B$10),1),A91-1))</f>
        <v/>
      </c>
      <c r="C91" s="139">
        <f>MONTH(EDATE(DATE(YEAR($B$10),MONTH($B$10),1),A91-1))</f>
        <v/>
      </c>
      <c r="D91" s="139">
        <f>DAY(EOMONTH(DATE(B91,C91,1),0))</f>
        <v/>
      </c>
      <c r="E91" s="139">
        <f>IFERROR(INDEX(법정공휴일!$B$4:$M$20,MATCH(B91,법정공휴일!$A$4:$A$20,0),C91),0)</f>
        <v/>
      </c>
      <c r="F91" s="139">
        <f>F90+D90</f>
        <v/>
      </c>
      <c r="G91" s="139">
        <f>INDEX($G$27:$R$27,C91)</f>
        <v/>
      </c>
      <c r="H91" s="139">
        <f>ROUND(G91*E91/DAY(EOMONTH(DATE(B91,C91,1),0)),1)</f>
        <v/>
      </c>
      <c r="I91" s="139">
        <f>ROUND(MAX(G91+E91-H91,8),0)</f>
        <v/>
      </c>
      <c r="J91" s="139">
        <f>D91*(DAY(EOMONTH(DATE(B91,C91,1),0))-I91)/DAY(EOMONTH(DATE(B91,C91,1),0))</f>
        <v/>
      </c>
      <c r="K91" s="139">
        <f>K90+J90</f>
        <v/>
      </c>
      <c r="L91" s="139">
        <f>INDEX($G$28:$R$28,C91)</f>
        <v/>
      </c>
      <c r="M91" s="139">
        <f>ROUND(L91*E91/DAY(EOMONTH(DATE(B91,C91,1),0)),1)</f>
        <v/>
      </c>
      <c r="N91" s="139">
        <f>ROUND(MAX(L91+E91-M91,8),0)</f>
        <v/>
      </c>
      <c r="O91" s="139">
        <f>D91*(DAY(EOMONTH(DATE(B91,C91,1),0))-N91)/DAY(EOMONTH(DATE(B91,C91,1),0))</f>
        <v/>
      </c>
      <c r="P91" s="139">
        <f>P90+O90</f>
        <v/>
      </c>
      <c r="Q91" s="139">
        <f>INDEX($G$29:$R$29,C91)</f>
        <v/>
      </c>
      <c r="R91" s="139">
        <f>ROUND(Q91*E91/DAY(EOMONTH(DATE(B91,C91,1),0)),1)</f>
        <v/>
      </c>
      <c r="S91" s="139">
        <f>ROUND(MAX(Q91+E91-R91,8),0)</f>
        <v/>
      </c>
      <c r="T91" s="139">
        <f>D91*(DAY(EOMONTH(DATE(B91,C91,1),0))-S91)/DAY(EOMONTH(DATE(B91,C91,1),0))</f>
        <v/>
      </c>
      <c r="U91" s="139">
        <f>U90+T90</f>
        <v/>
      </c>
      <c r="V91" s="139">
        <f>INDEX($G$30:$R$30,C91)</f>
        <v/>
      </c>
      <c r="W91" s="139">
        <f>ROUND(V91*E91/DAY(EOMONTH(DATE(B91,C91,1),0)),1)</f>
        <v/>
      </c>
      <c r="X91" s="139">
        <f>ROUND(MAX(V91+E91-W91,8),0)</f>
        <v/>
      </c>
      <c r="Y91" s="139">
        <f>D91*(DAY(EOMONTH(DATE(B91,C91,1),0))-X91)/DAY(EOMONTH(DATE(B91,C91,1),0))</f>
        <v/>
      </c>
      <c r="Z91" s="139">
        <f>Z90+Y90</f>
        <v/>
      </c>
    </row>
    <row r="92">
      <c r="A92" s="139" t="n">
        <v>30</v>
      </c>
      <c r="B92" s="139">
        <f>YEAR(EDATE(DATE(YEAR($B$10),MONTH($B$10),1),A92-1))</f>
        <v/>
      </c>
      <c r="C92" s="139">
        <f>MONTH(EDATE(DATE(YEAR($B$10),MONTH($B$10),1),A92-1))</f>
        <v/>
      </c>
      <c r="D92" s="139">
        <f>DAY(EOMONTH(DATE(B92,C92,1),0))</f>
        <v/>
      </c>
      <c r="E92" s="139">
        <f>IFERROR(INDEX(법정공휴일!$B$4:$M$20,MATCH(B92,법정공휴일!$A$4:$A$20,0),C92),0)</f>
        <v/>
      </c>
      <c r="F92" s="139">
        <f>F91+D91</f>
        <v/>
      </c>
      <c r="G92" s="139">
        <f>INDEX($G$27:$R$27,C92)</f>
        <v/>
      </c>
      <c r="H92" s="139">
        <f>ROUND(G92*E92/DAY(EOMONTH(DATE(B92,C92,1),0)),1)</f>
        <v/>
      </c>
      <c r="I92" s="139">
        <f>ROUND(MAX(G92+E92-H92,8),0)</f>
        <v/>
      </c>
      <c r="J92" s="139">
        <f>D92*(DAY(EOMONTH(DATE(B92,C92,1),0))-I92)/DAY(EOMONTH(DATE(B92,C92,1),0))</f>
        <v/>
      </c>
      <c r="K92" s="139">
        <f>K91+J91</f>
        <v/>
      </c>
      <c r="L92" s="139">
        <f>INDEX($G$28:$R$28,C92)</f>
        <v/>
      </c>
      <c r="M92" s="139">
        <f>ROUND(L92*E92/DAY(EOMONTH(DATE(B92,C92,1),0)),1)</f>
        <v/>
      </c>
      <c r="N92" s="139">
        <f>ROUND(MAX(L92+E92-M92,8),0)</f>
        <v/>
      </c>
      <c r="O92" s="139">
        <f>D92*(DAY(EOMONTH(DATE(B92,C92,1),0))-N92)/DAY(EOMONTH(DATE(B92,C92,1),0))</f>
        <v/>
      </c>
      <c r="P92" s="139">
        <f>P91+O91</f>
        <v/>
      </c>
      <c r="Q92" s="139">
        <f>INDEX($G$29:$R$29,C92)</f>
        <v/>
      </c>
      <c r="R92" s="139">
        <f>ROUND(Q92*E92/DAY(EOMONTH(DATE(B92,C92,1),0)),1)</f>
        <v/>
      </c>
      <c r="S92" s="139">
        <f>ROUND(MAX(Q92+E92-R92,8),0)</f>
        <v/>
      </c>
      <c r="T92" s="139">
        <f>D92*(DAY(EOMONTH(DATE(B92,C92,1),0))-S92)/DAY(EOMONTH(DATE(B92,C92,1),0))</f>
        <v/>
      </c>
      <c r="U92" s="139">
        <f>U91+T91</f>
        <v/>
      </c>
      <c r="V92" s="139">
        <f>INDEX($G$30:$R$30,C92)</f>
        <v/>
      </c>
      <c r="W92" s="139">
        <f>ROUND(V92*E92/DAY(EOMONTH(DATE(B92,C92,1),0)),1)</f>
        <v/>
      </c>
      <c r="X92" s="139">
        <f>ROUND(MAX(V92+E92-W92,8),0)</f>
        <v/>
      </c>
      <c r="Y92" s="139">
        <f>D92*(DAY(EOMONTH(DATE(B92,C92,1),0))-X92)/DAY(EOMONTH(DATE(B92,C92,1),0))</f>
        <v/>
      </c>
      <c r="Z92" s="139">
        <f>Z91+Y91</f>
        <v/>
      </c>
    </row>
    <row r="93">
      <c r="A93" s="139" t="n">
        <v>31</v>
      </c>
      <c r="B93" s="139">
        <f>YEAR(EDATE(DATE(YEAR($B$10),MONTH($B$10),1),A93-1))</f>
        <v/>
      </c>
      <c r="C93" s="139">
        <f>MONTH(EDATE(DATE(YEAR($B$10),MONTH($B$10),1),A93-1))</f>
        <v/>
      </c>
      <c r="D93" s="139">
        <f>DAY(EOMONTH(DATE(B93,C93,1),0))</f>
        <v/>
      </c>
      <c r="E93" s="139">
        <f>IFERROR(INDEX(법정공휴일!$B$4:$M$20,MATCH(B93,법정공휴일!$A$4:$A$20,0),C93),0)</f>
        <v/>
      </c>
      <c r="F93" s="139">
        <f>F92+D92</f>
        <v/>
      </c>
      <c r="G93" s="139">
        <f>INDEX($G$27:$R$27,C93)</f>
        <v/>
      </c>
      <c r="H93" s="139">
        <f>ROUND(G93*E93/DAY(EOMONTH(DATE(B93,C93,1),0)),1)</f>
        <v/>
      </c>
      <c r="I93" s="139">
        <f>ROUND(MAX(G93+E93-H93,8),0)</f>
        <v/>
      </c>
      <c r="J93" s="139">
        <f>D93*(DAY(EOMONTH(DATE(B93,C93,1),0))-I93)/DAY(EOMONTH(DATE(B93,C93,1),0))</f>
        <v/>
      </c>
      <c r="K93" s="139">
        <f>K92+J92</f>
        <v/>
      </c>
      <c r="L93" s="139">
        <f>INDEX($G$28:$R$28,C93)</f>
        <v/>
      </c>
      <c r="M93" s="139">
        <f>ROUND(L93*E93/DAY(EOMONTH(DATE(B93,C93,1),0)),1)</f>
        <v/>
      </c>
      <c r="N93" s="139">
        <f>ROUND(MAX(L93+E93-M93,8),0)</f>
        <v/>
      </c>
      <c r="O93" s="139">
        <f>D93*(DAY(EOMONTH(DATE(B93,C93,1),0))-N93)/DAY(EOMONTH(DATE(B93,C93,1),0))</f>
        <v/>
      </c>
      <c r="P93" s="139">
        <f>P92+O92</f>
        <v/>
      </c>
      <c r="Q93" s="139">
        <f>INDEX($G$29:$R$29,C93)</f>
        <v/>
      </c>
      <c r="R93" s="139">
        <f>ROUND(Q93*E93/DAY(EOMONTH(DATE(B93,C93,1),0)),1)</f>
        <v/>
      </c>
      <c r="S93" s="139">
        <f>ROUND(MAX(Q93+E93-R93,8),0)</f>
        <v/>
      </c>
      <c r="T93" s="139">
        <f>D93*(DAY(EOMONTH(DATE(B93,C93,1),0))-S93)/DAY(EOMONTH(DATE(B93,C93,1),0))</f>
        <v/>
      </c>
      <c r="U93" s="139">
        <f>U92+T92</f>
        <v/>
      </c>
      <c r="V93" s="139">
        <f>INDEX($G$30:$R$30,C93)</f>
        <v/>
      </c>
      <c r="W93" s="139">
        <f>ROUND(V93*E93/DAY(EOMONTH(DATE(B93,C93,1),0)),1)</f>
        <v/>
      </c>
      <c r="X93" s="139">
        <f>ROUND(MAX(V93+E93-W93,8),0)</f>
        <v/>
      </c>
      <c r="Y93" s="139">
        <f>D93*(DAY(EOMONTH(DATE(B93,C93,1),0))-X93)/DAY(EOMONTH(DATE(B93,C93,1),0))</f>
        <v/>
      </c>
      <c r="Z93" s="139">
        <f>Z92+Y92</f>
        <v/>
      </c>
    </row>
    <row r="94">
      <c r="A94" s="139" t="n">
        <v>32</v>
      </c>
      <c r="B94" s="139">
        <f>YEAR(EDATE(DATE(YEAR($B$10),MONTH($B$10),1),A94-1))</f>
        <v/>
      </c>
      <c r="C94" s="139">
        <f>MONTH(EDATE(DATE(YEAR($B$10),MONTH($B$10),1),A94-1))</f>
        <v/>
      </c>
      <c r="D94" s="139">
        <f>DAY(EOMONTH(DATE(B94,C94,1),0))</f>
        <v/>
      </c>
      <c r="E94" s="139">
        <f>IFERROR(INDEX(법정공휴일!$B$4:$M$20,MATCH(B94,법정공휴일!$A$4:$A$20,0),C94),0)</f>
        <v/>
      </c>
      <c r="F94" s="139">
        <f>F93+D93</f>
        <v/>
      </c>
      <c r="G94" s="139">
        <f>INDEX($G$27:$R$27,C94)</f>
        <v/>
      </c>
      <c r="H94" s="139">
        <f>ROUND(G94*E94/DAY(EOMONTH(DATE(B94,C94,1),0)),1)</f>
        <v/>
      </c>
      <c r="I94" s="139">
        <f>ROUND(MAX(G94+E94-H94,8),0)</f>
        <v/>
      </c>
      <c r="J94" s="139">
        <f>D94*(DAY(EOMONTH(DATE(B94,C94,1),0))-I94)/DAY(EOMONTH(DATE(B94,C94,1),0))</f>
        <v/>
      </c>
      <c r="K94" s="139">
        <f>K93+J93</f>
        <v/>
      </c>
      <c r="L94" s="139">
        <f>INDEX($G$28:$R$28,C94)</f>
        <v/>
      </c>
      <c r="M94" s="139">
        <f>ROUND(L94*E94/DAY(EOMONTH(DATE(B94,C94,1),0)),1)</f>
        <v/>
      </c>
      <c r="N94" s="139">
        <f>ROUND(MAX(L94+E94-M94,8),0)</f>
        <v/>
      </c>
      <c r="O94" s="139">
        <f>D94*(DAY(EOMONTH(DATE(B94,C94,1),0))-N94)/DAY(EOMONTH(DATE(B94,C94,1),0))</f>
        <v/>
      </c>
      <c r="P94" s="139">
        <f>P93+O93</f>
        <v/>
      </c>
      <c r="Q94" s="139">
        <f>INDEX($G$29:$R$29,C94)</f>
        <v/>
      </c>
      <c r="R94" s="139">
        <f>ROUND(Q94*E94/DAY(EOMONTH(DATE(B94,C94,1),0)),1)</f>
        <v/>
      </c>
      <c r="S94" s="139">
        <f>ROUND(MAX(Q94+E94-R94,8),0)</f>
        <v/>
      </c>
      <c r="T94" s="139">
        <f>D94*(DAY(EOMONTH(DATE(B94,C94,1),0))-S94)/DAY(EOMONTH(DATE(B94,C94,1),0))</f>
        <v/>
      </c>
      <c r="U94" s="139">
        <f>U93+T93</f>
        <v/>
      </c>
      <c r="V94" s="139">
        <f>INDEX($G$30:$R$30,C94)</f>
        <v/>
      </c>
      <c r="W94" s="139">
        <f>ROUND(V94*E94/DAY(EOMONTH(DATE(B94,C94,1),0)),1)</f>
        <v/>
      </c>
      <c r="X94" s="139">
        <f>ROUND(MAX(V94+E94-W94,8),0)</f>
        <v/>
      </c>
      <c r="Y94" s="139">
        <f>D94*(DAY(EOMONTH(DATE(B94,C94,1),0))-X94)/DAY(EOMONTH(DATE(B94,C94,1),0))</f>
        <v/>
      </c>
      <c r="Z94" s="139">
        <f>Z93+Y93</f>
        <v/>
      </c>
    </row>
    <row r="95">
      <c r="A95" s="139" t="n">
        <v>33</v>
      </c>
      <c r="B95" s="139">
        <f>YEAR(EDATE(DATE(YEAR($B$10),MONTH($B$10),1),A95-1))</f>
        <v/>
      </c>
      <c r="C95" s="139">
        <f>MONTH(EDATE(DATE(YEAR($B$10),MONTH($B$10),1),A95-1))</f>
        <v/>
      </c>
      <c r="D95" s="139">
        <f>DAY(EOMONTH(DATE(B95,C95,1),0))</f>
        <v/>
      </c>
      <c r="E95" s="139">
        <f>IFERROR(INDEX(법정공휴일!$B$4:$M$20,MATCH(B95,법정공휴일!$A$4:$A$20,0),C95),0)</f>
        <v/>
      </c>
      <c r="F95" s="139">
        <f>F94+D94</f>
        <v/>
      </c>
      <c r="G95" s="139">
        <f>INDEX($G$27:$R$27,C95)</f>
        <v/>
      </c>
      <c r="H95" s="139">
        <f>ROUND(G95*E95/DAY(EOMONTH(DATE(B95,C95,1),0)),1)</f>
        <v/>
      </c>
      <c r="I95" s="139">
        <f>ROUND(MAX(G95+E95-H95,8),0)</f>
        <v/>
      </c>
      <c r="J95" s="139">
        <f>D95*(DAY(EOMONTH(DATE(B95,C95,1),0))-I95)/DAY(EOMONTH(DATE(B95,C95,1),0))</f>
        <v/>
      </c>
      <c r="K95" s="139">
        <f>K94+J94</f>
        <v/>
      </c>
      <c r="L95" s="139">
        <f>INDEX($G$28:$R$28,C95)</f>
        <v/>
      </c>
      <c r="M95" s="139">
        <f>ROUND(L95*E95/DAY(EOMONTH(DATE(B95,C95,1),0)),1)</f>
        <v/>
      </c>
      <c r="N95" s="139">
        <f>ROUND(MAX(L95+E95-M95,8),0)</f>
        <v/>
      </c>
      <c r="O95" s="139">
        <f>D95*(DAY(EOMONTH(DATE(B95,C95,1),0))-N95)/DAY(EOMONTH(DATE(B95,C95,1),0))</f>
        <v/>
      </c>
      <c r="P95" s="139">
        <f>P94+O94</f>
        <v/>
      </c>
      <c r="Q95" s="139">
        <f>INDEX($G$29:$R$29,C95)</f>
        <v/>
      </c>
      <c r="R95" s="139">
        <f>ROUND(Q95*E95/DAY(EOMONTH(DATE(B95,C95,1),0)),1)</f>
        <v/>
      </c>
      <c r="S95" s="139">
        <f>ROUND(MAX(Q95+E95-R95,8),0)</f>
        <v/>
      </c>
      <c r="T95" s="139">
        <f>D95*(DAY(EOMONTH(DATE(B95,C95,1),0))-S95)/DAY(EOMONTH(DATE(B95,C95,1),0))</f>
        <v/>
      </c>
      <c r="U95" s="139">
        <f>U94+T94</f>
        <v/>
      </c>
      <c r="V95" s="139">
        <f>INDEX($G$30:$R$30,C95)</f>
        <v/>
      </c>
      <c r="W95" s="139">
        <f>ROUND(V95*E95/DAY(EOMONTH(DATE(B95,C95,1),0)),1)</f>
        <v/>
      </c>
      <c r="X95" s="139">
        <f>ROUND(MAX(V95+E95-W95,8),0)</f>
        <v/>
      </c>
      <c r="Y95" s="139">
        <f>D95*(DAY(EOMONTH(DATE(B95,C95,1),0))-X95)/DAY(EOMONTH(DATE(B95,C95,1),0))</f>
        <v/>
      </c>
      <c r="Z95" s="139">
        <f>Z94+Y94</f>
        <v/>
      </c>
    </row>
    <row r="96">
      <c r="A96" s="139" t="n">
        <v>34</v>
      </c>
      <c r="B96" s="139">
        <f>YEAR(EDATE(DATE(YEAR($B$10),MONTH($B$10),1),A96-1))</f>
        <v/>
      </c>
      <c r="C96" s="139">
        <f>MONTH(EDATE(DATE(YEAR($B$10),MONTH($B$10),1),A96-1))</f>
        <v/>
      </c>
      <c r="D96" s="139">
        <f>DAY(EOMONTH(DATE(B96,C96,1),0))</f>
        <v/>
      </c>
      <c r="E96" s="139">
        <f>IFERROR(INDEX(법정공휴일!$B$4:$M$20,MATCH(B96,법정공휴일!$A$4:$A$20,0),C96),0)</f>
        <v/>
      </c>
      <c r="F96" s="139">
        <f>F95+D95</f>
        <v/>
      </c>
      <c r="G96" s="139">
        <f>INDEX($G$27:$R$27,C96)</f>
        <v/>
      </c>
      <c r="H96" s="139">
        <f>ROUND(G96*E96/DAY(EOMONTH(DATE(B96,C96,1),0)),1)</f>
        <v/>
      </c>
      <c r="I96" s="139">
        <f>ROUND(MAX(G96+E96-H96,8),0)</f>
        <v/>
      </c>
      <c r="J96" s="139">
        <f>D96*(DAY(EOMONTH(DATE(B96,C96,1),0))-I96)/DAY(EOMONTH(DATE(B96,C96,1),0))</f>
        <v/>
      </c>
      <c r="K96" s="139">
        <f>K95+J95</f>
        <v/>
      </c>
      <c r="L96" s="139">
        <f>INDEX($G$28:$R$28,C96)</f>
        <v/>
      </c>
      <c r="M96" s="139">
        <f>ROUND(L96*E96/DAY(EOMONTH(DATE(B96,C96,1),0)),1)</f>
        <v/>
      </c>
      <c r="N96" s="139">
        <f>ROUND(MAX(L96+E96-M96,8),0)</f>
        <v/>
      </c>
      <c r="O96" s="139">
        <f>D96*(DAY(EOMONTH(DATE(B96,C96,1),0))-N96)/DAY(EOMONTH(DATE(B96,C96,1),0))</f>
        <v/>
      </c>
      <c r="P96" s="139">
        <f>P95+O95</f>
        <v/>
      </c>
      <c r="Q96" s="139">
        <f>INDEX($G$29:$R$29,C96)</f>
        <v/>
      </c>
      <c r="R96" s="139">
        <f>ROUND(Q96*E96/DAY(EOMONTH(DATE(B96,C96,1),0)),1)</f>
        <v/>
      </c>
      <c r="S96" s="139">
        <f>ROUND(MAX(Q96+E96-R96,8),0)</f>
        <v/>
      </c>
      <c r="T96" s="139">
        <f>D96*(DAY(EOMONTH(DATE(B96,C96,1),0))-S96)/DAY(EOMONTH(DATE(B96,C96,1),0))</f>
        <v/>
      </c>
      <c r="U96" s="139">
        <f>U95+T95</f>
        <v/>
      </c>
      <c r="V96" s="139">
        <f>INDEX($G$30:$R$30,C96)</f>
        <v/>
      </c>
      <c r="W96" s="139">
        <f>ROUND(V96*E96/DAY(EOMONTH(DATE(B96,C96,1),0)),1)</f>
        <v/>
      </c>
      <c r="X96" s="139">
        <f>ROUND(MAX(V96+E96-W96,8),0)</f>
        <v/>
      </c>
      <c r="Y96" s="139">
        <f>D96*(DAY(EOMONTH(DATE(B96,C96,1),0))-X96)/DAY(EOMONTH(DATE(B96,C96,1),0))</f>
        <v/>
      </c>
      <c r="Z96" s="139">
        <f>Z95+Y95</f>
        <v/>
      </c>
    </row>
    <row r="97">
      <c r="A97" s="139" t="n">
        <v>35</v>
      </c>
      <c r="B97" s="139">
        <f>YEAR(EDATE(DATE(YEAR($B$10),MONTH($B$10),1),A97-1))</f>
        <v/>
      </c>
      <c r="C97" s="139">
        <f>MONTH(EDATE(DATE(YEAR($B$10),MONTH($B$10),1),A97-1))</f>
        <v/>
      </c>
      <c r="D97" s="139">
        <f>DAY(EOMONTH(DATE(B97,C97,1),0))</f>
        <v/>
      </c>
      <c r="E97" s="139">
        <f>IFERROR(INDEX(법정공휴일!$B$4:$M$20,MATCH(B97,법정공휴일!$A$4:$A$20,0),C97),0)</f>
        <v/>
      </c>
      <c r="F97" s="139">
        <f>F96+D96</f>
        <v/>
      </c>
      <c r="G97" s="139">
        <f>INDEX($G$27:$R$27,C97)</f>
        <v/>
      </c>
      <c r="H97" s="139">
        <f>ROUND(G97*E97/DAY(EOMONTH(DATE(B97,C97,1),0)),1)</f>
        <v/>
      </c>
      <c r="I97" s="139">
        <f>ROUND(MAX(G97+E97-H97,8),0)</f>
        <v/>
      </c>
      <c r="J97" s="139">
        <f>D97*(DAY(EOMONTH(DATE(B97,C97,1),0))-I97)/DAY(EOMONTH(DATE(B97,C97,1),0))</f>
        <v/>
      </c>
      <c r="K97" s="139">
        <f>K96+J96</f>
        <v/>
      </c>
      <c r="L97" s="139">
        <f>INDEX($G$28:$R$28,C97)</f>
        <v/>
      </c>
      <c r="M97" s="139">
        <f>ROUND(L97*E97/DAY(EOMONTH(DATE(B97,C97,1),0)),1)</f>
        <v/>
      </c>
      <c r="N97" s="139">
        <f>ROUND(MAX(L97+E97-M97,8),0)</f>
        <v/>
      </c>
      <c r="O97" s="139">
        <f>D97*(DAY(EOMONTH(DATE(B97,C97,1),0))-N97)/DAY(EOMONTH(DATE(B97,C97,1),0))</f>
        <v/>
      </c>
      <c r="P97" s="139">
        <f>P96+O96</f>
        <v/>
      </c>
      <c r="Q97" s="139">
        <f>INDEX($G$29:$R$29,C97)</f>
        <v/>
      </c>
      <c r="R97" s="139">
        <f>ROUND(Q97*E97/DAY(EOMONTH(DATE(B97,C97,1),0)),1)</f>
        <v/>
      </c>
      <c r="S97" s="139">
        <f>ROUND(MAX(Q97+E97-R97,8),0)</f>
        <v/>
      </c>
      <c r="T97" s="139">
        <f>D97*(DAY(EOMONTH(DATE(B97,C97,1),0))-S97)/DAY(EOMONTH(DATE(B97,C97,1),0))</f>
        <v/>
      </c>
      <c r="U97" s="139">
        <f>U96+T96</f>
        <v/>
      </c>
      <c r="V97" s="139">
        <f>INDEX($G$30:$R$30,C97)</f>
        <v/>
      </c>
      <c r="W97" s="139">
        <f>ROUND(V97*E97/DAY(EOMONTH(DATE(B97,C97,1),0)),1)</f>
        <v/>
      </c>
      <c r="X97" s="139">
        <f>ROUND(MAX(V97+E97-W97,8),0)</f>
        <v/>
      </c>
      <c r="Y97" s="139">
        <f>D97*(DAY(EOMONTH(DATE(B97,C97,1),0))-X97)/DAY(EOMONTH(DATE(B97,C97,1),0))</f>
        <v/>
      </c>
      <c r="Z97" s="139">
        <f>Z96+Y96</f>
        <v/>
      </c>
    </row>
    <row r="98">
      <c r="A98" s="139" t="n">
        <v>36</v>
      </c>
      <c r="B98" s="139">
        <f>YEAR(EDATE(DATE(YEAR($B$10),MONTH($B$10),1),A98-1))</f>
        <v/>
      </c>
      <c r="C98" s="139">
        <f>MONTH(EDATE(DATE(YEAR($B$10),MONTH($B$10),1),A98-1))</f>
        <v/>
      </c>
      <c r="D98" s="139">
        <f>DAY(EOMONTH(DATE(B98,C98,1),0))</f>
        <v/>
      </c>
      <c r="E98" s="139">
        <f>IFERROR(INDEX(법정공휴일!$B$4:$M$20,MATCH(B98,법정공휴일!$A$4:$A$20,0),C98),0)</f>
        <v/>
      </c>
      <c r="F98" s="139">
        <f>F97+D97</f>
        <v/>
      </c>
      <c r="G98" s="139">
        <f>INDEX($G$27:$R$27,C98)</f>
        <v/>
      </c>
      <c r="H98" s="139">
        <f>ROUND(G98*E98/DAY(EOMONTH(DATE(B98,C98,1),0)),1)</f>
        <v/>
      </c>
      <c r="I98" s="139">
        <f>ROUND(MAX(G98+E98-H98,8),0)</f>
        <v/>
      </c>
      <c r="J98" s="139">
        <f>D98*(DAY(EOMONTH(DATE(B98,C98,1),0))-I98)/DAY(EOMONTH(DATE(B98,C98,1),0))</f>
        <v/>
      </c>
      <c r="K98" s="139">
        <f>K97+J97</f>
        <v/>
      </c>
      <c r="L98" s="139">
        <f>INDEX($G$28:$R$28,C98)</f>
        <v/>
      </c>
      <c r="M98" s="139">
        <f>ROUND(L98*E98/DAY(EOMONTH(DATE(B98,C98,1),0)),1)</f>
        <v/>
      </c>
      <c r="N98" s="139">
        <f>ROUND(MAX(L98+E98-M98,8),0)</f>
        <v/>
      </c>
      <c r="O98" s="139">
        <f>D98*(DAY(EOMONTH(DATE(B98,C98,1),0))-N98)/DAY(EOMONTH(DATE(B98,C98,1),0))</f>
        <v/>
      </c>
      <c r="P98" s="139">
        <f>P97+O97</f>
        <v/>
      </c>
      <c r="Q98" s="139">
        <f>INDEX($G$29:$R$29,C98)</f>
        <v/>
      </c>
      <c r="R98" s="139">
        <f>ROUND(Q98*E98/DAY(EOMONTH(DATE(B98,C98,1),0)),1)</f>
        <v/>
      </c>
      <c r="S98" s="139">
        <f>ROUND(MAX(Q98+E98-R98,8),0)</f>
        <v/>
      </c>
      <c r="T98" s="139">
        <f>D98*(DAY(EOMONTH(DATE(B98,C98,1),0))-S98)/DAY(EOMONTH(DATE(B98,C98,1),0))</f>
        <v/>
      </c>
      <c r="U98" s="139">
        <f>U97+T97</f>
        <v/>
      </c>
      <c r="V98" s="139">
        <f>INDEX($G$30:$R$30,C98)</f>
        <v/>
      </c>
      <c r="W98" s="139">
        <f>ROUND(V98*E98/DAY(EOMONTH(DATE(B98,C98,1),0)),1)</f>
        <v/>
      </c>
      <c r="X98" s="139">
        <f>ROUND(MAX(V98+E98-W98,8),0)</f>
        <v/>
      </c>
      <c r="Y98" s="139">
        <f>D98*(DAY(EOMONTH(DATE(B98,C98,1),0))-X98)/DAY(EOMONTH(DATE(B98,C98,1),0))</f>
        <v/>
      </c>
      <c r="Z98" s="139">
        <f>Z97+Y97</f>
        <v/>
      </c>
    </row>
    <row r="99">
      <c r="A99" s="139" t="n">
        <v>37</v>
      </c>
      <c r="B99" s="139">
        <f>YEAR(EDATE(DATE(YEAR($B$10),MONTH($B$10),1),A99-1))</f>
        <v/>
      </c>
      <c r="C99" s="139">
        <f>MONTH(EDATE(DATE(YEAR($B$10),MONTH($B$10),1),A99-1))</f>
        <v/>
      </c>
      <c r="D99" s="139">
        <f>DAY(EOMONTH(DATE(B99,C99,1),0))</f>
        <v/>
      </c>
      <c r="E99" s="139">
        <f>IFERROR(INDEX(법정공휴일!$B$4:$M$20,MATCH(B99,법정공휴일!$A$4:$A$20,0),C99),0)</f>
        <v/>
      </c>
      <c r="F99" s="139">
        <f>F98+D98</f>
        <v/>
      </c>
      <c r="G99" s="139">
        <f>INDEX($G$27:$R$27,C99)</f>
        <v/>
      </c>
      <c r="H99" s="139">
        <f>ROUND(G99*E99/DAY(EOMONTH(DATE(B99,C99,1),0)),1)</f>
        <v/>
      </c>
      <c r="I99" s="139">
        <f>ROUND(MAX(G99+E99-H99,8),0)</f>
        <v/>
      </c>
      <c r="J99" s="139">
        <f>D99*(DAY(EOMONTH(DATE(B99,C99,1),0))-I99)/DAY(EOMONTH(DATE(B99,C99,1),0))</f>
        <v/>
      </c>
      <c r="K99" s="139">
        <f>K98+J98</f>
        <v/>
      </c>
      <c r="L99" s="139">
        <f>INDEX($G$28:$R$28,C99)</f>
        <v/>
      </c>
      <c r="M99" s="139">
        <f>ROUND(L99*E99/DAY(EOMONTH(DATE(B99,C99,1),0)),1)</f>
        <v/>
      </c>
      <c r="N99" s="139">
        <f>ROUND(MAX(L99+E99-M99,8),0)</f>
        <v/>
      </c>
      <c r="O99" s="139">
        <f>D99*(DAY(EOMONTH(DATE(B99,C99,1),0))-N99)/DAY(EOMONTH(DATE(B99,C99,1),0))</f>
        <v/>
      </c>
      <c r="P99" s="139">
        <f>P98+O98</f>
        <v/>
      </c>
      <c r="Q99" s="139">
        <f>INDEX($G$29:$R$29,C99)</f>
        <v/>
      </c>
      <c r="R99" s="139">
        <f>ROUND(Q99*E99/DAY(EOMONTH(DATE(B99,C99,1),0)),1)</f>
        <v/>
      </c>
      <c r="S99" s="139">
        <f>ROUND(MAX(Q99+E99-R99,8),0)</f>
        <v/>
      </c>
      <c r="T99" s="139">
        <f>D99*(DAY(EOMONTH(DATE(B99,C99,1),0))-S99)/DAY(EOMONTH(DATE(B99,C99,1),0))</f>
        <v/>
      </c>
      <c r="U99" s="139">
        <f>U98+T98</f>
        <v/>
      </c>
      <c r="V99" s="139">
        <f>INDEX($G$30:$R$30,C99)</f>
        <v/>
      </c>
      <c r="W99" s="139">
        <f>ROUND(V99*E99/DAY(EOMONTH(DATE(B99,C99,1),0)),1)</f>
        <v/>
      </c>
      <c r="X99" s="139">
        <f>ROUND(MAX(V99+E99-W99,8),0)</f>
        <v/>
      </c>
      <c r="Y99" s="139">
        <f>D99*(DAY(EOMONTH(DATE(B99,C99,1),0))-X99)/DAY(EOMONTH(DATE(B99,C99,1),0))</f>
        <v/>
      </c>
      <c r="Z99" s="139">
        <f>Z98+Y98</f>
        <v/>
      </c>
    </row>
    <row r="100">
      <c r="A100" s="139" t="n">
        <v>38</v>
      </c>
      <c r="B100" s="139">
        <f>YEAR(EDATE(DATE(YEAR($B$10),MONTH($B$10),1),A100-1))</f>
        <v/>
      </c>
      <c r="C100" s="139">
        <f>MONTH(EDATE(DATE(YEAR($B$10),MONTH($B$10),1),A100-1))</f>
        <v/>
      </c>
      <c r="D100" s="139">
        <f>DAY(EOMONTH(DATE(B100,C100,1),0))</f>
        <v/>
      </c>
      <c r="E100" s="139">
        <f>IFERROR(INDEX(법정공휴일!$B$4:$M$20,MATCH(B100,법정공휴일!$A$4:$A$20,0),C100),0)</f>
        <v/>
      </c>
      <c r="F100" s="139">
        <f>F99+D99</f>
        <v/>
      </c>
      <c r="G100" s="139">
        <f>INDEX($G$27:$R$27,C100)</f>
        <v/>
      </c>
      <c r="H100" s="139">
        <f>ROUND(G100*E100/DAY(EOMONTH(DATE(B100,C100,1),0)),1)</f>
        <v/>
      </c>
      <c r="I100" s="139">
        <f>ROUND(MAX(G100+E100-H100,8),0)</f>
        <v/>
      </c>
      <c r="J100" s="139">
        <f>D100*(DAY(EOMONTH(DATE(B100,C100,1),0))-I100)/DAY(EOMONTH(DATE(B100,C100,1),0))</f>
        <v/>
      </c>
      <c r="K100" s="139">
        <f>K99+J99</f>
        <v/>
      </c>
      <c r="L100" s="139">
        <f>INDEX($G$28:$R$28,C100)</f>
        <v/>
      </c>
      <c r="M100" s="139">
        <f>ROUND(L100*E100/DAY(EOMONTH(DATE(B100,C100,1),0)),1)</f>
        <v/>
      </c>
      <c r="N100" s="139">
        <f>ROUND(MAX(L100+E100-M100,8),0)</f>
        <v/>
      </c>
      <c r="O100" s="139">
        <f>D100*(DAY(EOMONTH(DATE(B100,C100,1),0))-N100)/DAY(EOMONTH(DATE(B100,C100,1),0))</f>
        <v/>
      </c>
      <c r="P100" s="139">
        <f>P99+O99</f>
        <v/>
      </c>
      <c r="Q100" s="139">
        <f>INDEX($G$29:$R$29,C100)</f>
        <v/>
      </c>
      <c r="R100" s="139">
        <f>ROUND(Q100*E100/DAY(EOMONTH(DATE(B100,C100,1),0)),1)</f>
        <v/>
      </c>
      <c r="S100" s="139">
        <f>ROUND(MAX(Q100+E100-R100,8),0)</f>
        <v/>
      </c>
      <c r="T100" s="139">
        <f>D100*(DAY(EOMONTH(DATE(B100,C100,1),0))-S100)/DAY(EOMONTH(DATE(B100,C100,1),0))</f>
        <v/>
      </c>
      <c r="U100" s="139">
        <f>U99+T99</f>
        <v/>
      </c>
      <c r="V100" s="139">
        <f>INDEX($G$30:$R$30,C100)</f>
        <v/>
      </c>
      <c r="W100" s="139">
        <f>ROUND(V100*E100/DAY(EOMONTH(DATE(B100,C100,1),0)),1)</f>
        <v/>
      </c>
      <c r="X100" s="139">
        <f>ROUND(MAX(V100+E100-W100,8),0)</f>
        <v/>
      </c>
      <c r="Y100" s="139">
        <f>D100*(DAY(EOMONTH(DATE(B100,C100,1),0))-X100)/DAY(EOMONTH(DATE(B100,C100,1),0))</f>
        <v/>
      </c>
      <c r="Z100" s="139">
        <f>Z99+Y99</f>
        <v/>
      </c>
    </row>
    <row r="101">
      <c r="A101" s="139" t="n">
        <v>39</v>
      </c>
      <c r="B101" s="139">
        <f>YEAR(EDATE(DATE(YEAR($B$10),MONTH($B$10),1),A101-1))</f>
        <v/>
      </c>
      <c r="C101" s="139">
        <f>MONTH(EDATE(DATE(YEAR($B$10),MONTH($B$10),1),A101-1))</f>
        <v/>
      </c>
      <c r="D101" s="139">
        <f>DAY(EOMONTH(DATE(B101,C101,1),0))</f>
        <v/>
      </c>
      <c r="E101" s="139">
        <f>IFERROR(INDEX(법정공휴일!$B$4:$M$20,MATCH(B101,법정공휴일!$A$4:$A$20,0),C101),0)</f>
        <v/>
      </c>
      <c r="F101" s="139">
        <f>F100+D100</f>
        <v/>
      </c>
      <c r="G101" s="139">
        <f>INDEX($G$27:$R$27,C101)</f>
        <v/>
      </c>
      <c r="H101" s="139">
        <f>ROUND(G101*E101/DAY(EOMONTH(DATE(B101,C101,1),0)),1)</f>
        <v/>
      </c>
      <c r="I101" s="139">
        <f>ROUND(MAX(G101+E101-H101,8),0)</f>
        <v/>
      </c>
      <c r="J101" s="139">
        <f>D101*(DAY(EOMONTH(DATE(B101,C101,1),0))-I101)/DAY(EOMONTH(DATE(B101,C101,1),0))</f>
        <v/>
      </c>
      <c r="K101" s="139">
        <f>K100+J100</f>
        <v/>
      </c>
      <c r="L101" s="139">
        <f>INDEX($G$28:$R$28,C101)</f>
        <v/>
      </c>
      <c r="M101" s="139">
        <f>ROUND(L101*E101/DAY(EOMONTH(DATE(B101,C101,1),0)),1)</f>
        <v/>
      </c>
      <c r="N101" s="139">
        <f>ROUND(MAX(L101+E101-M101,8),0)</f>
        <v/>
      </c>
      <c r="O101" s="139">
        <f>D101*(DAY(EOMONTH(DATE(B101,C101,1),0))-N101)/DAY(EOMONTH(DATE(B101,C101,1),0))</f>
        <v/>
      </c>
      <c r="P101" s="139">
        <f>P100+O100</f>
        <v/>
      </c>
      <c r="Q101" s="139">
        <f>INDEX($G$29:$R$29,C101)</f>
        <v/>
      </c>
      <c r="R101" s="139">
        <f>ROUND(Q101*E101/DAY(EOMONTH(DATE(B101,C101,1),0)),1)</f>
        <v/>
      </c>
      <c r="S101" s="139">
        <f>ROUND(MAX(Q101+E101-R101,8),0)</f>
        <v/>
      </c>
      <c r="T101" s="139">
        <f>D101*(DAY(EOMONTH(DATE(B101,C101,1),0))-S101)/DAY(EOMONTH(DATE(B101,C101,1),0))</f>
        <v/>
      </c>
      <c r="U101" s="139">
        <f>U100+T100</f>
        <v/>
      </c>
      <c r="V101" s="139">
        <f>INDEX($G$30:$R$30,C101)</f>
        <v/>
      </c>
      <c r="W101" s="139">
        <f>ROUND(V101*E101/DAY(EOMONTH(DATE(B101,C101,1),0)),1)</f>
        <v/>
      </c>
      <c r="X101" s="139">
        <f>ROUND(MAX(V101+E101-W101,8),0)</f>
        <v/>
      </c>
      <c r="Y101" s="139">
        <f>D101*(DAY(EOMONTH(DATE(B101,C101,1),0))-X101)/DAY(EOMONTH(DATE(B101,C101,1),0))</f>
        <v/>
      </c>
      <c r="Z101" s="139">
        <f>Z100+Y100</f>
        <v/>
      </c>
    </row>
    <row r="102">
      <c r="A102" s="139" t="n">
        <v>40</v>
      </c>
      <c r="B102" s="139">
        <f>YEAR(EDATE(DATE(YEAR($B$10),MONTH($B$10),1),A102-1))</f>
        <v/>
      </c>
      <c r="C102" s="139">
        <f>MONTH(EDATE(DATE(YEAR($B$10),MONTH($B$10),1),A102-1))</f>
        <v/>
      </c>
      <c r="D102" s="139">
        <f>DAY(EOMONTH(DATE(B102,C102,1),0))</f>
        <v/>
      </c>
      <c r="E102" s="139">
        <f>IFERROR(INDEX(법정공휴일!$B$4:$M$20,MATCH(B102,법정공휴일!$A$4:$A$20,0),C102),0)</f>
        <v/>
      </c>
      <c r="F102" s="139">
        <f>F101+D101</f>
        <v/>
      </c>
      <c r="G102" s="139">
        <f>INDEX($G$27:$R$27,C102)</f>
        <v/>
      </c>
      <c r="H102" s="139">
        <f>ROUND(G102*E102/DAY(EOMONTH(DATE(B102,C102,1),0)),1)</f>
        <v/>
      </c>
      <c r="I102" s="139">
        <f>ROUND(MAX(G102+E102-H102,8),0)</f>
        <v/>
      </c>
      <c r="J102" s="139">
        <f>D102*(DAY(EOMONTH(DATE(B102,C102,1),0))-I102)/DAY(EOMONTH(DATE(B102,C102,1),0))</f>
        <v/>
      </c>
      <c r="K102" s="139">
        <f>K101+J101</f>
        <v/>
      </c>
      <c r="L102" s="139">
        <f>INDEX($G$28:$R$28,C102)</f>
        <v/>
      </c>
      <c r="M102" s="139">
        <f>ROUND(L102*E102/DAY(EOMONTH(DATE(B102,C102,1),0)),1)</f>
        <v/>
      </c>
      <c r="N102" s="139">
        <f>ROUND(MAX(L102+E102-M102,8),0)</f>
        <v/>
      </c>
      <c r="O102" s="139">
        <f>D102*(DAY(EOMONTH(DATE(B102,C102,1),0))-N102)/DAY(EOMONTH(DATE(B102,C102,1),0))</f>
        <v/>
      </c>
      <c r="P102" s="139">
        <f>P101+O101</f>
        <v/>
      </c>
      <c r="Q102" s="139">
        <f>INDEX($G$29:$R$29,C102)</f>
        <v/>
      </c>
      <c r="R102" s="139">
        <f>ROUND(Q102*E102/DAY(EOMONTH(DATE(B102,C102,1),0)),1)</f>
        <v/>
      </c>
      <c r="S102" s="139">
        <f>ROUND(MAX(Q102+E102-R102,8),0)</f>
        <v/>
      </c>
      <c r="T102" s="139">
        <f>D102*(DAY(EOMONTH(DATE(B102,C102,1),0))-S102)/DAY(EOMONTH(DATE(B102,C102,1),0))</f>
        <v/>
      </c>
      <c r="U102" s="139">
        <f>U101+T101</f>
        <v/>
      </c>
      <c r="V102" s="139">
        <f>INDEX($G$30:$R$30,C102)</f>
        <v/>
      </c>
      <c r="W102" s="139">
        <f>ROUND(V102*E102/DAY(EOMONTH(DATE(B102,C102,1),0)),1)</f>
        <v/>
      </c>
      <c r="X102" s="139">
        <f>ROUND(MAX(V102+E102-W102,8),0)</f>
        <v/>
      </c>
      <c r="Y102" s="139">
        <f>D102*(DAY(EOMONTH(DATE(B102,C102,1),0))-X102)/DAY(EOMONTH(DATE(B102,C102,1),0))</f>
        <v/>
      </c>
      <c r="Z102" s="139">
        <f>Z101+Y101</f>
        <v/>
      </c>
    </row>
    <row r="103">
      <c r="A103" s="139" t="n">
        <v>41</v>
      </c>
      <c r="B103" s="139">
        <f>YEAR(EDATE(DATE(YEAR($B$10),MONTH($B$10),1),A103-1))</f>
        <v/>
      </c>
      <c r="C103" s="139">
        <f>MONTH(EDATE(DATE(YEAR($B$10),MONTH($B$10),1),A103-1))</f>
        <v/>
      </c>
      <c r="D103" s="139">
        <f>DAY(EOMONTH(DATE(B103,C103,1),0))</f>
        <v/>
      </c>
      <c r="E103" s="139">
        <f>IFERROR(INDEX(법정공휴일!$B$4:$M$20,MATCH(B103,법정공휴일!$A$4:$A$20,0),C103),0)</f>
        <v/>
      </c>
      <c r="F103" s="139">
        <f>F102+D102</f>
        <v/>
      </c>
      <c r="G103" s="139">
        <f>INDEX($G$27:$R$27,C103)</f>
        <v/>
      </c>
      <c r="H103" s="139">
        <f>ROUND(G103*E103/DAY(EOMONTH(DATE(B103,C103,1),0)),1)</f>
        <v/>
      </c>
      <c r="I103" s="139">
        <f>ROUND(MAX(G103+E103-H103,8),0)</f>
        <v/>
      </c>
      <c r="J103" s="139">
        <f>D103*(DAY(EOMONTH(DATE(B103,C103,1),0))-I103)/DAY(EOMONTH(DATE(B103,C103,1),0))</f>
        <v/>
      </c>
      <c r="K103" s="139">
        <f>K102+J102</f>
        <v/>
      </c>
      <c r="L103" s="139">
        <f>INDEX($G$28:$R$28,C103)</f>
        <v/>
      </c>
      <c r="M103" s="139">
        <f>ROUND(L103*E103/DAY(EOMONTH(DATE(B103,C103,1),0)),1)</f>
        <v/>
      </c>
      <c r="N103" s="139">
        <f>ROUND(MAX(L103+E103-M103,8),0)</f>
        <v/>
      </c>
      <c r="O103" s="139">
        <f>D103*(DAY(EOMONTH(DATE(B103,C103,1),0))-N103)/DAY(EOMONTH(DATE(B103,C103,1),0))</f>
        <v/>
      </c>
      <c r="P103" s="139">
        <f>P102+O102</f>
        <v/>
      </c>
      <c r="Q103" s="139">
        <f>INDEX($G$29:$R$29,C103)</f>
        <v/>
      </c>
      <c r="R103" s="139">
        <f>ROUND(Q103*E103/DAY(EOMONTH(DATE(B103,C103,1),0)),1)</f>
        <v/>
      </c>
      <c r="S103" s="139">
        <f>ROUND(MAX(Q103+E103-R103,8),0)</f>
        <v/>
      </c>
      <c r="T103" s="139">
        <f>D103*(DAY(EOMONTH(DATE(B103,C103,1),0))-S103)/DAY(EOMONTH(DATE(B103,C103,1),0))</f>
        <v/>
      </c>
      <c r="U103" s="139">
        <f>U102+T102</f>
        <v/>
      </c>
      <c r="V103" s="139">
        <f>INDEX($G$30:$R$30,C103)</f>
        <v/>
      </c>
      <c r="W103" s="139">
        <f>ROUND(V103*E103/DAY(EOMONTH(DATE(B103,C103,1),0)),1)</f>
        <v/>
      </c>
      <c r="X103" s="139">
        <f>ROUND(MAX(V103+E103-W103,8),0)</f>
        <v/>
      </c>
      <c r="Y103" s="139">
        <f>D103*(DAY(EOMONTH(DATE(B103,C103,1),0))-X103)/DAY(EOMONTH(DATE(B103,C103,1),0))</f>
        <v/>
      </c>
      <c r="Z103" s="139">
        <f>Z102+Y102</f>
        <v/>
      </c>
    </row>
    <row r="104">
      <c r="A104" s="139" t="n">
        <v>42</v>
      </c>
      <c r="B104" s="139">
        <f>YEAR(EDATE(DATE(YEAR($B$10),MONTH($B$10),1),A104-1))</f>
        <v/>
      </c>
      <c r="C104" s="139">
        <f>MONTH(EDATE(DATE(YEAR($B$10),MONTH($B$10),1),A104-1))</f>
        <v/>
      </c>
      <c r="D104" s="139">
        <f>DAY(EOMONTH(DATE(B104,C104,1),0))</f>
        <v/>
      </c>
      <c r="E104" s="139">
        <f>IFERROR(INDEX(법정공휴일!$B$4:$M$20,MATCH(B104,법정공휴일!$A$4:$A$20,0),C104),0)</f>
        <v/>
      </c>
      <c r="F104" s="139">
        <f>F103+D103</f>
        <v/>
      </c>
      <c r="G104" s="139">
        <f>INDEX($G$27:$R$27,C104)</f>
        <v/>
      </c>
      <c r="H104" s="139">
        <f>ROUND(G104*E104/DAY(EOMONTH(DATE(B104,C104,1),0)),1)</f>
        <v/>
      </c>
      <c r="I104" s="139">
        <f>ROUND(MAX(G104+E104-H104,8),0)</f>
        <v/>
      </c>
      <c r="J104" s="139">
        <f>D104*(DAY(EOMONTH(DATE(B104,C104,1),0))-I104)/DAY(EOMONTH(DATE(B104,C104,1),0))</f>
        <v/>
      </c>
      <c r="K104" s="139">
        <f>K103+J103</f>
        <v/>
      </c>
      <c r="L104" s="139">
        <f>INDEX($G$28:$R$28,C104)</f>
        <v/>
      </c>
      <c r="M104" s="139">
        <f>ROUND(L104*E104/DAY(EOMONTH(DATE(B104,C104,1),0)),1)</f>
        <v/>
      </c>
      <c r="N104" s="139">
        <f>ROUND(MAX(L104+E104-M104,8),0)</f>
        <v/>
      </c>
      <c r="O104" s="139">
        <f>D104*(DAY(EOMONTH(DATE(B104,C104,1),0))-N104)/DAY(EOMONTH(DATE(B104,C104,1),0))</f>
        <v/>
      </c>
      <c r="P104" s="139">
        <f>P103+O103</f>
        <v/>
      </c>
      <c r="Q104" s="139">
        <f>INDEX($G$29:$R$29,C104)</f>
        <v/>
      </c>
      <c r="R104" s="139">
        <f>ROUND(Q104*E104/DAY(EOMONTH(DATE(B104,C104,1),0)),1)</f>
        <v/>
      </c>
      <c r="S104" s="139">
        <f>ROUND(MAX(Q104+E104-R104,8),0)</f>
        <v/>
      </c>
      <c r="T104" s="139">
        <f>D104*(DAY(EOMONTH(DATE(B104,C104,1),0))-S104)/DAY(EOMONTH(DATE(B104,C104,1),0))</f>
        <v/>
      </c>
      <c r="U104" s="139">
        <f>U103+T103</f>
        <v/>
      </c>
      <c r="V104" s="139">
        <f>INDEX($G$30:$R$30,C104)</f>
        <v/>
      </c>
      <c r="W104" s="139">
        <f>ROUND(V104*E104/DAY(EOMONTH(DATE(B104,C104,1),0)),1)</f>
        <v/>
      </c>
      <c r="X104" s="139">
        <f>ROUND(MAX(V104+E104-W104,8),0)</f>
        <v/>
      </c>
      <c r="Y104" s="139">
        <f>D104*(DAY(EOMONTH(DATE(B104,C104,1),0))-X104)/DAY(EOMONTH(DATE(B104,C104,1),0))</f>
        <v/>
      </c>
      <c r="Z104" s="139">
        <f>Z103+Y103</f>
        <v/>
      </c>
    </row>
    <row r="105">
      <c r="A105" s="139" t="n">
        <v>43</v>
      </c>
      <c r="B105" s="139">
        <f>YEAR(EDATE(DATE(YEAR($B$10),MONTH($B$10),1),A105-1))</f>
        <v/>
      </c>
      <c r="C105" s="139">
        <f>MONTH(EDATE(DATE(YEAR($B$10),MONTH($B$10),1),A105-1))</f>
        <v/>
      </c>
      <c r="D105" s="139">
        <f>DAY(EOMONTH(DATE(B105,C105,1),0))</f>
        <v/>
      </c>
      <c r="E105" s="139">
        <f>IFERROR(INDEX(법정공휴일!$B$4:$M$20,MATCH(B105,법정공휴일!$A$4:$A$20,0),C105),0)</f>
        <v/>
      </c>
      <c r="F105" s="139">
        <f>F104+D104</f>
        <v/>
      </c>
      <c r="G105" s="139">
        <f>INDEX($G$27:$R$27,C105)</f>
        <v/>
      </c>
      <c r="H105" s="139">
        <f>ROUND(G105*E105/DAY(EOMONTH(DATE(B105,C105,1),0)),1)</f>
        <v/>
      </c>
      <c r="I105" s="139">
        <f>ROUND(MAX(G105+E105-H105,8),0)</f>
        <v/>
      </c>
      <c r="J105" s="139">
        <f>D105*(DAY(EOMONTH(DATE(B105,C105,1),0))-I105)/DAY(EOMONTH(DATE(B105,C105,1),0))</f>
        <v/>
      </c>
      <c r="K105" s="139">
        <f>K104+J104</f>
        <v/>
      </c>
      <c r="L105" s="139">
        <f>INDEX($G$28:$R$28,C105)</f>
        <v/>
      </c>
      <c r="M105" s="139">
        <f>ROUND(L105*E105/DAY(EOMONTH(DATE(B105,C105,1),0)),1)</f>
        <v/>
      </c>
      <c r="N105" s="139">
        <f>ROUND(MAX(L105+E105-M105,8),0)</f>
        <v/>
      </c>
      <c r="O105" s="139">
        <f>D105*(DAY(EOMONTH(DATE(B105,C105,1),0))-N105)/DAY(EOMONTH(DATE(B105,C105,1),0))</f>
        <v/>
      </c>
      <c r="P105" s="139">
        <f>P104+O104</f>
        <v/>
      </c>
      <c r="Q105" s="139">
        <f>INDEX($G$29:$R$29,C105)</f>
        <v/>
      </c>
      <c r="R105" s="139">
        <f>ROUND(Q105*E105/DAY(EOMONTH(DATE(B105,C105,1),0)),1)</f>
        <v/>
      </c>
      <c r="S105" s="139">
        <f>ROUND(MAX(Q105+E105-R105,8),0)</f>
        <v/>
      </c>
      <c r="T105" s="139">
        <f>D105*(DAY(EOMONTH(DATE(B105,C105,1),0))-S105)/DAY(EOMONTH(DATE(B105,C105,1),0))</f>
        <v/>
      </c>
      <c r="U105" s="139">
        <f>U104+T104</f>
        <v/>
      </c>
      <c r="V105" s="139">
        <f>INDEX($G$30:$R$30,C105)</f>
        <v/>
      </c>
      <c r="W105" s="139">
        <f>ROUND(V105*E105/DAY(EOMONTH(DATE(B105,C105,1),0)),1)</f>
        <v/>
      </c>
      <c r="X105" s="139">
        <f>ROUND(MAX(V105+E105-W105,8),0)</f>
        <v/>
      </c>
      <c r="Y105" s="139">
        <f>D105*(DAY(EOMONTH(DATE(B105,C105,1),0))-X105)/DAY(EOMONTH(DATE(B105,C105,1),0))</f>
        <v/>
      </c>
      <c r="Z105" s="139">
        <f>Z104+Y104</f>
        <v/>
      </c>
    </row>
    <row r="106">
      <c r="A106" s="139" t="n">
        <v>44</v>
      </c>
      <c r="B106" s="139">
        <f>YEAR(EDATE(DATE(YEAR($B$10),MONTH($B$10),1),A106-1))</f>
        <v/>
      </c>
      <c r="C106" s="139">
        <f>MONTH(EDATE(DATE(YEAR($B$10),MONTH($B$10),1),A106-1))</f>
        <v/>
      </c>
      <c r="D106" s="139">
        <f>DAY(EOMONTH(DATE(B106,C106,1),0))</f>
        <v/>
      </c>
      <c r="E106" s="139">
        <f>IFERROR(INDEX(법정공휴일!$B$4:$M$20,MATCH(B106,법정공휴일!$A$4:$A$20,0),C106),0)</f>
        <v/>
      </c>
      <c r="F106" s="139">
        <f>F105+D105</f>
        <v/>
      </c>
      <c r="G106" s="139">
        <f>INDEX($G$27:$R$27,C106)</f>
        <v/>
      </c>
      <c r="H106" s="139">
        <f>ROUND(G106*E106/DAY(EOMONTH(DATE(B106,C106,1),0)),1)</f>
        <v/>
      </c>
      <c r="I106" s="139">
        <f>ROUND(MAX(G106+E106-H106,8),0)</f>
        <v/>
      </c>
      <c r="J106" s="139">
        <f>D106*(DAY(EOMONTH(DATE(B106,C106,1),0))-I106)/DAY(EOMONTH(DATE(B106,C106,1),0))</f>
        <v/>
      </c>
      <c r="K106" s="139">
        <f>K105+J105</f>
        <v/>
      </c>
      <c r="L106" s="139">
        <f>INDEX($G$28:$R$28,C106)</f>
        <v/>
      </c>
      <c r="M106" s="139">
        <f>ROUND(L106*E106/DAY(EOMONTH(DATE(B106,C106,1),0)),1)</f>
        <v/>
      </c>
      <c r="N106" s="139">
        <f>ROUND(MAX(L106+E106-M106,8),0)</f>
        <v/>
      </c>
      <c r="O106" s="139">
        <f>D106*(DAY(EOMONTH(DATE(B106,C106,1),0))-N106)/DAY(EOMONTH(DATE(B106,C106,1),0))</f>
        <v/>
      </c>
      <c r="P106" s="139">
        <f>P105+O105</f>
        <v/>
      </c>
      <c r="Q106" s="139">
        <f>INDEX($G$29:$R$29,C106)</f>
        <v/>
      </c>
      <c r="R106" s="139">
        <f>ROUND(Q106*E106/DAY(EOMONTH(DATE(B106,C106,1),0)),1)</f>
        <v/>
      </c>
      <c r="S106" s="139">
        <f>ROUND(MAX(Q106+E106-R106,8),0)</f>
        <v/>
      </c>
      <c r="T106" s="139">
        <f>D106*(DAY(EOMONTH(DATE(B106,C106,1),0))-S106)/DAY(EOMONTH(DATE(B106,C106,1),0))</f>
        <v/>
      </c>
      <c r="U106" s="139">
        <f>U105+T105</f>
        <v/>
      </c>
      <c r="V106" s="139">
        <f>INDEX($G$30:$R$30,C106)</f>
        <v/>
      </c>
      <c r="W106" s="139">
        <f>ROUND(V106*E106/DAY(EOMONTH(DATE(B106,C106,1),0)),1)</f>
        <v/>
      </c>
      <c r="X106" s="139">
        <f>ROUND(MAX(V106+E106-W106,8),0)</f>
        <v/>
      </c>
      <c r="Y106" s="139">
        <f>D106*(DAY(EOMONTH(DATE(B106,C106,1),0))-X106)/DAY(EOMONTH(DATE(B106,C106,1),0))</f>
        <v/>
      </c>
      <c r="Z106" s="139">
        <f>Z105+Y105</f>
        <v/>
      </c>
    </row>
    <row r="107">
      <c r="A107" s="139" t="n">
        <v>45</v>
      </c>
      <c r="B107" s="139">
        <f>YEAR(EDATE(DATE(YEAR($B$10),MONTH($B$10),1),A107-1))</f>
        <v/>
      </c>
      <c r="C107" s="139">
        <f>MONTH(EDATE(DATE(YEAR($B$10),MONTH($B$10),1),A107-1))</f>
        <v/>
      </c>
      <c r="D107" s="139">
        <f>DAY(EOMONTH(DATE(B107,C107,1),0))</f>
        <v/>
      </c>
      <c r="E107" s="139">
        <f>IFERROR(INDEX(법정공휴일!$B$4:$M$20,MATCH(B107,법정공휴일!$A$4:$A$20,0),C107),0)</f>
        <v/>
      </c>
      <c r="F107" s="139">
        <f>F106+D106</f>
        <v/>
      </c>
      <c r="G107" s="139">
        <f>INDEX($G$27:$R$27,C107)</f>
        <v/>
      </c>
      <c r="H107" s="139">
        <f>ROUND(G107*E107/DAY(EOMONTH(DATE(B107,C107,1),0)),1)</f>
        <v/>
      </c>
      <c r="I107" s="139">
        <f>ROUND(MAX(G107+E107-H107,8),0)</f>
        <v/>
      </c>
      <c r="J107" s="139">
        <f>D107*(DAY(EOMONTH(DATE(B107,C107,1),0))-I107)/DAY(EOMONTH(DATE(B107,C107,1),0))</f>
        <v/>
      </c>
      <c r="K107" s="139">
        <f>K106+J106</f>
        <v/>
      </c>
      <c r="L107" s="139">
        <f>INDEX($G$28:$R$28,C107)</f>
        <v/>
      </c>
      <c r="M107" s="139">
        <f>ROUND(L107*E107/DAY(EOMONTH(DATE(B107,C107,1),0)),1)</f>
        <v/>
      </c>
      <c r="N107" s="139">
        <f>ROUND(MAX(L107+E107-M107,8),0)</f>
        <v/>
      </c>
      <c r="O107" s="139">
        <f>D107*(DAY(EOMONTH(DATE(B107,C107,1),0))-N107)/DAY(EOMONTH(DATE(B107,C107,1),0))</f>
        <v/>
      </c>
      <c r="P107" s="139">
        <f>P106+O106</f>
        <v/>
      </c>
      <c r="Q107" s="139">
        <f>INDEX($G$29:$R$29,C107)</f>
        <v/>
      </c>
      <c r="R107" s="139">
        <f>ROUND(Q107*E107/DAY(EOMONTH(DATE(B107,C107,1),0)),1)</f>
        <v/>
      </c>
      <c r="S107" s="139">
        <f>ROUND(MAX(Q107+E107-R107,8),0)</f>
        <v/>
      </c>
      <c r="T107" s="139">
        <f>D107*(DAY(EOMONTH(DATE(B107,C107,1),0))-S107)/DAY(EOMONTH(DATE(B107,C107,1),0))</f>
        <v/>
      </c>
      <c r="U107" s="139">
        <f>U106+T106</f>
        <v/>
      </c>
      <c r="V107" s="139">
        <f>INDEX($G$30:$R$30,C107)</f>
        <v/>
      </c>
      <c r="W107" s="139">
        <f>ROUND(V107*E107/DAY(EOMONTH(DATE(B107,C107,1),0)),1)</f>
        <v/>
      </c>
      <c r="X107" s="139">
        <f>ROUND(MAX(V107+E107-W107,8),0)</f>
        <v/>
      </c>
      <c r="Y107" s="139">
        <f>D107*(DAY(EOMONTH(DATE(B107,C107,1),0))-X107)/DAY(EOMONTH(DATE(B107,C107,1),0))</f>
        <v/>
      </c>
      <c r="Z107" s="139">
        <f>Z106+Y106</f>
        <v/>
      </c>
    </row>
    <row r="108">
      <c r="A108" s="139" t="n">
        <v>46</v>
      </c>
      <c r="B108" s="139">
        <f>YEAR(EDATE(DATE(YEAR($B$10),MONTH($B$10),1),A108-1))</f>
        <v/>
      </c>
      <c r="C108" s="139">
        <f>MONTH(EDATE(DATE(YEAR($B$10),MONTH($B$10),1),A108-1))</f>
        <v/>
      </c>
      <c r="D108" s="139">
        <f>DAY(EOMONTH(DATE(B108,C108,1),0))</f>
        <v/>
      </c>
      <c r="E108" s="139">
        <f>IFERROR(INDEX(법정공휴일!$B$4:$M$20,MATCH(B108,법정공휴일!$A$4:$A$20,0),C108),0)</f>
        <v/>
      </c>
      <c r="F108" s="139">
        <f>F107+D107</f>
        <v/>
      </c>
      <c r="G108" s="139">
        <f>INDEX($G$27:$R$27,C108)</f>
        <v/>
      </c>
      <c r="H108" s="139">
        <f>ROUND(G108*E108/DAY(EOMONTH(DATE(B108,C108,1),0)),1)</f>
        <v/>
      </c>
      <c r="I108" s="139">
        <f>ROUND(MAX(G108+E108-H108,8),0)</f>
        <v/>
      </c>
      <c r="J108" s="139">
        <f>D108*(DAY(EOMONTH(DATE(B108,C108,1),0))-I108)/DAY(EOMONTH(DATE(B108,C108,1),0))</f>
        <v/>
      </c>
      <c r="K108" s="139">
        <f>K107+J107</f>
        <v/>
      </c>
      <c r="L108" s="139">
        <f>INDEX($G$28:$R$28,C108)</f>
        <v/>
      </c>
      <c r="M108" s="139">
        <f>ROUND(L108*E108/DAY(EOMONTH(DATE(B108,C108,1),0)),1)</f>
        <v/>
      </c>
      <c r="N108" s="139">
        <f>ROUND(MAX(L108+E108-M108,8),0)</f>
        <v/>
      </c>
      <c r="O108" s="139">
        <f>D108*(DAY(EOMONTH(DATE(B108,C108,1),0))-N108)/DAY(EOMONTH(DATE(B108,C108,1),0))</f>
        <v/>
      </c>
      <c r="P108" s="139">
        <f>P107+O107</f>
        <v/>
      </c>
      <c r="Q108" s="139">
        <f>INDEX($G$29:$R$29,C108)</f>
        <v/>
      </c>
      <c r="R108" s="139">
        <f>ROUND(Q108*E108/DAY(EOMONTH(DATE(B108,C108,1),0)),1)</f>
        <v/>
      </c>
      <c r="S108" s="139">
        <f>ROUND(MAX(Q108+E108-R108,8),0)</f>
        <v/>
      </c>
      <c r="T108" s="139">
        <f>D108*(DAY(EOMONTH(DATE(B108,C108,1),0))-S108)/DAY(EOMONTH(DATE(B108,C108,1),0))</f>
        <v/>
      </c>
      <c r="U108" s="139">
        <f>U107+T107</f>
        <v/>
      </c>
      <c r="V108" s="139">
        <f>INDEX($G$30:$R$30,C108)</f>
        <v/>
      </c>
      <c r="W108" s="139">
        <f>ROUND(V108*E108/DAY(EOMONTH(DATE(B108,C108,1),0)),1)</f>
        <v/>
      </c>
      <c r="X108" s="139">
        <f>ROUND(MAX(V108+E108-W108,8),0)</f>
        <v/>
      </c>
      <c r="Y108" s="139">
        <f>D108*(DAY(EOMONTH(DATE(B108,C108,1),0))-X108)/DAY(EOMONTH(DATE(B108,C108,1),0))</f>
        <v/>
      </c>
      <c r="Z108" s="139">
        <f>Z107+Y107</f>
        <v/>
      </c>
    </row>
    <row r="109">
      <c r="A109" s="139" t="n">
        <v>47</v>
      </c>
      <c r="B109" s="139">
        <f>YEAR(EDATE(DATE(YEAR($B$10),MONTH($B$10),1),A109-1))</f>
        <v/>
      </c>
      <c r="C109" s="139">
        <f>MONTH(EDATE(DATE(YEAR($B$10),MONTH($B$10),1),A109-1))</f>
        <v/>
      </c>
      <c r="D109" s="139">
        <f>DAY(EOMONTH(DATE(B109,C109,1),0))</f>
        <v/>
      </c>
      <c r="E109" s="139">
        <f>IFERROR(INDEX(법정공휴일!$B$4:$M$20,MATCH(B109,법정공휴일!$A$4:$A$20,0),C109),0)</f>
        <v/>
      </c>
      <c r="F109" s="139">
        <f>F108+D108</f>
        <v/>
      </c>
      <c r="G109" s="139">
        <f>INDEX($G$27:$R$27,C109)</f>
        <v/>
      </c>
      <c r="H109" s="139">
        <f>ROUND(G109*E109/DAY(EOMONTH(DATE(B109,C109,1),0)),1)</f>
        <v/>
      </c>
      <c r="I109" s="139">
        <f>ROUND(MAX(G109+E109-H109,8),0)</f>
        <v/>
      </c>
      <c r="J109" s="139">
        <f>D109*(DAY(EOMONTH(DATE(B109,C109,1),0))-I109)/DAY(EOMONTH(DATE(B109,C109,1),0))</f>
        <v/>
      </c>
      <c r="K109" s="139">
        <f>K108+J108</f>
        <v/>
      </c>
      <c r="L109" s="139">
        <f>INDEX($G$28:$R$28,C109)</f>
        <v/>
      </c>
      <c r="M109" s="139">
        <f>ROUND(L109*E109/DAY(EOMONTH(DATE(B109,C109,1),0)),1)</f>
        <v/>
      </c>
      <c r="N109" s="139">
        <f>ROUND(MAX(L109+E109-M109,8),0)</f>
        <v/>
      </c>
      <c r="O109" s="139">
        <f>D109*(DAY(EOMONTH(DATE(B109,C109,1),0))-N109)/DAY(EOMONTH(DATE(B109,C109,1),0))</f>
        <v/>
      </c>
      <c r="P109" s="139">
        <f>P108+O108</f>
        <v/>
      </c>
      <c r="Q109" s="139">
        <f>INDEX($G$29:$R$29,C109)</f>
        <v/>
      </c>
      <c r="R109" s="139">
        <f>ROUND(Q109*E109/DAY(EOMONTH(DATE(B109,C109,1),0)),1)</f>
        <v/>
      </c>
      <c r="S109" s="139">
        <f>ROUND(MAX(Q109+E109-R109,8),0)</f>
        <v/>
      </c>
      <c r="T109" s="139">
        <f>D109*(DAY(EOMONTH(DATE(B109,C109,1),0))-S109)/DAY(EOMONTH(DATE(B109,C109,1),0))</f>
        <v/>
      </c>
      <c r="U109" s="139">
        <f>U108+T108</f>
        <v/>
      </c>
      <c r="V109" s="139">
        <f>INDEX($G$30:$R$30,C109)</f>
        <v/>
      </c>
      <c r="W109" s="139">
        <f>ROUND(V109*E109/DAY(EOMONTH(DATE(B109,C109,1),0)),1)</f>
        <v/>
      </c>
      <c r="X109" s="139">
        <f>ROUND(MAX(V109+E109-W109,8),0)</f>
        <v/>
      </c>
      <c r="Y109" s="139">
        <f>D109*(DAY(EOMONTH(DATE(B109,C109,1),0))-X109)/DAY(EOMONTH(DATE(B109,C109,1),0))</f>
        <v/>
      </c>
      <c r="Z109" s="139">
        <f>Z108+Y108</f>
        <v/>
      </c>
    </row>
    <row r="110">
      <c r="A110" s="139" t="n">
        <v>48</v>
      </c>
      <c r="B110" s="139">
        <f>YEAR(EDATE(DATE(YEAR($B$10),MONTH($B$10),1),A110-1))</f>
        <v/>
      </c>
      <c r="C110" s="139">
        <f>MONTH(EDATE(DATE(YEAR($B$10),MONTH($B$10),1),A110-1))</f>
        <v/>
      </c>
      <c r="D110" s="139">
        <f>DAY(EOMONTH(DATE(B110,C110,1),0))</f>
        <v/>
      </c>
      <c r="E110" s="139">
        <f>IFERROR(INDEX(법정공휴일!$B$4:$M$20,MATCH(B110,법정공휴일!$A$4:$A$20,0),C110),0)</f>
        <v/>
      </c>
      <c r="F110" s="139">
        <f>F109+D109</f>
        <v/>
      </c>
      <c r="G110" s="139">
        <f>INDEX($G$27:$R$27,C110)</f>
        <v/>
      </c>
      <c r="H110" s="139">
        <f>ROUND(G110*E110/DAY(EOMONTH(DATE(B110,C110,1),0)),1)</f>
        <v/>
      </c>
      <c r="I110" s="139">
        <f>ROUND(MAX(G110+E110-H110,8),0)</f>
        <v/>
      </c>
      <c r="J110" s="139">
        <f>D110*(DAY(EOMONTH(DATE(B110,C110,1),0))-I110)/DAY(EOMONTH(DATE(B110,C110,1),0))</f>
        <v/>
      </c>
      <c r="K110" s="139">
        <f>K109+J109</f>
        <v/>
      </c>
      <c r="L110" s="139">
        <f>INDEX($G$28:$R$28,C110)</f>
        <v/>
      </c>
      <c r="M110" s="139">
        <f>ROUND(L110*E110/DAY(EOMONTH(DATE(B110,C110,1),0)),1)</f>
        <v/>
      </c>
      <c r="N110" s="139">
        <f>ROUND(MAX(L110+E110-M110,8),0)</f>
        <v/>
      </c>
      <c r="O110" s="139">
        <f>D110*(DAY(EOMONTH(DATE(B110,C110,1),0))-N110)/DAY(EOMONTH(DATE(B110,C110,1),0))</f>
        <v/>
      </c>
      <c r="P110" s="139">
        <f>P109+O109</f>
        <v/>
      </c>
      <c r="Q110" s="139">
        <f>INDEX($G$29:$R$29,C110)</f>
        <v/>
      </c>
      <c r="R110" s="139">
        <f>ROUND(Q110*E110/DAY(EOMONTH(DATE(B110,C110,1),0)),1)</f>
        <v/>
      </c>
      <c r="S110" s="139">
        <f>ROUND(MAX(Q110+E110-R110,8),0)</f>
        <v/>
      </c>
      <c r="T110" s="139">
        <f>D110*(DAY(EOMONTH(DATE(B110,C110,1),0))-S110)/DAY(EOMONTH(DATE(B110,C110,1),0))</f>
        <v/>
      </c>
      <c r="U110" s="139">
        <f>U109+T109</f>
        <v/>
      </c>
      <c r="V110" s="139">
        <f>INDEX($G$30:$R$30,C110)</f>
        <v/>
      </c>
      <c r="W110" s="139">
        <f>ROUND(V110*E110/DAY(EOMONTH(DATE(B110,C110,1),0)),1)</f>
        <v/>
      </c>
      <c r="X110" s="139">
        <f>ROUND(MAX(V110+E110-W110,8),0)</f>
        <v/>
      </c>
      <c r="Y110" s="139">
        <f>D110*(DAY(EOMONTH(DATE(B110,C110,1),0))-X110)/DAY(EOMONTH(DATE(B110,C110,1),0))</f>
        <v/>
      </c>
      <c r="Z110" s="139">
        <f>Z109+Y109</f>
        <v/>
      </c>
    </row>
    <row r="111">
      <c r="A111" s="139" t="n">
        <v>49</v>
      </c>
      <c r="B111" s="139">
        <f>YEAR(EDATE(DATE(YEAR($B$10),MONTH($B$10),1),A111-1))</f>
        <v/>
      </c>
      <c r="C111" s="139">
        <f>MONTH(EDATE(DATE(YEAR($B$10),MONTH($B$10),1),A111-1))</f>
        <v/>
      </c>
      <c r="D111" s="139">
        <f>DAY(EOMONTH(DATE(B111,C111,1),0))</f>
        <v/>
      </c>
      <c r="E111" s="139">
        <f>IFERROR(INDEX(법정공휴일!$B$4:$M$20,MATCH(B111,법정공휴일!$A$4:$A$20,0),C111),0)</f>
        <v/>
      </c>
      <c r="F111" s="139">
        <f>F110+D110</f>
        <v/>
      </c>
      <c r="G111" s="139">
        <f>INDEX($G$27:$R$27,C111)</f>
        <v/>
      </c>
      <c r="H111" s="139">
        <f>ROUND(G111*E111/DAY(EOMONTH(DATE(B111,C111,1),0)),1)</f>
        <v/>
      </c>
      <c r="I111" s="139">
        <f>ROUND(MAX(G111+E111-H111,8),0)</f>
        <v/>
      </c>
      <c r="J111" s="139">
        <f>D111*(DAY(EOMONTH(DATE(B111,C111,1),0))-I111)/DAY(EOMONTH(DATE(B111,C111,1),0))</f>
        <v/>
      </c>
      <c r="K111" s="139">
        <f>K110+J110</f>
        <v/>
      </c>
      <c r="L111" s="139">
        <f>INDEX($G$28:$R$28,C111)</f>
        <v/>
      </c>
      <c r="M111" s="139">
        <f>ROUND(L111*E111/DAY(EOMONTH(DATE(B111,C111,1),0)),1)</f>
        <v/>
      </c>
      <c r="N111" s="139">
        <f>ROUND(MAX(L111+E111-M111,8),0)</f>
        <v/>
      </c>
      <c r="O111" s="139">
        <f>D111*(DAY(EOMONTH(DATE(B111,C111,1),0))-N111)/DAY(EOMONTH(DATE(B111,C111,1),0))</f>
        <v/>
      </c>
      <c r="P111" s="139">
        <f>P110+O110</f>
        <v/>
      </c>
      <c r="Q111" s="139">
        <f>INDEX($G$29:$R$29,C111)</f>
        <v/>
      </c>
      <c r="R111" s="139">
        <f>ROUND(Q111*E111/DAY(EOMONTH(DATE(B111,C111,1),0)),1)</f>
        <v/>
      </c>
      <c r="S111" s="139">
        <f>ROUND(MAX(Q111+E111-R111,8),0)</f>
        <v/>
      </c>
      <c r="T111" s="139">
        <f>D111*(DAY(EOMONTH(DATE(B111,C111,1),0))-S111)/DAY(EOMONTH(DATE(B111,C111,1),0))</f>
        <v/>
      </c>
      <c r="U111" s="139">
        <f>U110+T110</f>
        <v/>
      </c>
      <c r="V111" s="139">
        <f>INDEX($G$30:$R$30,C111)</f>
        <v/>
      </c>
      <c r="W111" s="139">
        <f>ROUND(V111*E111/DAY(EOMONTH(DATE(B111,C111,1),0)),1)</f>
        <v/>
      </c>
      <c r="X111" s="139">
        <f>ROUND(MAX(V111+E111-W111,8),0)</f>
        <v/>
      </c>
      <c r="Y111" s="139">
        <f>D111*(DAY(EOMONTH(DATE(B111,C111,1),0))-X111)/DAY(EOMONTH(DATE(B111,C111,1),0))</f>
        <v/>
      </c>
      <c r="Z111" s="139">
        <f>Z110+Y110</f>
        <v/>
      </c>
    </row>
    <row r="112">
      <c r="A112" s="139" t="n">
        <v>50</v>
      </c>
      <c r="B112" s="139">
        <f>YEAR(EDATE(DATE(YEAR($B$10),MONTH($B$10),1),A112-1))</f>
        <v/>
      </c>
      <c r="C112" s="139">
        <f>MONTH(EDATE(DATE(YEAR($B$10),MONTH($B$10),1),A112-1))</f>
        <v/>
      </c>
      <c r="D112" s="139">
        <f>DAY(EOMONTH(DATE(B112,C112,1),0))</f>
        <v/>
      </c>
      <c r="E112" s="139">
        <f>IFERROR(INDEX(법정공휴일!$B$4:$M$20,MATCH(B112,법정공휴일!$A$4:$A$20,0),C112),0)</f>
        <v/>
      </c>
      <c r="F112" s="139">
        <f>F111+D111</f>
        <v/>
      </c>
      <c r="G112" s="139">
        <f>INDEX($G$27:$R$27,C112)</f>
        <v/>
      </c>
      <c r="H112" s="139">
        <f>ROUND(G112*E112/DAY(EOMONTH(DATE(B112,C112,1),0)),1)</f>
        <v/>
      </c>
      <c r="I112" s="139">
        <f>ROUND(MAX(G112+E112-H112,8),0)</f>
        <v/>
      </c>
      <c r="J112" s="139">
        <f>D112*(DAY(EOMONTH(DATE(B112,C112,1),0))-I112)/DAY(EOMONTH(DATE(B112,C112,1),0))</f>
        <v/>
      </c>
      <c r="K112" s="139">
        <f>K111+J111</f>
        <v/>
      </c>
      <c r="L112" s="139">
        <f>INDEX($G$28:$R$28,C112)</f>
        <v/>
      </c>
      <c r="M112" s="139">
        <f>ROUND(L112*E112/DAY(EOMONTH(DATE(B112,C112,1),0)),1)</f>
        <v/>
      </c>
      <c r="N112" s="139">
        <f>ROUND(MAX(L112+E112-M112,8),0)</f>
        <v/>
      </c>
      <c r="O112" s="139">
        <f>D112*(DAY(EOMONTH(DATE(B112,C112,1),0))-N112)/DAY(EOMONTH(DATE(B112,C112,1),0))</f>
        <v/>
      </c>
      <c r="P112" s="139">
        <f>P111+O111</f>
        <v/>
      </c>
      <c r="Q112" s="139">
        <f>INDEX($G$29:$R$29,C112)</f>
        <v/>
      </c>
      <c r="R112" s="139">
        <f>ROUND(Q112*E112/DAY(EOMONTH(DATE(B112,C112,1),0)),1)</f>
        <v/>
      </c>
      <c r="S112" s="139">
        <f>ROUND(MAX(Q112+E112-R112,8),0)</f>
        <v/>
      </c>
      <c r="T112" s="139">
        <f>D112*(DAY(EOMONTH(DATE(B112,C112,1),0))-S112)/DAY(EOMONTH(DATE(B112,C112,1),0))</f>
        <v/>
      </c>
      <c r="U112" s="139">
        <f>U111+T111</f>
        <v/>
      </c>
      <c r="V112" s="139">
        <f>INDEX($G$30:$R$30,C112)</f>
        <v/>
      </c>
      <c r="W112" s="139">
        <f>ROUND(V112*E112/DAY(EOMONTH(DATE(B112,C112,1),0)),1)</f>
        <v/>
      </c>
      <c r="X112" s="139">
        <f>ROUND(MAX(V112+E112-W112,8),0)</f>
        <v/>
      </c>
      <c r="Y112" s="139">
        <f>D112*(DAY(EOMONTH(DATE(B112,C112,1),0))-X112)/DAY(EOMONTH(DATE(B112,C112,1),0))</f>
        <v/>
      </c>
      <c r="Z112" s="139">
        <f>Z111+Y111</f>
        <v/>
      </c>
    </row>
    <row r="113">
      <c r="A113" s="139" t="n">
        <v>51</v>
      </c>
      <c r="B113" s="139">
        <f>YEAR(EDATE(DATE(YEAR($B$10),MONTH($B$10),1),A113-1))</f>
        <v/>
      </c>
      <c r="C113" s="139">
        <f>MONTH(EDATE(DATE(YEAR($B$10),MONTH($B$10),1),A113-1))</f>
        <v/>
      </c>
      <c r="D113" s="139">
        <f>DAY(EOMONTH(DATE(B113,C113,1),0))</f>
        <v/>
      </c>
      <c r="E113" s="139">
        <f>IFERROR(INDEX(법정공휴일!$B$4:$M$20,MATCH(B113,법정공휴일!$A$4:$A$20,0),C113),0)</f>
        <v/>
      </c>
      <c r="F113" s="139">
        <f>F112+D112</f>
        <v/>
      </c>
      <c r="G113" s="139">
        <f>INDEX($G$27:$R$27,C113)</f>
        <v/>
      </c>
      <c r="H113" s="139">
        <f>ROUND(G113*E113/DAY(EOMONTH(DATE(B113,C113,1),0)),1)</f>
        <v/>
      </c>
      <c r="I113" s="139">
        <f>ROUND(MAX(G113+E113-H113,8),0)</f>
        <v/>
      </c>
      <c r="J113" s="139">
        <f>D113*(DAY(EOMONTH(DATE(B113,C113,1),0))-I113)/DAY(EOMONTH(DATE(B113,C113,1),0))</f>
        <v/>
      </c>
      <c r="K113" s="139">
        <f>K112+J112</f>
        <v/>
      </c>
      <c r="L113" s="139">
        <f>INDEX($G$28:$R$28,C113)</f>
        <v/>
      </c>
      <c r="M113" s="139">
        <f>ROUND(L113*E113/DAY(EOMONTH(DATE(B113,C113,1),0)),1)</f>
        <v/>
      </c>
      <c r="N113" s="139">
        <f>ROUND(MAX(L113+E113-M113,8),0)</f>
        <v/>
      </c>
      <c r="O113" s="139">
        <f>D113*(DAY(EOMONTH(DATE(B113,C113,1),0))-N113)/DAY(EOMONTH(DATE(B113,C113,1),0))</f>
        <v/>
      </c>
      <c r="P113" s="139">
        <f>P112+O112</f>
        <v/>
      </c>
      <c r="Q113" s="139">
        <f>INDEX($G$29:$R$29,C113)</f>
        <v/>
      </c>
      <c r="R113" s="139">
        <f>ROUND(Q113*E113/DAY(EOMONTH(DATE(B113,C113,1),0)),1)</f>
        <v/>
      </c>
      <c r="S113" s="139">
        <f>ROUND(MAX(Q113+E113-R113,8),0)</f>
        <v/>
      </c>
      <c r="T113" s="139">
        <f>D113*(DAY(EOMONTH(DATE(B113,C113,1),0))-S113)/DAY(EOMONTH(DATE(B113,C113,1),0))</f>
        <v/>
      </c>
      <c r="U113" s="139">
        <f>U112+T112</f>
        <v/>
      </c>
      <c r="V113" s="139">
        <f>INDEX($G$30:$R$30,C113)</f>
        <v/>
      </c>
      <c r="W113" s="139">
        <f>ROUND(V113*E113/DAY(EOMONTH(DATE(B113,C113,1),0)),1)</f>
        <v/>
      </c>
      <c r="X113" s="139">
        <f>ROUND(MAX(V113+E113-W113,8),0)</f>
        <v/>
      </c>
      <c r="Y113" s="139">
        <f>D113*(DAY(EOMONTH(DATE(B113,C113,1),0))-X113)/DAY(EOMONTH(DATE(B113,C113,1),0))</f>
        <v/>
      </c>
      <c r="Z113" s="139">
        <f>Z112+Y112</f>
        <v/>
      </c>
    </row>
    <row r="114">
      <c r="A114" s="139" t="n">
        <v>52</v>
      </c>
      <c r="B114" s="139">
        <f>YEAR(EDATE(DATE(YEAR($B$10),MONTH($B$10),1),A114-1))</f>
        <v/>
      </c>
      <c r="C114" s="139">
        <f>MONTH(EDATE(DATE(YEAR($B$10),MONTH($B$10),1),A114-1))</f>
        <v/>
      </c>
      <c r="D114" s="139">
        <f>DAY(EOMONTH(DATE(B114,C114,1),0))</f>
        <v/>
      </c>
      <c r="E114" s="139">
        <f>IFERROR(INDEX(법정공휴일!$B$4:$M$20,MATCH(B114,법정공휴일!$A$4:$A$20,0),C114),0)</f>
        <v/>
      </c>
      <c r="F114" s="139">
        <f>F113+D113</f>
        <v/>
      </c>
      <c r="G114" s="139">
        <f>INDEX($G$27:$R$27,C114)</f>
        <v/>
      </c>
      <c r="H114" s="139">
        <f>ROUND(G114*E114/DAY(EOMONTH(DATE(B114,C114,1),0)),1)</f>
        <v/>
      </c>
      <c r="I114" s="139">
        <f>ROUND(MAX(G114+E114-H114,8),0)</f>
        <v/>
      </c>
      <c r="J114" s="139">
        <f>D114*(DAY(EOMONTH(DATE(B114,C114,1),0))-I114)/DAY(EOMONTH(DATE(B114,C114,1),0))</f>
        <v/>
      </c>
      <c r="K114" s="139">
        <f>K113+J113</f>
        <v/>
      </c>
      <c r="L114" s="139">
        <f>INDEX($G$28:$R$28,C114)</f>
        <v/>
      </c>
      <c r="M114" s="139">
        <f>ROUND(L114*E114/DAY(EOMONTH(DATE(B114,C114,1),0)),1)</f>
        <v/>
      </c>
      <c r="N114" s="139">
        <f>ROUND(MAX(L114+E114-M114,8),0)</f>
        <v/>
      </c>
      <c r="O114" s="139">
        <f>D114*(DAY(EOMONTH(DATE(B114,C114,1),0))-N114)/DAY(EOMONTH(DATE(B114,C114,1),0))</f>
        <v/>
      </c>
      <c r="P114" s="139">
        <f>P113+O113</f>
        <v/>
      </c>
      <c r="Q114" s="139">
        <f>INDEX($G$29:$R$29,C114)</f>
        <v/>
      </c>
      <c r="R114" s="139">
        <f>ROUND(Q114*E114/DAY(EOMONTH(DATE(B114,C114,1),0)),1)</f>
        <v/>
      </c>
      <c r="S114" s="139">
        <f>ROUND(MAX(Q114+E114-R114,8),0)</f>
        <v/>
      </c>
      <c r="T114" s="139">
        <f>D114*(DAY(EOMONTH(DATE(B114,C114,1),0))-S114)/DAY(EOMONTH(DATE(B114,C114,1),0))</f>
        <v/>
      </c>
      <c r="U114" s="139">
        <f>U113+T113</f>
        <v/>
      </c>
      <c r="V114" s="139">
        <f>INDEX($G$30:$R$30,C114)</f>
        <v/>
      </c>
      <c r="W114" s="139">
        <f>ROUND(V114*E114/DAY(EOMONTH(DATE(B114,C114,1),0)),1)</f>
        <v/>
      </c>
      <c r="X114" s="139">
        <f>ROUND(MAX(V114+E114-W114,8),0)</f>
        <v/>
      </c>
      <c r="Y114" s="139">
        <f>D114*(DAY(EOMONTH(DATE(B114,C114,1),0))-X114)/DAY(EOMONTH(DATE(B114,C114,1),0))</f>
        <v/>
      </c>
      <c r="Z114" s="139">
        <f>Z113+Y113</f>
        <v/>
      </c>
    </row>
    <row r="115">
      <c r="A115" s="139" t="n">
        <v>53</v>
      </c>
      <c r="B115" s="139">
        <f>YEAR(EDATE(DATE(YEAR($B$10),MONTH($B$10),1),A115-1))</f>
        <v/>
      </c>
      <c r="C115" s="139">
        <f>MONTH(EDATE(DATE(YEAR($B$10),MONTH($B$10),1),A115-1))</f>
        <v/>
      </c>
      <c r="D115" s="139">
        <f>DAY(EOMONTH(DATE(B115,C115,1),0))</f>
        <v/>
      </c>
      <c r="E115" s="139">
        <f>IFERROR(INDEX(법정공휴일!$B$4:$M$20,MATCH(B115,법정공휴일!$A$4:$A$20,0),C115),0)</f>
        <v/>
      </c>
      <c r="F115" s="139">
        <f>F114+D114</f>
        <v/>
      </c>
      <c r="G115" s="139">
        <f>INDEX($G$27:$R$27,C115)</f>
        <v/>
      </c>
      <c r="H115" s="139">
        <f>ROUND(G115*E115/DAY(EOMONTH(DATE(B115,C115,1),0)),1)</f>
        <v/>
      </c>
      <c r="I115" s="139">
        <f>ROUND(MAX(G115+E115-H115,8),0)</f>
        <v/>
      </c>
      <c r="J115" s="139">
        <f>D115*(DAY(EOMONTH(DATE(B115,C115,1),0))-I115)/DAY(EOMONTH(DATE(B115,C115,1),0))</f>
        <v/>
      </c>
      <c r="K115" s="139">
        <f>K114+J114</f>
        <v/>
      </c>
      <c r="L115" s="139">
        <f>INDEX($G$28:$R$28,C115)</f>
        <v/>
      </c>
      <c r="M115" s="139">
        <f>ROUND(L115*E115/DAY(EOMONTH(DATE(B115,C115,1),0)),1)</f>
        <v/>
      </c>
      <c r="N115" s="139">
        <f>ROUND(MAX(L115+E115-M115,8),0)</f>
        <v/>
      </c>
      <c r="O115" s="139">
        <f>D115*(DAY(EOMONTH(DATE(B115,C115,1),0))-N115)/DAY(EOMONTH(DATE(B115,C115,1),0))</f>
        <v/>
      </c>
      <c r="P115" s="139">
        <f>P114+O114</f>
        <v/>
      </c>
      <c r="Q115" s="139">
        <f>INDEX($G$29:$R$29,C115)</f>
        <v/>
      </c>
      <c r="R115" s="139">
        <f>ROUND(Q115*E115/DAY(EOMONTH(DATE(B115,C115,1),0)),1)</f>
        <v/>
      </c>
      <c r="S115" s="139">
        <f>ROUND(MAX(Q115+E115-R115,8),0)</f>
        <v/>
      </c>
      <c r="T115" s="139">
        <f>D115*(DAY(EOMONTH(DATE(B115,C115,1),0))-S115)/DAY(EOMONTH(DATE(B115,C115,1),0))</f>
        <v/>
      </c>
      <c r="U115" s="139">
        <f>U114+T114</f>
        <v/>
      </c>
      <c r="V115" s="139">
        <f>INDEX($G$30:$R$30,C115)</f>
        <v/>
      </c>
      <c r="W115" s="139">
        <f>ROUND(V115*E115/DAY(EOMONTH(DATE(B115,C115,1),0)),1)</f>
        <v/>
      </c>
      <c r="X115" s="139">
        <f>ROUND(MAX(V115+E115-W115,8),0)</f>
        <v/>
      </c>
      <c r="Y115" s="139">
        <f>D115*(DAY(EOMONTH(DATE(B115,C115,1),0))-X115)/DAY(EOMONTH(DATE(B115,C115,1),0))</f>
        <v/>
      </c>
      <c r="Z115" s="139">
        <f>Z114+Y114</f>
        <v/>
      </c>
    </row>
    <row r="116">
      <c r="A116" s="139" t="n">
        <v>54</v>
      </c>
      <c r="B116" s="139">
        <f>YEAR(EDATE(DATE(YEAR($B$10),MONTH($B$10),1),A116-1))</f>
        <v/>
      </c>
      <c r="C116" s="139">
        <f>MONTH(EDATE(DATE(YEAR($B$10),MONTH($B$10),1),A116-1))</f>
        <v/>
      </c>
      <c r="D116" s="139">
        <f>DAY(EOMONTH(DATE(B116,C116,1),0))</f>
        <v/>
      </c>
      <c r="E116" s="139">
        <f>IFERROR(INDEX(법정공휴일!$B$4:$M$20,MATCH(B116,법정공휴일!$A$4:$A$20,0),C116),0)</f>
        <v/>
      </c>
      <c r="F116" s="139">
        <f>F115+D115</f>
        <v/>
      </c>
      <c r="G116" s="139">
        <f>INDEX($G$27:$R$27,C116)</f>
        <v/>
      </c>
      <c r="H116" s="139">
        <f>ROUND(G116*E116/DAY(EOMONTH(DATE(B116,C116,1),0)),1)</f>
        <v/>
      </c>
      <c r="I116" s="139">
        <f>ROUND(MAX(G116+E116-H116,8),0)</f>
        <v/>
      </c>
      <c r="J116" s="139">
        <f>D116*(DAY(EOMONTH(DATE(B116,C116,1),0))-I116)/DAY(EOMONTH(DATE(B116,C116,1),0))</f>
        <v/>
      </c>
      <c r="K116" s="139">
        <f>K115+J115</f>
        <v/>
      </c>
      <c r="L116" s="139">
        <f>INDEX($G$28:$R$28,C116)</f>
        <v/>
      </c>
      <c r="M116" s="139">
        <f>ROUND(L116*E116/DAY(EOMONTH(DATE(B116,C116,1),0)),1)</f>
        <v/>
      </c>
      <c r="N116" s="139">
        <f>ROUND(MAX(L116+E116-M116,8),0)</f>
        <v/>
      </c>
      <c r="O116" s="139">
        <f>D116*(DAY(EOMONTH(DATE(B116,C116,1),0))-N116)/DAY(EOMONTH(DATE(B116,C116,1),0))</f>
        <v/>
      </c>
      <c r="P116" s="139">
        <f>P115+O115</f>
        <v/>
      </c>
      <c r="Q116" s="139">
        <f>INDEX($G$29:$R$29,C116)</f>
        <v/>
      </c>
      <c r="R116" s="139">
        <f>ROUND(Q116*E116/DAY(EOMONTH(DATE(B116,C116,1),0)),1)</f>
        <v/>
      </c>
      <c r="S116" s="139">
        <f>ROUND(MAX(Q116+E116-R116,8),0)</f>
        <v/>
      </c>
      <c r="T116" s="139">
        <f>D116*(DAY(EOMONTH(DATE(B116,C116,1),0))-S116)/DAY(EOMONTH(DATE(B116,C116,1),0))</f>
        <v/>
      </c>
      <c r="U116" s="139">
        <f>U115+T115</f>
        <v/>
      </c>
      <c r="V116" s="139">
        <f>INDEX($G$30:$R$30,C116)</f>
        <v/>
      </c>
      <c r="W116" s="139">
        <f>ROUND(V116*E116/DAY(EOMONTH(DATE(B116,C116,1),0)),1)</f>
        <v/>
      </c>
      <c r="X116" s="139">
        <f>ROUND(MAX(V116+E116-W116,8),0)</f>
        <v/>
      </c>
      <c r="Y116" s="139">
        <f>D116*(DAY(EOMONTH(DATE(B116,C116,1),0))-X116)/DAY(EOMONTH(DATE(B116,C116,1),0))</f>
        <v/>
      </c>
      <c r="Z116" s="139">
        <f>Z115+Y115</f>
        <v/>
      </c>
    </row>
    <row r="117">
      <c r="A117" s="139" t="n">
        <v>55</v>
      </c>
      <c r="B117" s="139">
        <f>YEAR(EDATE(DATE(YEAR($B$10),MONTH($B$10),1),A117-1))</f>
        <v/>
      </c>
      <c r="C117" s="139">
        <f>MONTH(EDATE(DATE(YEAR($B$10),MONTH($B$10),1),A117-1))</f>
        <v/>
      </c>
      <c r="D117" s="139">
        <f>DAY(EOMONTH(DATE(B117,C117,1),0))</f>
        <v/>
      </c>
      <c r="E117" s="139">
        <f>IFERROR(INDEX(법정공휴일!$B$4:$M$20,MATCH(B117,법정공휴일!$A$4:$A$20,0),C117),0)</f>
        <v/>
      </c>
      <c r="F117" s="139">
        <f>F116+D116</f>
        <v/>
      </c>
      <c r="G117" s="139">
        <f>INDEX($G$27:$R$27,C117)</f>
        <v/>
      </c>
      <c r="H117" s="139">
        <f>ROUND(G117*E117/DAY(EOMONTH(DATE(B117,C117,1),0)),1)</f>
        <v/>
      </c>
      <c r="I117" s="139">
        <f>ROUND(MAX(G117+E117-H117,8),0)</f>
        <v/>
      </c>
      <c r="J117" s="139">
        <f>D117*(DAY(EOMONTH(DATE(B117,C117,1),0))-I117)/DAY(EOMONTH(DATE(B117,C117,1),0))</f>
        <v/>
      </c>
      <c r="K117" s="139">
        <f>K116+J116</f>
        <v/>
      </c>
      <c r="L117" s="139">
        <f>INDEX($G$28:$R$28,C117)</f>
        <v/>
      </c>
      <c r="M117" s="139">
        <f>ROUND(L117*E117/DAY(EOMONTH(DATE(B117,C117,1),0)),1)</f>
        <v/>
      </c>
      <c r="N117" s="139">
        <f>ROUND(MAX(L117+E117-M117,8),0)</f>
        <v/>
      </c>
      <c r="O117" s="139">
        <f>D117*(DAY(EOMONTH(DATE(B117,C117,1),0))-N117)/DAY(EOMONTH(DATE(B117,C117,1),0))</f>
        <v/>
      </c>
      <c r="P117" s="139">
        <f>P116+O116</f>
        <v/>
      </c>
      <c r="Q117" s="139">
        <f>INDEX($G$29:$R$29,C117)</f>
        <v/>
      </c>
      <c r="R117" s="139">
        <f>ROUND(Q117*E117/DAY(EOMONTH(DATE(B117,C117,1),0)),1)</f>
        <v/>
      </c>
      <c r="S117" s="139">
        <f>ROUND(MAX(Q117+E117-R117,8),0)</f>
        <v/>
      </c>
      <c r="T117" s="139">
        <f>D117*(DAY(EOMONTH(DATE(B117,C117,1),0))-S117)/DAY(EOMONTH(DATE(B117,C117,1),0))</f>
        <v/>
      </c>
      <c r="U117" s="139">
        <f>U116+T116</f>
        <v/>
      </c>
      <c r="V117" s="139">
        <f>INDEX($G$30:$R$30,C117)</f>
        <v/>
      </c>
      <c r="W117" s="139">
        <f>ROUND(V117*E117/DAY(EOMONTH(DATE(B117,C117,1),0)),1)</f>
        <v/>
      </c>
      <c r="X117" s="139">
        <f>ROUND(MAX(V117+E117-W117,8),0)</f>
        <v/>
      </c>
      <c r="Y117" s="139">
        <f>D117*(DAY(EOMONTH(DATE(B117,C117,1),0))-X117)/DAY(EOMONTH(DATE(B117,C117,1),0))</f>
        <v/>
      </c>
      <c r="Z117" s="139">
        <f>Z116+Y116</f>
        <v/>
      </c>
    </row>
    <row r="118">
      <c r="A118" s="139" t="n">
        <v>56</v>
      </c>
      <c r="B118" s="139">
        <f>YEAR(EDATE(DATE(YEAR($B$10),MONTH($B$10),1),A118-1))</f>
        <v/>
      </c>
      <c r="C118" s="139">
        <f>MONTH(EDATE(DATE(YEAR($B$10),MONTH($B$10),1),A118-1))</f>
        <v/>
      </c>
      <c r="D118" s="139">
        <f>DAY(EOMONTH(DATE(B118,C118,1),0))</f>
        <v/>
      </c>
      <c r="E118" s="139">
        <f>IFERROR(INDEX(법정공휴일!$B$4:$M$20,MATCH(B118,법정공휴일!$A$4:$A$20,0),C118),0)</f>
        <v/>
      </c>
      <c r="F118" s="139">
        <f>F117+D117</f>
        <v/>
      </c>
      <c r="G118" s="139">
        <f>INDEX($G$27:$R$27,C118)</f>
        <v/>
      </c>
      <c r="H118" s="139">
        <f>ROUND(G118*E118/DAY(EOMONTH(DATE(B118,C118,1),0)),1)</f>
        <v/>
      </c>
      <c r="I118" s="139">
        <f>ROUND(MAX(G118+E118-H118,8),0)</f>
        <v/>
      </c>
      <c r="J118" s="139">
        <f>D118*(DAY(EOMONTH(DATE(B118,C118,1),0))-I118)/DAY(EOMONTH(DATE(B118,C118,1),0))</f>
        <v/>
      </c>
      <c r="K118" s="139">
        <f>K117+J117</f>
        <v/>
      </c>
      <c r="L118" s="139">
        <f>INDEX($G$28:$R$28,C118)</f>
        <v/>
      </c>
      <c r="M118" s="139">
        <f>ROUND(L118*E118/DAY(EOMONTH(DATE(B118,C118,1),0)),1)</f>
        <v/>
      </c>
      <c r="N118" s="139">
        <f>ROUND(MAX(L118+E118-M118,8),0)</f>
        <v/>
      </c>
      <c r="O118" s="139">
        <f>D118*(DAY(EOMONTH(DATE(B118,C118,1),0))-N118)/DAY(EOMONTH(DATE(B118,C118,1),0))</f>
        <v/>
      </c>
      <c r="P118" s="139">
        <f>P117+O117</f>
        <v/>
      </c>
      <c r="Q118" s="139">
        <f>INDEX($G$29:$R$29,C118)</f>
        <v/>
      </c>
      <c r="R118" s="139">
        <f>ROUND(Q118*E118/DAY(EOMONTH(DATE(B118,C118,1),0)),1)</f>
        <v/>
      </c>
      <c r="S118" s="139">
        <f>ROUND(MAX(Q118+E118-R118,8),0)</f>
        <v/>
      </c>
      <c r="T118" s="139">
        <f>D118*(DAY(EOMONTH(DATE(B118,C118,1),0))-S118)/DAY(EOMONTH(DATE(B118,C118,1),0))</f>
        <v/>
      </c>
      <c r="U118" s="139">
        <f>U117+T117</f>
        <v/>
      </c>
      <c r="V118" s="139">
        <f>INDEX($G$30:$R$30,C118)</f>
        <v/>
      </c>
      <c r="W118" s="139">
        <f>ROUND(V118*E118/DAY(EOMONTH(DATE(B118,C118,1),0)),1)</f>
        <v/>
      </c>
      <c r="X118" s="139">
        <f>ROUND(MAX(V118+E118-W118,8),0)</f>
        <v/>
      </c>
      <c r="Y118" s="139">
        <f>D118*(DAY(EOMONTH(DATE(B118,C118,1),0))-X118)/DAY(EOMONTH(DATE(B118,C118,1),0))</f>
        <v/>
      </c>
      <c r="Z118" s="139">
        <f>Z117+Y117</f>
        <v/>
      </c>
    </row>
    <row r="119">
      <c r="A119" s="139" t="n">
        <v>57</v>
      </c>
      <c r="B119" s="139">
        <f>YEAR(EDATE(DATE(YEAR($B$10),MONTH($B$10),1),A119-1))</f>
        <v/>
      </c>
      <c r="C119" s="139">
        <f>MONTH(EDATE(DATE(YEAR($B$10),MONTH($B$10),1),A119-1))</f>
        <v/>
      </c>
      <c r="D119" s="139">
        <f>DAY(EOMONTH(DATE(B119,C119,1),0))</f>
        <v/>
      </c>
      <c r="E119" s="139">
        <f>IFERROR(INDEX(법정공휴일!$B$4:$M$20,MATCH(B119,법정공휴일!$A$4:$A$20,0),C119),0)</f>
        <v/>
      </c>
      <c r="F119" s="139">
        <f>F118+D118</f>
        <v/>
      </c>
      <c r="G119" s="139">
        <f>INDEX($G$27:$R$27,C119)</f>
        <v/>
      </c>
      <c r="H119" s="139">
        <f>ROUND(G119*E119/DAY(EOMONTH(DATE(B119,C119,1),0)),1)</f>
        <v/>
      </c>
      <c r="I119" s="139">
        <f>ROUND(MAX(G119+E119-H119,8),0)</f>
        <v/>
      </c>
      <c r="J119" s="139">
        <f>D119*(DAY(EOMONTH(DATE(B119,C119,1),0))-I119)/DAY(EOMONTH(DATE(B119,C119,1),0))</f>
        <v/>
      </c>
      <c r="K119" s="139">
        <f>K118+J118</f>
        <v/>
      </c>
      <c r="L119" s="139">
        <f>INDEX($G$28:$R$28,C119)</f>
        <v/>
      </c>
      <c r="M119" s="139">
        <f>ROUND(L119*E119/DAY(EOMONTH(DATE(B119,C119,1),0)),1)</f>
        <v/>
      </c>
      <c r="N119" s="139">
        <f>ROUND(MAX(L119+E119-M119,8),0)</f>
        <v/>
      </c>
      <c r="O119" s="139">
        <f>D119*(DAY(EOMONTH(DATE(B119,C119,1),0))-N119)/DAY(EOMONTH(DATE(B119,C119,1),0))</f>
        <v/>
      </c>
      <c r="P119" s="139">
        <f>P118+O118</f>
        <v/>
      </c>
      <c r="Q119" s="139">
        <f>INDEX($G$29:$R$29,C119)</f>
        <v/>
      </c>
      <c r="R119" s="139">
        <f>ROUND(Q119*E119/DAY(EOMONTH(DATE(B119,C119,1),0)),1)</f>
        <v/>
      </c>
      <c r="S119" s="139">
        <f>ROUND(MAX(Q119+E119-R119,8),0)</f>
        <v/>
      </c>
      <c r="T119" s="139">
        <f>D119*(DAY(EOMONTH(DATE(B119,C119,1),0))-S119)/DAY(EOMONTH(DATE(B119,C119,1),0))</f>
        <v/>
      </c>
      <c r="U119" s="139">
        <f>U118+T118</f>
        <v/>
      </c>
      <c r="V119" s="139">
        <f>INDEX($G$30:$R$30,C119)</f>
        <v/>
      </c>
      <c r="W119" s="139">
        <f>ROUND(V119*E119/DAY(EOMONTH(DATE(B119,C119,1),0)),1)</f>
        <v/>
      </c>
      <c r="X119" s="139">
        <f>ROUND(MAX(V119+E119-W119,8),0)</f>
        <v/>
      </c>
      <c r="Y119" s="139">
        <f>D119*(DAY(EOMONTH(DATE(B119,C119,1),0))-X119)/DAY(EOMONTH(DATE(B119,C119,1),0))</f>
        <v/>
      </c>
      <c r="Z119" s="139">
        <f>Z118+Y118</f>
        <v/>
      </c>
    </row>
    <row r="120">
      <c r="A120" s="139" t="n">
        <v>58</v>
      </c>
      <c r="B120" s="139">
        <f>YEAR(EDATE(DATE(YEAR($B$10),MONTH($B$10),1),A120-1))</f>
        <v/>
      </c>
      <c r="C120" s="139">
        <f>MONTH(EDATE(DATE(YEAR($B$10),MONTH($B$10),1),A120-1))</f>
        <v/>
      </c>
      <c r="D120" s="139">
        <f>DAY(EOMONTH(DATE(B120,C120,1),0))</f>
        <v/>
      </c>
      <c r="E120" s="139">
        <f>IFERROR(INDEX(법정공휴일!$B$4:$M$20,MATCH(B120,법정공휴일!$A$4:$A$20,0),C120),0)</f>
        <v/>
      </c>
      <c r="F120" s="139">
        <f>F119+D119</f>
        <v/>
      </c>
      <c r="G120" s="139">
        <f>INDEX($G$27:$R$27,C120)</f>
        <v/>
      </c>
      <c r="H120" s="139">
        <f>ROUND(G120*E120/DAY(EOMONTH(DATE(B120,C120,1),0)),1)</f>
        <v/>
      </c>
      <c r="I120" s="139">
        <f>ROUND(MAX(G120+E120-H120,8),0)</f>
        <v/>
      </c>
      <c r="J120" s="139">
        <f>D120*(DAY(EOMONTH(DATE(B120,C120,1),0))-I120)/DAY(EOMONTH(DATE(B120,C120,1),0))</f>
        <v/>
      </c>
      <c r="K120" s="139">
        <f>K119+J119</f>
        <v/>
      </c>
      <c r="L120" s="139">
        <f>INDEX($G$28:$R$28,C120)</f>
        <v/>
      </c>
      <c r="M120" s="139">
        <f>ROUND(L120*E120/DAY(EOMONTH(DATE(B120,C120,1),0)),1)</f>
        <v/>
      </c>
      <c r="N120" s="139">
        <f>ROUND(MAX(L120+E120-M120,8),0)</f>
        <v/>
      </c>
      <c r="O120" s="139">
        <f>D120*(DAY(EOMONTH(DATE(B120,C120,1),0))-N120)/DAY(EOMONTH(DATE(B120,C120,1),0))</f>
        <v/>
      </c>
      <c r="P120" s="139">
        <f>P119+O119</f>
        <v/>
      </c>
      <c r="Q120" s="139">
        <f>INDEX($G$29:$R$29,C120)</f>
        <v/>
      </c>
      <c r="R120" s="139">
        <f>ROUND(Q120*E120/DAY(EOMONTH(DATE(B120,C120,1),0)),1)</f>
        <v/>
      </c>
      <c r="S120" s="139">
        <f>ROUND(MAX(Q120+E120-R120,8),0)</f>
        <v/>
      </c>
      <c r="T120" s="139">
        <f>D120*(DAY(EOMONTH(DATE(B120,C120,1),0))-S120)/DAY(EOMONTH(DATE(B120,C120,1),0))</f>
        <v/>
      </c>
      <c r="U120" s="139">
        <f>U119+T119</f>
        <v/>
      </c>
      <c r="V120" s="139">
        <f>INDEX($G$30:$R$30,C120)</f>
        <v/>
      </c>
      <c r="W120" s="139">
        <f>ROUND(V120*E120/DAY(EOMONTH(DATE(B120,C120,1),0)),1)</f>
        <v/>
      </c>
      <c r="X120" s="139">
        <f>ROUND(MAX(V120+E120-W120,8),0)</f>
        <v/>
      </c>
      <c r="Y120" s="139">
        <f>D120*(DAY(EOMONTH(DATE(B120,C120,1),0))-X120)/DAY(EOMONTH(DATE(B120,C120,1),0))</f>
        <v/>
      </c>
      <c r="Z120" s="139">
        <f>Z119+Y119</f>
        <v/>
      </c>
    </row>
    <row r="121">
      <c r="A121" s="139" t="n">
        <v>59</v>
      </c>
      <c r="B121" s="139">
        <f>YEAR(EDATE(DATE(YEAR($B$10),MONTH($B$10),1),A121-1))</f>
        <v/>
      </c>
      <c r="C121" s="139">
        <f>MONTH(EDATE(DATE(YEAR($B$10),MONTH($B$10),1),A121-1))</f>
        <v/>
      </c>
      <c r="D121" s="139">
        <f>DAY(EOMONTH(DATE(B121,C121,1),0))</f>
        <v/>
      </c>
      <c r="E121" s="139">
        <f>IFERROR(INDEX(법정공휴일!$B$4:$M$20,MATCH(B121,법정공휴일!$A$4:$A$20,0),C121),0)</f>
        <v/>
      </c>
      <c r="F121" s="139">
        <f>F120+D120</f>
        <v/>
      </c>
      <c r="G121" s="139">
        <f>INDEX($G$27:$R$27,C121)</f>
        <v/>
      </c>
      <c r="H121" s="139">
        <f>ROUND(G121*E121/DAY(EOMONTH(DATE(B121,C121,1),0)),1)</f>
        <v/>
      </c>
      <c r="I121" s="139">
        <f>ROUND(MAX(G121+E121-H121,8),0)</f>
        <v/>
      </c>
      <c r="J121" s="139">
        <f>D121*(DAY(EOMONTH(DATE(B121,C121,1),0))-I121)/DAY(EOMONTH(DATE(B121,C121,1),0))</f>
        <v/>
      </c>
      <c r="K121" s="139">
        <f>K120+J120</f>
        <v/>
      </c>
      <c r="L121" s="139">
        <f>INDEX($G$28:$R$28,C121)</f>
        <v/>
      </c>
      <c r="M121" s="139">
        <f>ROUND(L121*E121/DAY(EOMONTH(DATE(B121,C121,1),0)),1)</f>
        <v/>
      </c>
      <c r="N121" s="139">
        <f>ROUND(MAX(L121+E121-M121,8),0)</f>
        <v/>
      </c>
      <c r="O121" s="139">
        <f>D121*(DAY(EOMONTH(DATE(B121,C121,1),0))-N121)/DAY(EOMONTH(DATE(B121,C121,1),0))</f>
        <v/>
      </c>
      <c r="P121" s="139">
        <f>P120+O120</f>
        <v/>
      </c>
      <c r="Q121" s="139">
        <f>INDEX($G$29:$R$29,C121)</f>
        <v/>
      </c>
      <c r="R121" s="139">
        <f>ROUND(Q121*E121/DAY(EOMONTH(DATE(B121,C121,1),0)),1)</f>
        <v/>
      </c>
      <c r="S121" s="139">
        <f>ROUND(MAX(Q121+E121-R121,8),0)</f>
        <v/>
      </c>
      <c r="T121" s="139">
        <f>D121*(DAY(EOMONTH(DATE(B121,C121,1),0))-S121)/DAY(EOMONTH(DATE(B121,C121,1),0))</f>
        <v/>
      </c>
      <c r="U121" s="139">
        <f>U120+T120</f>
        <v/>
      </c>
      <c r="V121" s="139">
        <f>INDEX($G$30:$R$30,C121)</f>
        <v/>
      </c>
      <c r="W121" s="139">
        <f>ROUND(V121*E121/DAY(EOMONTH(DATE(B121,C121,1),0)),1)</f>
        <v/>
      </c>
      <c r="X121" s="139">
        <f>ROUND(MAX(V121+E121-W121,8),0)</f>
        <v/>
      </c>
      <c r="Y121" s="139">
        <f>D121*(DAY(EOMONTH(DATE(B121,C121,1),0))-X121)/DAY(EOMONTH(DATE(B121,C121,1),0))</f>
        <v/>
      </c>
      <c r="Z121" s="139">
        <f>Z120+Y120</f>
        <v/>
      </c>
    </row>
    <row r="122">
      <c r="A122" s="139" t="n">
        <v>60</v>
      </c>
      <c r="B122" s="139">
        <f>YEAR(EDATE(DATE(YEAR($B$10),MONTH($B$10),1),A122-1))</f>
        <v/>
      </c>
      <c r="C122" s="139">
        <f>MONTH(EDATE(DATE(YEAR($B$10),MONTH($B$10),1),A122-1))</f>
        <v/>
      </c>
      <c r="D122" s="139">
        <f>DAY(EOMONTH(DATE(B122,C122,1),0))</f>
        <v/>
      </c>
      <c r="E122" s="139">
        <f>IFERROR(INDEX(법정공휴일!$B$4:$M$20,MATCH(B122,법정공휴일!$A$4:$A$20,0),C122),0)</f>
        <v/>
      </c>
      <c r="F122" s="139">
        <f>F121+D121</f>
        <v/>
      </c>
      <c r="G122" s="139">
        <f>INDEX($G$27:$R$27,C122)</f>
        <v/>
      </c>
      <c r="H122" s="139">
        <f>ROUND(G122*E122/DAY(EOMONTH(DATE(B122,C122,1),0)),1)</f>
        <v/>
      </c>
      <c r="I122" s="139">
        <f>ROUND(MAX(G122+E122-H122,8),0)</f>
        <v/>
      </c>
      <c r="J122" s="139">
        <f>D122*(DAY(EOMONTH(DATE(B122,C122,1),0))-I122)/DAY(EOMONTH(DATE(B122,C122,1),0))</f>
        <v/>
      </c>
      <c r="K122" s="139">
        <f>K121+J121</f>
        <v/>
      </c>
      <c r="L122" s="139">
        <f>INDEX($G$28:$R$28,C122)</f>
        <v/>
      </c>
      <c r="M122" s="139">
        <f>ROUND(L122*E122/DAY(EOMONTH(DATE(B122,C122,1),0)),1)</f>
        <v/>
      </c>
      <c r="N122" s="139">
        <f>ROUND(MAX(L122+E122-M122,8),0)</f>
        <v/>
      </c>
      <c r="O122" s="139">
        <f>D122*(DAY(EOMONTH(DATE(B122,C122,1),0))-N122)/DAY(EOMONTH(DATE(B122,C122,1),0))</f>
        <v/>
      </c>
      <c r="P122" s="139">
        <f>P121+O121</f>
        <v/>
      </c>
      <c r="Q122" s="139">
        <f>INDEX($G$29:$R$29,C122)</f>
        <v/>
      </c>
      <c r="R122" s="139">
        <f>ROUND(Q122*E122/DAY(EOMONTH(DATE(B122,C122,1),0)),1)</f>
        <v/>
      </c>
      <c r="S122" s="139">
        <f>ROUND(MAX(Q122+E122-R122,8),0)</f>
        <v/>
      </c>
      <c r="T122" s="139">
        <f>D122*(DAY(EOMONTH(DATE(B122,C122,1),0))-S122)/DAY(EOMONTH(DATE(B122,C122,1),0))</f>
        <v/>
      </c>
      <c r="U122" s="139">
        <f>U121+T121</f>
        <v/>
      </c>
      <c r="V122" s="139">
        <f>INDEX($G$30:$R$30,C122)</f>
        <v/>
      </c>
      <c r="W122" s="139">
        <f>ROUND(V122*E122/DAY(EOMONTH(DATE(B122,C122,1),0)),1)</f>
        <v/>
      </c>
      <c r="X122" s="139">
        <f>ROUND(MAX(V122+E122-W122,8),0)</f>
        <v/>
      </c>
      <c r="Y122" s="139">
        <f>D122*(DAY(EOMONTH(DATE(B122,C122,1),0))-X122)/DAY(EOMONTH(DATE(B122,C122,1),0))</f>
        <v/>
      </c>
      <c r="Z122" s="139">
        <f>Z121+Y121</f>
        <v/>
      </c>
    </row>
    <row r="124">
      <c r="A124" t="inlineStr">
        <is>
          <t>※ 각 공종은 앞 공종이 끝난 시점에서 시작하며, 그 공종의 기상세트 표로 작업가능일수를 채워 종료 시점을 찾습니다. 한 달 안에서는 작업가능일수가 고르게 분포한다고 보고 안분합니다(가이드라인 1150행 규칙과 같은 방식).</t>
        </is>
      </c>
    </row>
  </sheetData>
  <mergeCells count="1">
    <mergeCell ref="A2:L2"/>
  </mergeCells>
  <dataValidations count="7">
    <dataValidation sqref="B9" showDropDown="0" showInputMessage="0" showErrorMessage="0" allowBlank="0" type="list">
      <formula1>=공종프리셋!$A$1:$F$1</formula1>
    </dataValidation>
    <dataValidation sqref="B4" showDropDown="0" showInputMessage="0" showErrorMessage="0" allowBlank="0" type="list">
      <formula1>=지점목록!$A$2:$A$5</formula1>
    </dataValidation>
    <dataValidation sqref="C14 C15 C16 C17 C18 C19 C20 C21 C22 C23 C24 C25 C26 D14 D15 D16 D17 D18 D19 D20 D21 D22 D23 D24 D25 D26 E14 E15 E16 E17 E18 E19 E20 E21 E22 E23 E24 E25 E26 F14 F15 F16 F17 F18 F19 F20 F21 F22 F23 F24 F25 F26" showDropDown="0" showInputMessage="0" showErrorMessage="0" allowBlank="0" type="list">
      <formula1>"O,X"</formula1>
    </dataValidation>
    <dataValidation sqref="B32" showDropDown="0" showInputMessage="0" showErrorMessage="0" allowBlank="0" type="list">
      <formula1>='1일작업량(토목)'!$F$2:$F$9</formula1>
    </dataValidation>
    <dataValidation sqref="E35 E36 E37 E38 E39 E40 E41 E42 E43 E44 E45 E46 E47 E48 E49" showDropDown="0" showInputMessage="0" showErrorMessage="0" allowBlank="0" type="list">
      <formula1>"Y,N"</formula1>
    </dataValidation>
    <dataValidation sqref="F35 F36 F37 F38 F39 F40 F41 F42 F43 F44 F45 F46 F47 F48 F49" showDropDown="0" showInputMessage="0" showErrorMessage="0" allowBlank="1" type="list">
      <formula1>=$C$13:$F$13</formula1>
    </dataValidation>
    <dataValidation sqref="A35 A36 A37 A38 A39 A40 A41 A42 A43 A44 A45 A46 A47 A48 A49" showDropDown="0" showInputMessage="0" showErrorMessage="0" allowBlank="1" type="list">
      <formula1>='1일작업량(토목)'!$J$2:$J$115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91"/>
  <sheetViews>
    <sheetView workbookViewId="0">
      <selection activeCell="A1" sqref="A1"/>
    </sheetView>
  </sheetViews>
  <sheetFormatPr baseColWidth="8" defaultRowHeight="15"/>
  <cols>
    <col width="38" customWidth="1" style="92" min="1" max="1"/>
    <col width="20"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3" customWidth="1" style="92" min="12" max="12"/>
    <col width="13" customWidth="1" style="92" min="13" max="13"/>
    <col width="13" customWidth="1" style="92" min="14" max="14"/>
  </cols>
  <sheetData>
    <row r="1">
      <c r="A1" s="136" t="inlineStr">
        <is>
          <t>월별 산정표 — 착공 월과 작업일수를 넣으면 착공부터 종료 예정일까지 자동으로 계산됩니다</t>
        </is>
      </c>
    </row>
    <row r="2" ht="60" customHeight="1" s="92">
      <c r="A2" s="137" t="inlineStr">
        <is>
          <t>착공일(착공 월 1일)에서 준비기간이 지난 날부터 본공사로 보고, 본공사 구간의 월별 비작업일수를 반영합니다. 월별 비작업일수 = A+B-C(월 8일 이상), 작업가능일수 = 달력일수-비작업일수, 마지막 달은 '비작업일수 × 잔여작업일수 ÷ 그 달 작업가능일수'로 안분합니다. 종료 예정일 = 착공일 + 준비기간 + 본공사 기간 + 정리기간 - 1일. 지점·준비기간·정리기간은 '공기산정(1일작업량)' 시트의 값을 따릅니다.</t>
        </is>
      </c>
    </row>
    <row r="4">
      <c r="A4" s="130" t="inlineStr">
        <is>
          <t>착공 연도</t>
        </is>
      </c>
      <c r="B4" s="138">
        <f>'공기산정(1일작업량)'!B5</f>
        <v/>
      </c>
      <c r="C4" t="inlineStr">
        <is>
          <t>※ 기본값은 공사기간 산정 시트의 착공 연·월입니다. 여기서 직접 바꿔 써도 됩니다.</t>
        </is>
      </c>
    </row>
    <row r="5">
      <c r="A5" s="130" t="inlineStr">
        <is>
          <t>착공 월 (착공일=1일)</t>
        </is>
      </c>
      <c r="B5" s="138">
        <f>'공기산정(1일작업량)'!B6</f>
        <v/>
      </c>
    </row>
    <row r="6">
      <c r="A6" s="130" t="inlineStr">
        <is>
          <t>기상 지점</t>
        </is>
      </c>
      <c r="B6" s="147">
        <f>'공기산정(1일작업량)'!B4</f>
        <v/>
      </c>
    </row>
    <row r="7">
      <c r="A7" s="130" t="inlineStr">
        <is>
          <t>기상조건 세트</t>
        </is>
      </c>
      <c r="B7" s="138" t="inlineStr">
        <is>
          <t>세트1</t>
        </is>
      </c>
      <c r="C7">
        <f>IFERROR(INDEX('공기산정(1일작업량)'!$C$12:$F$12,MATCH(B7,'공기산정(1일작업량)'!$C$13:$F$13,0)),"")</f>
        <v/>
      </c>
      <c r="D7" s="148">
        <f>IFERROR(MATCH(B7,'공기산정(1일작업량)'!$C$13:$F$13,0),1)</f>
        <v/>
      </c>
    </row>
    <row r="8">
      <c r="A8" s="130" t="inlineStr">
        <is>
          <t>작업일수 (직접 입력)</t>
        </is>
      </c>
      <c r="B8" s="138" t="n"/>
      <c r="C8">
        <f>"비워 두면 공종표의 주공정 작업일수 합계("&amp;SUMIF('공기산정(1일작업량)'!E35:E49,"Y",'공기산정(1일작업량)'!G35:G49)&amp;"일)를 사용합니다"</f>
        <v/>
      </c>
    </row>
    <row r="9">
      <c r="A9" s="130" t="inlineStr">
        <is>
          <t>적용 작업일수</t>
        </is>
      </c>
      <c r="B9" s="140">
        <f>IF(ISNUMBER(B8),B8,SUMIF('공기산정(1일작업량)'!E35:E49,"Y",'공기산정(1일작업량)'!G35:G49))</f>
        <v/>
      </c>
    </row>
    <row r="11">
      <c r="A11" s="130" t="inlineStr">
        <is>
          <t>▼ 요약</t>
        </is>
      </c>
    </row>
    <row r="12">
      <c r="A12" s="130" t="inlineStr">
        <is>
          <t>착공일</t>
        </is>
      </c>
      <c r="B12" s="141">
        <f>DATE(B4,B5,1)</f>
        <v/>
      </c>
    </row>
    <row r="13">
      <c r="A13" s="130" t="inlineStr">
        <is>
          <t>준비기간 (일)</t>
        </is>
      </c>
      <c r="B13" s="140">
        <f>'공기산정(1일작업량)'!B7</f>
        <v/>
      </c>
    </row>
    <row r="14">
      <c r="A14" s="130" t="inlineStr">
        <is>
          <t>본공사 시작일 (착공일+준비기간)</t>
        </is>
      </c>
      <c r="B14" s="141">
        <f>B12+B13</f>
        <v/>
      </c>
    </row>
    <row r="15">
      <c r="A15" s="130" t="inlineStr">
        <is>
          <t>본공사 기간 (작업+비작업, 일)</t>
        </is>
      </c>
      <c r="B15" s="140">
        <f>ROUNDUP(SUM(M32:M91),0)</f>
        <v/>
      </c>
    </row>
    <row r="16">
      <c r="A16" s="130" t="inlineStr">
        <is>
          <t>본공사 종료일</t>
        </is>
      </c>
      <c r="B16" s="141">
        <f>IF(ISNUMBER(B15),B14+B15-1,"-")</f>
        <v/>
      </c>
    </row>
    <row r="17">
      <c r="A17" s="130" t="inlineStr">
        <is>
          <t>정리기간 (일)</t>
        </is>
      </c>
      <c r="B17" s="140">
        <f>'공기산정(1일작업량)'!B8</f>
        <v/>
      </c>
    </row>
    <row r="18">
      <c r="A18" s="149" t="inlineStr">
        <is>
          <t>종료 예정일</t>
        </is>
      </c>
      <c r="B18" s="141">
        <f>IF(ISNUMBER(B15),B16+B17,"-")</f>
        <v/>
      </c>
    </row>
    <row r="19">
      <c r="A19" s="130" t="inlineStr">
        <is>
          <t>총 공사기간 (일, 준비+본공사+정리)</t>
        </is>
      </c>
      <c r="B19" s="140">
        <f>B13+B15+B17</f>
        <v/>
      </c>
    </row>
    <row r="20">
      <c r="A20" s="130" t="inlineStr">
        <is>
          <t>환산 (개월)</t>
        </is>
      </c>
      <c r="B20" s="140">
        <f>ROUND(B19/30,1)</f>
        <v/>
      </c>
    </row>
    <row r="21">
      <c r="A21" s="130" t="inlineStr">
        <is>
          <t>작업일수 합계</t>
        </is>
      </c>
      <c r="B21" s="140">
        <f>SUM(K32:K91)</f>
        <v/>
      </c>
    </row>
    <row r="22">
      <c r="A22" s="130" t="inlineStr">
        <is>
          <t>비작업일수 합계</t>
        </is>
      </c>
      <c r="B22" s="140">
        <f>ROUND(SUM(L32:L91),1)</f>
        <v/>
      </c>
    </row>
    <row r="23">
      <c r="A23" s="130" t="inlineStr">
        <is>
          <t>본공사 구간 달력 월 수</t>
        </is>
      </c>
      <c r="B23" s="140">
        <f>COUNT(A32:A91)</f>
        <v/>
      </c>
    </row>
    <row r="30">
      <c r="A30" s="130" t="inlineStr">
        <is>
          <t>▼ 본공사 구간 월별 산정표 (준비기간·정리기간은 비작업일수 없이 달력일수로 더함)</t>
        </is>
      </c>
    </row>
    <row r="31" ht="62" customHeight="1" s="92">
      <c r="A31" s="133" t="inlineStr">
        <is>
          <t>순번</t>
        </is>
      </c>
      <c r="B31" s="133" t="inlineStr">
        <is>
          <t>연월</t>
        </is>
      </c>
      <c r="C31" s="133" t="inlineStr">
        <is>
          <t>달력일수 (첫 달은 본공사 시작일부터)</t>
        </is>
      </c>
      <c r="D31" s="133" t="inlineStr">
        <is>
          <t>법정공휴일 B</t>
        </is>
      </c>
      <c r="E31" s="133" t="inlineStr">
        <is>
          <t>기후여건 A</t>
        </is>
      </c>
      <c r="F31" s="133" t="inlineStr">
        <is>
          <t>중복일수 C</t>
        </is>
      </c>
      <c r="G31" s="133" t="inlineStr">
        <is>
          <t>A+B-C</t>
        </is>
      </c>
      <c r="H31" s="133" t="inlineStr">
        <is>
          <t>적용 비작업일수(월8일↑)</t>
        </is>
      </c>
      <c r="I31" s="133" t="inlineStr">
        <is>
          <t>작업가능일수</t>
        </is>
      </c>
      <c r="J31" s="133" t="inlineStr">
        <is>
          <t>전월말 잔여 작업일수</t>
        </is>
      </c>
      <c r="K31" s="133" t="inlineStr">
        <is>
          <t>이 달 작업일수</t>
        </is>
      </c>
      <c r="L31" s="133" t="inlineStr">
        <is>
          <t>이 달 비작업일수</t>
        </is>
      </c>
      <c r="M31" s="133" t="inlineStr">
        <is>
          <t>이 달 소요일수</t>
        </is>
      </c>
      <c r="N31" s="133" t="inlineStr">
        <is>
          <t>월말 잔여 작업일수</t>
        </is>
      </c>
      <c r="P31" s="150" t="inlineStr">
        <is>
          <t>k</t>
        </is>
      </c>
      <c r="Q31" s="150" t="inlineStr">
        <is>
          <t>연</t>
        </is>
      </c>
      <c r="R31" s="150" t="inlineStr">
        <is>
          <t>월</t>
        </is>
      </c>
      <c r="S31" s="150" t="inlineStr">
        <is>
          <t>달력(유효)</t>
        </is>
      </c>
      <c r="T31" s="150" t="inlineStr">
        <is>
          <t>공휴</t>
        </is>
      </c>
      <c r="U31" s="150" t="inlineStr">
        <is>
          <t>기후A</t>
        </is>
      </c>
      <c r="V31" s="150" t="inlineStr">
        <is>
          <t>중복C</t>
        </is>
      </c>
      <c r="W31" s="150" t="inlineStr">
        <is>
          <t>적용</t>
        </is>
      </c>
      <c r="X31" s="150" t="inlineStr">
        <is>
          <t>가능</t>
        </is>
      </c>
      <c r="Y31" s="150" t="inlineStr">
        <is>
          <t>전월누적</t>
        </is>
      </c>
      <c r="Z31" s="150" t="inlineStr">
        <is>
          <t>표시</t>
        </is>
      </c>
    </row>
    <row r="32">
      <c r="A32" s="139">
        <f>IF(Z32=1,P32,"")</f>
        <v/>
      </c>
      <c r="B32" s="139">
        <f>IF(Z32=1,Q32&amp;"년 "&amp;R32&amp;"월","")</f>
        <v/>
      </c>
      <c r="C32" s="139">
        <f>IF(Z32=1,S32,"")</f>
        <v/>
      </c>
      <c r="D32" s="139">
        <f>IF(Z32=1,T32,"")</f>
        <v/>
      </c>
      <c r="E32" s="139">
        <f>IF(Z32=1,U32,"")</f>
        <v/>
      </c>
      <c r="F32" s="139">
        <f>IF(Z32=1,V32,"")</f>
        <v/>
      </c>
      <c r="G32" s="139">
        <f>IF(Z32=1,ROUND(U32+T32-V32,1),"")</f>
        <v/>
      </c>
      <c r="H32" s="139">
        <f>IF(Z32=1,W32,"")</f>
        <v/>
      </c>
      <c r="I32" s="139">
        <f>IF(Z32=1,ROUND(X32,1),"")</f>
        <v/>
      </c>
      <c r="J32" s="139">
        <f>IF(Z32=1,$B$9-Y32,"")</f>
        <v/>
      </c>
      <c r="K32" s="139">
        <f>IF(Z32=1,MIN(X32,$B$9-Y32),"")</f>
        <v/>
      </c>
      <c r="L32" s="139">
        <f>IF(Z32=1,ROUND(W32*S32/DAY(EOMONTH(DATE(Q32,R32,1),0))*MIN(X32,$B$9-Y32)/X32,1),"")</f>
        <v/>
      </c>
      <c r="M32" s="139">
        <f>IF(Z32=1,K32+L32,"")</f>
        <v/>
      </c>
      <c r="N32" s="139">
        <f>IF(Z32=1,J32-K32,"")</f>
        <v/>
      </c>
      <c r="P32" s="151" t="n">
        <v>1</v>
      </c>
      <c r="Q32" s="151">
        <f>YEAR(EDATE(DATE(YEAR($B$14),MONTH($B$14),1),P32-1))</f>
        <v/>
      </c>
      <c r="R32" s="151">
        <f>MONTH(EDATE(DATE(YEAR($B$14),MONTH($B$14),1),P32-1))</f>
        <v/>
      </c>
      <c r="S32" s="151">
        <f>DAY(EOMONTH($B$14,0))-DAY($B$14)+1</f>
        <v/>
      </c>
      <c r="T32" s="151">
        <f>IFERROR(INDEX(법정공휴일!$B$4:$M$20,MATCH(Q32,법정공휴일!$A$4:$A$20,0),R32),0)</f>
        <v/>
      </c>
      <c r="U32" s="151">
        <f>INDEX(CHOOSE($D$7,'공기산정(1일작업량)'!$G$27:$R$27,'공기산정(1일작업량)'!$G$28:$R$28,'공기산정(1일작업량)'!$G$29:$R$29,'공기산정(1일작업량)'!$G$30:$R$30),1,R32)</f>
        <v/>
      </c>
      <c r="V32" s="151">
        <f>ROUND(U32*T32/DAY(EOMONTH(DATE(Q32,R32,1),0)),1)</f>
        <v/>
      </c>
      <c r="W32" s="151">
        <f>ROUND(MAX(U32+T32-V32,8),0)</f>
        <v/>
      </c>
      <c r="X32" s="151">
        <f>S32*(DAY(EOMONTH(DATE(Q32,R32,1),0))-W32)/DAY(EOMONTH(DATE(Q32,R32,1),0))</f>
        <v/>
      </c>
      <c r="Y32" s="151" t="n">
        <v>0</v>
      </c>
      <c r="Z32" s="151">
        <f>IF(AND(ISNUMBER($B$9),$B$9&gt;Y32),1,0)</f>
        <v/>
      </c>
    </row>
    <row r="33">
      <c r="A33" s="139">
        <f>IF(Z33=1,P33,"")</f>
        <v/>
      </c>
      <c r="B33" s="139">
        <f>IF(Z33=1,Q33&amp;"년 "&amp;R33&amp;"월","")</f>
        <v/>
      </c>
      <c r="C33" s="139">
        <f>IF(Z33=1,S33,"")</f>
        <v/>
      </c>
      <c r="D33" s="139">
        <f>IF(Z33=1,T33,"")</f>
        <v/>
      </c>
      <c r="E33" s="139">
        <f>IF(Z33=1,U33,"")</f>
        <v/>
      </c>
      <c r="F33" s="139">
        <f>IF(Z33=1,V33,"")</f>
        <v/>
      </c>
      <c r="G33" s="139">
        <f>IF(Z33=1,ROUND(U33+T33-V33,1),"")</f>
        <v/>
      </c>
      <c r="H33" s="139">
        <f>IF(Z33=1,W33,"")</f>
        <v/>
      </c>
      <c r="I33" s="139">
        <f>IF(Z33=1,ROUND(X33,1),"")</f>
        <v/>
      </c>
      <c r="J33" s="139">
        <f>IF(Z33=1,$B$9-Y33,"")</f>
        <v/>
      </c>
      <c r="K33" s="139">
        <f>IF(Z33=1,MIN(X33,$B$9-Y33),"")</f>
        <v/>
      </c>
      <c r="L33" s="139">
        <f>IF(Z33=1,ROUND(W33*S33/DAY(EOMONTH(DATE(Q33,R33,1),0))*MIN(X33,$B$9-Y33)/X33,1),"")</f>
        <v/>
      </c>
      <c r="M33" s="139">
        <f>IF(Z33=1,K33+L33,"")</f>
        <v/>
      </c>
      <c r="N33" s="139">
        <f>IF(Z33=1,J33-K33,"")</f>
        <v/>
      </c>
      <c r="P33" s="151" t="n">
        <v>2</v>
      </c>
      <c r="Q33" s="151">
        <f>YEAR(EDATE(DATE(YEAR($B$14),MONTH($B$14),1),P33-1))</f>
        <v/>
      </c>
      <c r="R33" s="151">
        <f>MONTH(EDATE(DATE(YEAR($B$14),MONTH($B$14),1),P33-1))</f>
        <v/>
      </c>
      <c r="S33" s="151">
        <f>DAY(EOMONTH(DATE(Q33,R33,1),0))</f>
        <v/>
      </c>
      <c r="T33" s="151">
        <f>IFERROR(INDEX(법정공휴일!$B$4:$M$20,MATCH(Q33,법정공휴일!$A$4:$A$20,0),R33),0)</f>
        <v/>
      </c>
      <c r="U33" s="151">
        <f>INDEX(CHOOSE($D$7,'공기산정(1일작업량)'!$G$27:$R$27,'공기산정(1일작업량)'!$G$28:$R$28,'공기산정(1일작업량)'!$G$29:$R$29,'공기산정(1일작업량)'!$G$30:$R$30),1,R33)</f>
        <v/>
      </c>
      <c r="V33" s="151">
        <f>ROUND(U33*T33/DAY(EOMONTH(DATE(Q33,R33,1),0)),1)</f>
        <v/>
      </c>
      <c r="W33" s="151">
        <f>ROUND(MAX(U33+T33-V33,8),0)</f>
        <v/>
      </c>
      <c r="X33" s="151">
        <f>S33*(DAY(EOMONTH(DATE(Q33,R33,1),0))-W33)/DAY(EOMONTH(DATE(Q33,R33,1),0))</f>
        <v/>
      </c>
      <c r="Y33" s="151">
        <f>Y32+X32</f>
        <v/>
      </c>
      <c r="Z33" s="151">
        <f>IF(AND(ISNUMBER($B$9),$B$9&gt;Y33),1,0)</f>
        <v/>
      </c>
    </row>
    <row r="34">
      <c r="A34" s="139">
        <f>IF(Z34=1,P34,"")</f>
        <v/>
      </c>
      <c r="B34" s="139">
        <f>IF(Z34=1,Q34&amp;"년 "&amp;R34&amp;"월","")</f>
        <v/>
      </c>
      <c r="C34" s="139">
        <f>IF(Z34=1,S34,"")</f>
        <v/>
      </c>
      <c r="D34" s="139">
        <f>IF(Z34=1,T34,"")</f>
        <v/>
      </c>
      <c r="E34" s="139">
        <f>IF(Z34=1,U34,"")</f>
        <v/>
      </c>
      <c r="F34" s="139">
        <f>IF(Z34=1,V34,"")</f>
        <v/>
      </c>
      <c r="G34" s="139">
        <f>IF(Z34=1,ROUND(U34+T34-V34,1),"")</f>
        <v/>
      </c>
      <c r="H34" s="139">
        <f>IF(Z34=1,W34,"")</f>
        <v/>
      </c>
      <c r="I34" s="139">
        <f>IF(Z34=1,ROUND(X34,1),"")</f>
        <v/>
      </c>
      <c r="J34" s="139">
        <f>IF(Z34=1,$B$9-Y34,"")</f>
        <v/>
      </c>
      <c r="K34" s="139">
        <f>IF(Z34=1,MIN(X34,$B$9-Y34),"")</f>
        <v/>
      </c>
      <c r="L34" s="139">
        <f>IF(Z34=1,ROUND(W34*S34/DAY(EOMONTH(DATE(Q34,R34,1),0))*MIN(X34,$B$9-Y34)/X34,1),"")</f>
        <v/>
      </c>
      <c r="M34" s="139">
        <f>IF(Z34=1,K34+L34,"")</f>
        <v/>
      </c>
      <c r="N34" s="139">
        <f>IF(Z34=1,J34-K34,"")</f>
        <v/>
      </c>
      <c r="P34" s="151" t="n">
        <v>3</v>
      </c>
      <c r="Q34" s="151">
        <f>YEAR(EDATE(DATE(YEAR($B$14),MONTH($B$14),1),P34-1))</f>
        <v/>
      </c>
      <c r="R34" s="151">
        <f>MONTH(EDATE(DATE(YEAR($B$14),MONTH($B$14),1),P34-1))</f>
        <v/>
      </c>
      <c r="S34" s="151">
        <f>DAY(EOMONTH(DATE(Q34,R34,1),0))</f>
        <v/>
      </c>
      <c r="T34" s="151">
        <f>IFERROR(INDEX(법정공휴일!$B$4:$M$20,MATCH(Q34,법정공휴일!$A$4:$A$20,0),R34),0)</f>
        <v/>
      </c>
      <c r="U34" s="151">
        <f>INDEX(CHOOSE($D$7,'공기산정(1일작업량)'!$G$27:$R$27,'공기산정(1일작업량)'!$G$28:$R$28,'공기산정(1일작업량)'!$G$29:$R$29,'공기산정(1일작업량)'!$G$30:$R$30),1,R34)</f>
        <v/>
      </c>
      <c r="V34" s="151">
        <f>ROUND(U34*T34/DAY(EOMONTH(DATE(Q34,R34,1),0)),1)</f>
        <v/>
      </c>
      <c r="W34" s="151">
        <f>ROUND(MAX(U34+T34-V34,8),0)</f>
        <v/>
      </c>
      <c r="X34" s="151">
        <f>S34*(DAY(EOMONTH(DATE(Q34,R34,1),0))-W34)/DAY(EOMONTH(DATE(Q34,R34,1),0))</f>
        <v/>
      </c>
      <c r="Y34" s="151">
        <f>Y33+X33</f>
        <v/>
      </c>
      <c r="Z34" s="151">
        <f>IF(AND(ISNUMBER($B$9),$B$9&gt;Y34),1,0)</f>
        <v/>
      </c>
    </row>
    <row r="35">
      <c r="A35" s="139">
        <f>IF(Z35=1,P35,"")</f>
        <v/>
      </c>
      <c r="B35" s="139">
        <f>IF(Z35=1,Q35&amp;"년 "&amp;R35&amp;"월","")</f>
        <v/>
      </c>
      <c r="C35" s="139">
        <f>IF(Z35=1,S35,"")</f>
        <v/>
      </c>
      <c r="D35" s="139">
        <f>IF(Z35=1,T35,"")</f>
        <v/>
      </c>
      <c r="E35" s="139">
        <f>IF(Z35=1,U35,"")</f>
        <v/>
      </c>
      <c r="F35" s="139">
        <f>IF(Z35=1,V35,"")</f>
        <v/>
      </c>
      <c r="G35" s="139">
        <f>IF(Z35=1,ROUND(U35+T35-V35,1),"")</f>
        <v/>
      </c>
      <c r="H35" s="139">
        <f>IF(Z35=1,W35,"")</f>
        <v/>
      </c>
      <c r="I35" s="139">
        <f>IF(Z35=1,ROUND(X35,1),"")</f>
        <v/>
      </c>
      <c r="J35" s="139">
        <f>IF(Z35=1,$B$9-Y35,"")</f>
        <v/>
      </c>
      <c r="K35" s="139">
        <f>IF(Z35=1,MIN(X35,$B$9-Y35),"")</f>
        <v/>
      </c>
      <c r="L35" s="139">
        <f>IF(Z35=1,ROUND(W35*S35/DAY(EOMONTH(DATE(Q35,R35,1),0))*MIN(X35,$B$9-Y35)/X35,1),"")</f>
        <v/>
      </c>
      <c r="M35" s="139">
        <f>IF(Z35=1,K35+L35,"")</f>
        <v/>
      </c>
      <c r="N35" s="139">
        <f>IF(Z35=1,J35-K35,"")</f>
        <v/>
      </c>
      <c r="P35" s="151" t="n">
        <v>4</v>
      </c>
      <c r="Q35" s="151">
        <f>YEAR(EDATE(DATE(YEAR($B$14),MONTH($B$14),1),P35-1))</f>
        <v/>
      </c>
      <c r="R35" s="151">
        <f>MONTH(EDATE(DATE(YEAR($B$14),MONTH($B$14),1),P35-1))</f>
        <v/>
      </c>
      <c r="S35" s="151">
        <f>DAY(EOMONTH(DATE(Q35,R35,1),0))</f>
        <v/>
      </c>
      <c r="T35" s="151">
        <f>IFERROR(INDEX(법정공휴일!$B$4:$M$20,MATCH(Q35,법정공휴일!$A$4:$A$20,0),R35),0)</f>
        <v/>
      </c>
      <c r="U35" s="151">
        <f>INDEX(CHOOSE($D$7,'공기산정(1일작업량)'!$G$27:$R$27,'공기산정(1일작업량)'!$G$28:$R$28,'공기산정(1일작업량)'!$G$29:$R$29,'공기산정(1일작업량)'!$G$30:$R$30),1,R35)</f>
        <v/>
      </c>
      <c r="V35" s="151">
        <f>ROUND(U35*T35/DAY(EOMONTH(DATE(Q35,R35,1),0)),1)</f>
        <v/>
      </c>
      <c r="W35" s="151">
        <f>ROUND(MAX(U35+T35-V35,8),0)</f>
        <v/>
      </c>
      <c r="X35" s="151">
        <f>S35*(DAY(EOMONTH(DATE(Q35,R35,1),0))-W35)/DAY(EOMONTH(DATE(Q35,R35,1),0))</f>
        <v/>
      </c>
      <c r="Y35" s="151">
        <f>Y34+X34</f>
        <v/>
      </c>
      <c r="Z35" s="151">
        <f>IF(AND(ISNUMBER($B$9),$B$9&gt;Y35),1,0)</f>
        <v/>
      </c>
    </row>
    <row r="36">
      <c r="A36" s="139">
        <f>IF(Z36=1,P36,"")</f>
        <v/>
      </c>
      <c r="B36" s="139">
        <f>IF(Z36=1,Q36&amp;"년 "&amp;R36&amp;"월","")</f>
        <v/>
      </c>
      <c r="C36" s="139">
        <f>IF(Z36=1,S36,"")</f>
        <v/>
      </c>
      <c r="D36" s="139">
        <f>IF(Z36=1,T36,"")</f>
        <v/>
      </c>
      <c r="E36" s="139">
        <f>IF(Z36=1,U36,"")</f>
        <v/>
      </c>
      <c r="F36" s="139">
        <f>IF(Z36=1,V36,"")</f>
        <v/>
      </c>
      <c r="G36" s="139">
        <f>IF(Z36=1,ROUND(U36+T36-V36,1),"")</f>
        <v/>
      </c>
      <c r="H36" s="139">
        <f>IF(Z36=1,W36,"")</f>
        <v/>
      </c>
      <c r="I36" s="139">
        <f>IF(Z36=1,ROUND(X36,1),"")</f>
        <v/>
      </c>
      <c r="J36" s="139">
        <f>IF(Z36=1,$B$9-Y36,"")</f>
        <v/>
      </c>
      <c r="K36" s="139">
        <f>IF(Z36=1,MIN(X36,$B$9-Y36),"")</f>
        <v/>
      </c>
      <c r="L36" s="139">
        <f>IF(Z36=1,ROUND(W36*S36/DAY(EOMONTH(DATE(Q36,R36,1),0))*MIN(X36,$B$9-Y36)/X36,1),"")</f>
        <v/>
      </c>
      <c r="M36" s="139">
        <f>IF(Z36=1,K36+L36,"")</f>
        <v/>
      </c>
      <c r="N36" s="139">
        <f>IF(Z36=1,J36-K36,"")</f>
        <v/>
      </c>
      <c r="P36" s="151" t="n">
        <v>5</v>
      </c>
      <c r="Q36" s="151">
        <f>YEAR(EDATE(DATE(YEAR($B$14),MONTH($B$14),1),P36-1))</f>
        <v/>
      </c>
      <c r="R36" s="151">
        <f>MONTH(EDATE(DATE(YEAR($B$14),MONTH($B$14),1),P36-1))</f>
        <v/>
      </c>
      <c r="S36" s="151">
        <f>DAY(EOMONTH(DATE(Q36,R36,1),0))</f>
        <v/>
      </c>
      <c r="T36" s="151">
        <f>IFERROR(INDEX(법정공휴일!$B$4:$M$20,MATCH(Q36,법정공휴일!$A$4:$A$20,0),R36),0)</f>
        <v/>
      </c>
      <c r="U36" s="151">
        <f>INDEX(CHOOSE($D$7,'공기산정(1일작업량)'!$G$27:$R$27,'공기산정(1일작업량)'!$G$28:$R$28,'공기산정(1일작업량)'!$G$29:$R$29,'공기산정(1일작업량)'!$G$30:$R$30),1,R36)</f>
        <v/>
      </c>
      <c r="V36" s="151">
        <f>ROUND(U36*T36/DAY(EOMONTH(DATE(Q36,R36,1),0)),1)</f>
        <v/>
      </c>
      <c r="W36" s="151">
        <f>ROUND(MAX(U36+T36-V36,8),0)</f>
        <v/>
      </c>
      <c r="X36" s="151">
        <f>S36*(DAY(EOMONTH(DATE(Q36,R36,1),0))-W36)/DAY(EOMONTH(DATE(Q36,R36,1),0))</f>
        <v/>
      </c>
      <c r="Y36" s="151">
        <f>Y35+X35</f>
        <v/>
      </c>
      <c r="Z36" s="151">
        <f>IF(AND(ISNUMBER($B$9),$B$9&gt;Y36),1,0)</f>
        <v/>
      </c>
    </row>
    <row r="37">
      <c r="A37" s="139">
        <f>IF(Z37=1,P37,"")</f>
        <v/>
      </c>
      <c r="B37" s="139">
        <f>IF(Z37=1,Q37&amp;"년 "&amp;R37&amp;"월","")</f>
        <v/>
      </c>
      <c r="C37" s="139">
        <f>IF(Z37=1,S37,"")</f>
        <v/>
      </c>
      <c r="D37" s="139">
        <f>IF(Z37=1,T37,"")</f>
        <v/>
      </c>
      <c r="E37" s="139">
        <f>IF(Z37=1,U37,"")</f>
        <v/>
      </c>
      <c r="F37" s="139">
        <f>IF(Z37=1,V37,"")</f>
        <v/>
      </c>
      <c r="G37" s="139">
        <f>IF(Z37=1,ROUND(U37+T37-V37,1),"")</f>
        <v/>
      </c>
      <c r="H37" s="139">
        <f>IF(Z37=1,W37,"")</f>
        <v/>
      </c>
      <c r="I37" s="139">
        <f>IF(Z37=1,ROUND(X37,1),"")</f>
        <v/>
      </c>
      <c r="J37" s="139">
        <f>IF(Z37=1,$B$9-Y37,"")</f>
        <v/>
      </c>
      <c r="K37" s="139">
        <f>IF(Z37=1,MIN(X37,$B$9-Y37),"")</f>
        <v/>
      </c>
      <c r="L37" s="139">
        <f>IF(Z37=1,ROUND(W37*S37/DAY(EOMONTH(DATE(Q37,R37,1),0))*MIN(X37,$B$9-Y37)/X37,1),"")</f>
        <v/>
      </c>
      <c r="M37" s="139">
        <f>IF(Z37=1,K37+L37,"")</f>
        <v/>
      </c>
      <c r="N37" s="139">
        <f>IF(Z37=1,J37-K37,"")</f>
        <v/>
      </c>
      <c r="P37" s="151" t="n">
        <v>6</v>
      </c>
      <c r="Q37" s="151">
        <f>YEAR(EDATE(DATE(YEAR($B$14),MONTH($B$14),1),P37-1))</f>
        <v/>
      </c>
      <c r="R37" s="151">
        <f>MONTH(EDATE(DATE(YEAR($B$14),MONTH($B$14),1),P37-1))</f>
        <v/>
      </c>
      <c r="S37" s="151">
        <f>DAY(EOMONTH(DATE(Q37,R37,1),0))</f>
        <v/>
      </c>
      <c r="T37" s="151">
        <f>IFERROR(INDEX(법정공휴일!$B$4:$M$20,MATCH(Q37,법정공휴일!$A$4:$A$20,0),R37),0)</f>
        <v/>
      </c>
      <c r="U37" s="151">
        <f>INDEX(CHOOSE($D$7,'공기산정(1일작업량)'!$G$27:$R$27,'공기산정(1일작업량)'!$G$28:$R$28,'공기산정(1일작업량)'!$G$29:$R$29,'공기산정(1일작업량)'!$G$30:$R$30),1,R37)</f>
        <v/>
      </c>
      <c r="V37" s="151">
        <f>ROUND(U37*T37/DAY(EOMONTH(DATE(Q37,R37,1),0)),1)</f>
        <v/>
      </c>
      <c r="W37" s="151">
        <f>ROUND(MAX(U37+T37-V37,8),0)</f>
        <v/>
      </c>
      <c r="X37" s="151">
        <f>S37*(DAY(EOMONTH(DATE(Q37,R37,1),0))-W37)/DAY(EOMONTH(DATE(Q37,R37,1),0))</f>
        <v/>
      </c>
      <c r="Y37" s="151">
        <f>Y36+X36</f>
        <v/>
      </c>
      <c r="Z37" s="151">
        <f>IF(AND(ISNUMBER($B$9),$B$9&gt;Y37),1,0)</f>
        <v/>
      </c>
    </row>
    <row r="38">
      <c r="A38" s="139">
        <f>IF(Z38=1,P38,"")</f>
        <v/>
      </c>
      <c r="B38" s="139">
        <f>IF(Z38=1,Q38&amp;"년 "&amp;R38&amp;"월","")</f>
        <v/>
      </c>
      <c r="C38" s="139">
        <f>IF(Z38=1,S38,"")</f>
        <v/>
      </c>
      <c r="D38" s="139">
        <f>IF(Z38=1,T38,"")</f>
        <v/>
      </c>
      <c r="E38" s="139">
        <f>IF(Z38=1,U38,"")</f>
        <v/>
      </c>
      <c r="F38" s="139">
        <f>IF(Z38=1,V38,"")</f>
        <v/>
      </c>
      <c r="G38" s="139">
        <f>IF(Z38=1,ROUND(U38+T38-V38,1),"")</f>
        <v/>
      </c>
      <c r="H38" s="139">
        <f>IF(Z38=1,W38,"")</f>
        <v/>
      </c>
      <c r="I38" s="139">
        <f>IF(Z38=1,ROUND(X38,1),"")</f>
        <v/>
      </c>
      <c r="J38" s="139">
        <f>IF(Z38=1,$B$9-Y38,"")</f>
        <v/>
      </c>
      <c r="K38" s="139">
        <f>IF(Z38=1,MIN(X38,$B$9-Y38),"")</f>
        <v/>
      </c>
      <c r="L38" s="139">
        <f>IF(Z38=1,ROUND(W38*S38/DAY(EOMONTH(DATE(Q38,R38,1),0))*MIN(X38,$B$9-Y38)/X38,1),"")</f>
        <v/>
      </c>
      <c r="M38" s="139">
        <f>IF(Z38=1,K38+L38,"")</f>
        <v/>
      </c>
      <c r="N38" s="139">
        <f>IF(Z38=1,J38-K38,"")</f>
        <v/>
      </c>
      <c r="P38" s="151" t="n">
        <v>7</v>
      </c>
      <c r="Q38" s="151">
        <f>YEAR(EDATE(DATE(YEAR($B$14),MONTH($B$14),1),P38-1))</f>
        <v/>
      </c>
      <c r="R38" s="151">
        <f>MONTH(EDATE(DATE(YEAR($B$14),MONTH($B$14),1),P38-1))</f>
        <v/>
      </c>
      <c r="S38" s="151">
        <f>DAY(EOMONTH(DATE(Q38,R38,1),0))</f>
        <v/>
      </c>
      <c r="T38" s="151">
        <f>IFERROR(INDEX(법정공휴일!$B$4:$M$20,MATCH(Q38,법정공휴일!$A$4:$A$20,0),R38),0)</f>
        <v/>
      </c>
      <c r="U38" s="151">
        <f>INDEX(CHOOSE($D$7,'공기산정(1일작업량)'!$G$27:$R$27,'공기산정(1일작업량)'!$G$28:$R$28,'공기산정(1일작업량)'!$G$29:$R$29,'공기산정(1일작업량)'!$G$30:$R$30),1,R38)</f>
        <v/>
      </c>
      <c r="V38" s="151">
        <f>ROUND(U38*T38/DAY(EOMONTH(DATE(Q38,R38,1),0)),1)</f>
        <v/>
      </c>
      <c r="W38" s="151">
        <f>ROUND(MAX(U38+T38-V38,8),0)</f>
        <v/>
      </c>
      <c r="X38" s="151">
        <f>S38*(DAY(EOMONTH(DATE(Q38,R38,1),0))-W38)/DAY(EOMONTH(DATE(Q38,R38,1),0))</f>
        <v/>
      </c>
      <c r="Y38" s="151">
        <f>Y37+X37</f>
        <v/>
      </c>
      <c r="Z38" s="151">
        <f>IF(AND(ISNUMBER($B$9),$B$9&gt;Y38),1,0)</f>
        <v/>
      </c>
    </row>
    <row r="39">
      <c r="A39" s="139">
        <f>IF(Z39=1,P39,"")</f>
        <v/>
      </c>
      <c r="B39" s="139">
        <f>IF(Z39=1,Q39&amp;"년 "&amp;R39&amp;"월","")</f>
        <v/>
      </c>
      <c r="C39" s="139">
        <f>IF(Z39=1,S39,"")</f>
        <v/>
      </c>
      <c r="D39" s="139">
        <f>IF(Z39=1,T39,"")</f>
        <v/>
      </c>
      <c r="E39" s="139">
        <f>IF(Z39=1,U39,"")</f>
        <v/>
      </c>
      <c r="F39" s="139">
        <f>IF(Z39=1,V39,"")</f>
        <v/>
      </c>
      <c r="G39" s="139">
        <f>IF(Z39=1,ROUND(U39+T39-V39,1),"")</f>
        <v/>
      </c>
      <c r="H39" s="139">
        <f>IF(Z39=1,W39,"")</f>
        <v/>
      </c>
      <c r="I39" s="139">
        <f>IF(Z39=1,ROUND(X39,1),"")</f>
        <v/>
      </c>
      <c r="J39" s="139">
        <f>IF(Z39=1,$B$9-Y39,"")</f>
        <v/>
      </c>
      <c r="K39" s="139">
        <f>IF(Z39=1,MIN(X39,$B$9-Y39),"")</f>
        <v/>
      </c>
      <c r="L39" s="139">
        <f>IF(Z39=1,ROUND(W39*S39/DAY(EOMONTH(DATE(Q39,R39,1),0))*MIN(X39,$B$9-Y39)/X39,1),"")</f>
        <v/>
      </c>
      <c r="M39" s="139">
        <f>IF(Z39=1,K39+L39,"")</f>
        <v/>
      </c>
      <c r="N39" s="139">
        <f>IF(Z39=1,J39-K39,"")</f>
        <v/>
      </c>
      <c r="P39" s="151" t="n">
        <v>8</v>
      </c>
      <c r="Q39" s="151">
        <f>YEAR(EDATE(DATE(YEAR($B$14),MONTH($B$14),1),P39-1))</f>
        <v/>
      </c>
      <c r="R39" s="151">
        <f>MONTH(EDATE(DATE(YEAR($B$14),MONTH($B$14),1),P39-1))</f>
        <v/>
      </c>
      <c r="S39" s="151">
        <f>DAY(EOMONTH(DATE(Q39,R39,1),0))</f>
        <v/>
      </c>
      <c r="T39" s="151">
        <f>IFERROR(INDEX(법정공휴일!$B$4:$M$20,MATCH(Q39,법정공휴일!$A$4:$A$20,0),R39),0)</f>
        <v/>
      </c>
      <c r="U39" s="151">
        <f>INDEX(CHOOSE($D$7,'공기산정(1일작업량)'!$G$27:$R$27,'공기산정(1일작업량)'!$G$28:$R$28,'공기산정(1일작업량)'!$G$29:$R$29,'공기산정(1일작업량)'!$G$30:$R$30),1,R39)</f>
        <v/>
      </c>
      <c r="V39" s="151">
        <f>ROUND(U39*T39/DAY(EOMONTH(DATE(Q39,R39,1),0)),1)</f>
        <v/>
      </c>
      <c r="W39" s="151">
        <f>ROUND(MAX(U39+T39-V39,8),0)</f>
        <v/>
      </c>
      <c r="X39" s="151">
        <f>S39*(DAY(EOMONTH(DATE(Q39,R39,1),0))-W39)/DAY(EOMONTH(DATE(Q39,R39,1),0))</f>
        <v/>
      </c>
      <c r="Y39" s="151">
        <f>Y38+X38</f>
        <v/>
      </c>
      <c r="Z39" s="151">
        <f>IF(AND(ISNUMBER($B$9),$B$9&gt;Y39),1,0)</f>
        <v/>
      </c>
    </row>
    <row r="40">
      <c r="A40" s="139">
        <f>IF(Z40=1,P40,"")</f>
        <v/>
      </c>
      <c r="B40" s="139">
        <f>IF(Z40=1,Q40&amp;"년 "&amp;R40&amp;"월","")</f>
        <v/>
      </c>
      <c r="C40" s="139">
        <f>IF(Z40=1,S40,"")</f>
        <v/>
      </c>
      <c r="D40" s="139">
        <f>IF(Z40=1,T40,"")</f>
        <v/>
      </c>
      <c r="E40" s="139">
        <f>IF(Z40=1,U40,"")</f>
        <v/>
      </c>
      <c r="F40" s="139">
        <f>IF(Z40=1,V40,"")</f>
        <v/>
      </c>
      <c r="G40" s="139">
        <f>IF(Z40=1,ROUND(U40+T40-V40,1),"")</f>
        <v/>
      </c>
      <c r="H40" s="139">
        <f>IF(Z40=1,W40,"")</f>
        <v/>
      </c>
      <c r="I40" s="139">
        <f>IF(Z40=1,ROUND(X40,1),"")</f>
        <v/>
      </c>
      <c r="J40" s="139">
        <f>IF(Z40=1,$B$9-Y40,"")</f>
        <v/>
      </c>
      <c r="K40" s="139">
        <f>IF(Z40=1,MIN(X40,$B$9-Y40),"")</f>
        <v/>
      </c>
      <c r="L40" s="139">
        <f>IF(Z40=1,ROUND(W40*S40/DAY(EOMONTH(DATE(Q40,R40,1),0))*MIN(X40,$B$9-Y40)/X40,1),"")</f>
        <v/>
      </c>
      <c r="M40" s="139">
        <f>IF(Z40=1,K40+L40,"")</f>
        <v/>
      </c>
      <c r="N40" s="139">
        <f>IF(Z40=1,J40-K40,"")</f>
        <v/>
      </c>
      <c r="P40" s="151" t="n">
        <v>9</v>
      </c>
      <c r="Q40" s="151">
        <f>YEAR(EDATE(DATE(YEAR($B$14),MONTH($B$14),1),P40-1))</f>
        <v/>
      </c>
      <c r="R40" s="151">
        <f>MONTH(EDATE(DATE(YEAR($B$14),MONTH($B$14),1),P40-1))</f>
        <v/>
      </c>
      <c r="S40" s="151">
        <f>DAY(EOMONTH(DATE(Q40,R40,1),0))</f>
        <v/>
      </c>
      <c r="T40" s="151">
        <f>IFERROR(INDEX(법정공휴일!$B$4:$M$20,MATCH(Q40,법정공휴일!$A$4:$A$20,0),R40),0)</f>
        <v/>
      </c>
      <c r="U40" s="151">
        <f>INDEX(CHOOSE($D$7,'공기산정(1일작업량)'!$G$27:$R$27,'공기산정(1일작업량)'!$G$28:$R$28,'공기산정(1일작업량)'!$G$29:$R$29,'공기산정(1일작업량)'!$G$30:$R$30),1,R40)</f>
        <v/>
      </c>
      <c r="V40" s="151">
        <f>ROUND(U40*T40/DAY(EOMONTH(DATE(Q40,R40,1),0)),1)</f>
        <v/>
      </c>
      <c r="W40" s="151">
        <f>ROUND(MAX(U40+T40-V40,8),0)</f>
        <v/>
      </c>
      <c r="X40" s="151">
        <f>S40*(DAY(EOMONTH(DATE(Q40,R40,1),0))-W40)/DAY(EOMONTH(DATE(Q40,R40,1),0))</f>
        <v/>
      </c>
      <c r="Y40" s="151">
        <f>Y39+X39</f>
        <v/>
      </c>
      <c r="Z40" s="151">
        <f>IF(AND(ISNUMBER($B$9),$B$9&gt;Y40),1,0)</f>
        <v/>
      </c>
    </row>
    <row r="41">
      <c r="A41" s="139">
        <f>IF(Z41=1,P41,"")</f>
        <v/>
      </c>
      <c r="B41" s="139">
        <f>IF(Z41=1,Q41&amp;"년 "&amp;R41&amp;"월","")</f>
        <v/>
      </c>
      <c r="C41" s="139">
        <f>IF(Z41=1,S41,"")</f>
        <v/>
      </c>
      <c r="D41" s="139">
        <f>IF(Z41=1,T41,"")</f>
        <v/>
      </c>
      <c r="E41" s="139">
        <f>IF(Z41=1,U41,"")</f>
        <v/>
      </c>
      <c r="F41" s="139">
        <f>IF(Z41=1,V41,"")</f>
        <v/>
      </c>
      <c r="G41" s="139">
        <f>IF(Z41=1,ROUND(U41+T41-V41,1),"")</f>
        <v/>
      </c>
      <c r="H41" s="139">
        <f>IF(Z41=1,W41,"")</f>
        <v/>
      </c>
      <c r="I41" s="139">
        <f>IF(Z41=1,ROUND(X41,1),"")</f>
        <v/>
      </c>
      <c r="J41" s="139">
        <f>IF(Z41=1,$B$9-Y41,"")</f>
        <v/>
      </c>
      <c r="K41" s="139">
        <f>IF(Z41=1,MIN(X41,$B$9-Y41),"")</f>
        <v/>
      </c>
      <c r="L41" s="139">
        <f>IF(Z41=1,ROUND(W41*S41/DAY(EOMONTH(DATE(Q41,R41,1),0))*MIN(X41,$B$9-Y41)/X41,1),"")</f>
        <v/>
      </c>
      <c r="M41" s="139">
        <f>IF(Z41=1,K41+L41,"")</f>
        <v/>
      </c>
      <c r="N41" s="139">
        <f>IF(Z41=1,J41-K41,"")</f>
        <v/>
      </c>
      <c r="P41" s="151" t="n">
        <v>10</v>
      </c>
      <c r="Q41" s="151">
        <f>YEAR(EDATE(DATE(YEAR($B$14),MONTH($B$14),1),P41-1))</f>
        <v/>
      </c>
      <c r="R41" s="151">
        <f>MONTH(EDATE(DATE(YEAR($B$14),MONTH($B$14),1),P41-1))</f>
        <v/>
      </c>
      <c r="S41" s="151">
        <f>DAY(EOMONTH(DATE(Q41,R41,1),0))</f>
        <v/>
      </c>
      <c r="T41" s="151">
        <f>IFERROR(INDEX(법정공휴일!$B$4:$M$20,MATCH(Q41,법정공휴일!$A$4:$A$20,0),R41),0)</f>
        <v/>
      </c>
      <c r="U41" s="151">
        <f>INDEX(CHOOSE($D$7,'공기산정(1일작업량)'!$G$27:$R$27,'공기산정(1일작업량)'!$G$28:$R$28,'공기산정(1일작업량)'!$G$29:$R$29,'공기산정(1일작업량)'!$G$30:$R$30),1,R41)</f>
        <v/>
      </c>
      <c r="V41" s="151">
        <f>ROUND(U41*T41/DAY(EOMONTH(DATE(Q41,R41,1),0)),1)</f>
        <v/>
      </c>
      <c r="W41" s="151">
        <f>ROUND(MAX(U41+T41-V41,8),0)</f>
        <v/>
      </c>
      <c r="X41" s="151">
        <f>S41*(DAY(EOMONTH(DATE(Q41,R41,1),0))-W41)/DAY(EOMONTH(DATE(Q41,R41,1),0))</f>
        <v/>
      </c>
      <c r="Y41" s="151">
        <f>Y40+X40</f>
        <v/>
      </c>
      <c r="Z41" s="151">
        <f>IF(AND(ISNUMBER($B$9),$B$9&gt;Y41),1,0)</f>
        <v/>
      </c>
    </row>
    <row r="42">
      <c r="A42" s="139">
        <f>IF(Z42=1,P42,"")</f>
        <v/>
      </c>
      <c r="B42" s="139">
        <f>IF(Z42=1,Q42&amp;"년 "&amp;R42&amp;"월","")</f>
        <v/>
      </c>
      <c r="C42" s="139">
        <f>IF(Z42=1,S42,"")</f>
        <v/>
      </c>
      <c r="D42" s="139">
        <f>IF(Z42=1,T42,"")</f>
        <v/>
      </c>
      <c r="E42" s="139">
        <f>IF(Z42=1,U42,"")</f>
        <v/>
      </c>
      <c r="F42" s="139">
        <f>IF(Z42=1,V42,"")</f>
        <v/>
      </c>
      <c r="G42" s="139">
        <f>IF(Z42=1,ROUND(U42+T42-V42,1),"")</f>
        <v/>
      </c>
      <c r="H42" s="139">
        <f>IF(Z42=1,W42,"")</f>
        <v/>
      </c>
      <c r="I42" s="139">
        <f>IF(Z42=1,ROUND(X42,1),"")</f>
        <v/>
      </c>
      <c r="J42" s="139">
        <f>IF(Z42=1,$B$9-Y42,"")</f>
        <v/>
      </c>
      <c r="K42" s="139">
        <f>IF(Z42=1,MIN(X42,$B$9-Y42),"")</f>
        <v/>
      </c>
      <c r="L42" s="139">
        <f>IF(Z42=1,ROUND(W42*S42/DAY(EOMONTH(DATE(Q42,R42,1),0))*MIN(X42,$B$9-Y42)/X42,1),"")</f>
        <v/>
      </c>
      <c r="M42" s="139">
        <f>IF(Z42=1,K42+L42,"")</f>
        <v/>
      </c>
      <c r="N42" s="139">
        <f>IF(Z42=1,J42-K42,"")</f>
        <v/>
      </c>
      <c r="P42" s="151" t="n">
        <v>11</v>
      </c>
      <c r="Q42" s="151">
        <f>YEAR(EDATE(DATE(YEAR($B$14),MONTH($B$14),1),P42-1))</f>
        <v/>
      </c>
      <c r="R42" s="151">
        <f>MONTH(EDATE(DATE(YEAR($B$14),MONTH($B$14),1),P42-1))</f>
        <v/>
      </c>
      <c r="S42" s="151">
        <f>DAY(EOMONTH(DATE(Q42,R42,1),0))</f>
        <v/>
      </c>
      <c r="T42" s="151">
        <f>IFERROR(INDEX(법정공휴일!$B$4:$M$20,MATCH(Q42,법정공휴일!$A$4:$A$20,0),R42),0)</f>
        <v/>
      </c>
      <c r="U42" s="151">
        <f>INDEX(CHOOSE($D$7,'공기산정(1일작업량)'!$G$27:$R$27,'공기산정(1일작업량)'!$G$28:$R$28,'공기산정(1일작업량)'!$G$29:$R$29,'공기산정(1일작업량)'!$G$30:$R$30),1,R42)</f>
        <v/>
      </c>
      <c r="V42" s="151">
        <f>ROUND(U42*T42/DAY(EOMONTH(DATE(Q42,R42,1),0)),1)</f>
        <v/>
      </c>
      <c r="W42" s="151">
        <f>ROUND(MAX(U42+T42-V42,8),0)</f>
        <v/>
      </c>
      <c r="X42" s="151">
        <f>S42*(DAY(EOMONTH(DATE(Q42,R42,1),0))-W42)/DAY(EOMONTH(DATE(Q42,R42,1),0))</f>
        <v/>
      </c>
      <c r="Y42" s="151">
        <f>Y41+X41</f>
        <v/>
      </c>
      <c r="Z42" s="151">
        <f>IF(AND(ISNUMBER($B$9),$B$9&gt;Y42),1,0)</f>
        <v/>
      </c>
    </row>
    <row r="43">
      <c r="A43" s="139">
        <f>IF(Z43=1,P43,"")</f>
        <v/>
      </c>
      <c r="B43" s="139">
        <f>IF(Z43=1,Q43&amp;"년 "&amp;R43&amp;"월","")</f>
        <v/>
      </c>
      <c r="C43" s="139">
        <f>IF(Z43=1,S43,"")</f>
        <v/>
      </c>
      <c r="D43" s="139">
        <f>IF(Z43=1,T43,"")</f>
        <v/>
      </c>
      <c r="E43" s="139">
        <f>IF(Z43=1,U43,"")</f>
        <v/>
      </c>
      <c r="F43" s="139">
        <f>IF(Z43=1,V43,"")</f>
        <v/>
      </c>
      <c r="G43" s="139">
        <f>IF(Z43=1,ROUND(U43+T43-V43,1),"")</f>
        <v/>
      </c>
      <c r="H43" s="139">
        <f>IF(Z43=1,W43,"")</f>
        <v/>
      </c>
      <c r="I43" s="139">
        <f>IF(Z43=1,ROUND(X43,1),"")</f>
        <v/>
      </c>
      <c r="J43" s="139">
        <f>IF(Z43=1,$B$9-Y43,"")</f>
        <v/>
      </c>
      <c r="K43" s="139">
        <f>IF(Z43=1,MIN(X43,$B$9-Y43),"")</f>
        <v/>
      </c>
      <c r="L43" s="139">
        <f>IF(Z43=1,ROUND(W43*S43/DAY(EOMONTH(DATE(Q43,R43,1),0))*MIN(X43,$B$9-Y43)/X43,1),"")</f>
        <v/>
      </c>
      <c r="M43" s="139">
        <f>IF(Z43=1,K43+L43,"")</f>
        <v/>
      </c>
      <c r="N43" s="139">
        <f>IF(Z43=1,J43-K43,"")</f>
        <v/>
      </c>
      <c r="P43" s="151" t="n">
        <v>12</v>
      </c>
      <c r="Q43" s="151">
        <f>YEAR(EDATE(DATE(YEAR($B$14),MONTH($B$14),1),P43-1))</f>
        <v/>
      </c>
      <c r="R43" s="151">
        <f>MONTH(EDATE(DATE(YEAR($B$14),MONTH($B$14),1),P43-1))</f>
        <v/>
      </c>
      <c r="S43" s="151">
        <f>DAY(EOMONTH(DATE(Q43,R43,1),0))</f>
        <v/>
      </c>
      <c r="T43" s="151">
        <f>IFERROR(INDEX(법정공휴일!$B$4:$M$20,MATCH(Q43,법정공휴일!$A$4:$A$20,0),R43),0)</f>
        <v/>
      </c>
      <c r="U43" s="151">
        <f>INDEX(CHOOSE($D$7,'공기산정(1일작업량)'!$G$27:$R$27,'공기산정(1일작업량)'!$G$28:$R$28,'공기산정(1일작업량)'!$G$29:$R$29,'공기산정(1일작업량)'!$G$30:$R$30),1,R43)</f>
        <v/>
      </c>
      <c r="V43" s="151">
        <f>ROUND(U43*T43/DAY(EOMONTH(DATE(Q43,R43,1),0)),1)</f>
        <v/>
      </c>
      <c r="W43" s="151">
        <f>ROUND(MAX(U43+T43-V43,8),0)</f>
        <v/>
      </c>
      <c r="X43" s="151">
        <f>S43*(DAY(EOMONTH(DATE(Q43,R43,1),0))-W43)/DAY(EOMONTH(DATE(Q43,R43,1),0))</f>
        <v/>
      </c>
      <c r="Y43" s="151">
        <f>Y42+X42</f>
        <v/>
      </c>
      <c r="Z43" s="151">
        <f>IF(AND(ISNUMBER($B$9),$B$9&gt;Y43),1,0)</f>
        <v/>
      </c>
    </row>
    <row r="44">
      <c r="A44" s="139">
        <f>IF(Z44=1,P44,"")</f>
        <v/>
      </c>
      <c r="B44" s="139">
        <f>IF(Z44=1,Q44&amp;"년 "&amp;R44&amp;"월","")</f>
        <v/>
      </c>
      <c r="C44" s="139">
        <f>IF(Z44=1,S44,"")</f>
        <v/>
      </c>
      <c r="D44" s="139">
        <f>IF(Z44=1,T44,"")</f>
        <v/>
      </c>
      <c r="E44" s="139">
        <f>IF(Z44=1,U44,"")</f>
        <v/>
      </c>
      <c r="F44" s="139">
        <f>IF(Z44=1,V44,"")</f>
        <v/>
      </c>
      <c r="G44" s="139">
        <f>IF(Z44=1,ROUND(U44+T44-V44,1),"")</f>
        <v/>
      </c>
      <c r="H44" s="139">
        <f>IF(Z44=1,W44,"")</f>
        <v/>
      </c>
      <c r="I44" s="139">
        <f>IF(Z44=1,ROUND(X44,1),"")</f>
        <v/>
      </c>
      <c r="J44" s="139">
        <f>IF(Z44=1,$B$9-Y44,"")</f>
        <v/>
      </c>
      <c r="K44" s="139">
        <f>IF(Z44=1,MIN(X44,$B$9-Y44),"")</f>
        <v/>
      </c>
      <c r="L44" s="139">
        <f>IF(Z44=1,ROUND(W44*S44/DAY(EOMONTH(DATE(Q44,R44,1),0))*MIN(X44,$B$9-Y44)/X44,1),"")</f>
        <v/>
      </c>
      <c r="M44" s="139">
        <f>IF(Z44=1,K44+L44,"")</f>
        <v/>
      </c>
      <c r="N44" s="139">
        <f>IF(Z44=1,J44-K44,"")</f>
        <v/>
      </c>
      <c r="P44" s="151" t="n">
        <v>13</v>
      </c>
      <c r="Q44" s="151">
        <f>YEAR(EDATE(DATE(YEAR($B$14),MONTH($B$14),1),P44-1))</f>
        <v/>
      </c>
      <c r="R44" s="151">
        <f>MONTH(EDATE(DATE(YEAR($B$14),MONTH($B$14),1),P44-1))</f>
        <v/>
      </c>
      <c r="S44" s="151">
        <f>DAY(EOMONTH(DATE(Q44,R44,1),0))</f>
        <v/>
      </c>
      <c r="T44" s="151">
        <f>IFERROR(INDEX(법정공휴일!$B$4:$M$20,MATCH(Q44,법정공휴일!$A$4:$A$20,0),R44),0)</f>
        <v/>
      </c>
      <c r="U44" s="151">
        <f>INDEX(CHOOSE($D$7,'공기산정(1일작업량)'!$G$27:$R$27,'공기산정(1일작업량)'!$G$28:$R$28,'공기산정(1일작업량)'!$G$29:$R$29,'공기산정(1일작업량)'!$G$30:$R$30),1,R44)</f>
        <v/>
      </c>
      <c r="V44" s="151">
        <f>ROUND(U44*T44/DAY(EOMONTH(DATE(Q44,R44,1),0)),1)</f>
        <v/>
      </c>
      <c r="W44" s="151">
        <f>ROUND(MAX(U44+T44-V44,8),0)</f>
        <v/>
      </c>
      <c r="X44" s="151">
        <f>S44*(DAY(EOMONTH(DATE(Q44,R44,1),0))-W44)/DAY(EOMONTH(DATE(Q44,R44,1),0))</f>
        <v/>
      </c>
      <c r="Y44" s="151">
        <f>Y43+X43</f>
        <v/>
      </c>
      <c r="Z44" s="151">
        <f>IF(AND(ISNUMBER($B$9),$B$9&gt;Y44),1,0)</f>
        <v/>
      </c>
    </row>
    <row r="45">
      <c r="A45" s="139">
        <f>IF(Z45=1,P45,"")</f>
        <v/>
      </c>
      <c r="B45" s="139">
        <f>IF(Z45=1,Q45&amp;"년 "&amp;R45&amp;"월","")</f>
        <v/>
      </c>
      <c r="C45" s="139">
        <f>IF(Z45=1,S45,"")</f>
        <v/>
      </c>
      <c r="D45" s="139">
        <f>IF(Z45=1,T45,"")</f>
        <v/>
      </c>
      <c r="E45" s="139">
        <f>IF(Z45=1,U45,"")</f>
        <v/>
      </c>
      <c r="F45" s="139">
        <f>IF(Z45=1,V45,"")</f>
        <v/>
      </c>
      <c r="G45" s="139">
        <f>IF(Z45=1,ROUND(U45+T45-V45,1),"")</f>
        <v/>
      </c>
      <c r="H45" s="139">
        <f>IF(Z45=1,W45,"")</f>
        <v/>
      </c>
      <c r="I45" s="139">
        <f>IF(Z45=1,ROUND(X45,1),"")</f>
        <v/>
      </c>
      <c r="J45" s="139">
        <f>IF(Z45=1,$B$9-Y45,"")</f>
        <v/>
      </c>
      <c r="K45" s="139">
        <f>IF(Z45=1,MIN(X45,$B$9-Y45),"")</f>
        <v/>
      </c>
      <c r="L45" s="139">
        <f>IF(Z45=1,ROUND(W45*S45/DAY(EOMONTH(DATE(Q45,R45,1),0))*MIN(X45,$B$9-Y45)/X45,1),"")</f>
        <v/>
      </c>
      <c r="M45" s="139">
        <f>IF(Z45=1,K45+L45,"")</f>
        <v/>
      </c>
      <c r="N45" s="139">
        <f>IF(Z45=1,J45-K45,"")</f>
        <v/>
      </c>
      <c r="P45" s="151" t="n">
        <v>14</v>
      </c>
      <c r="Q45" s="151">
        <f>YEAR(EDATE(DATE(YEAR($B$14),MONTH($B$14),1),P45-1))</f>
        <v/>
      </c>
      <c r="R45" s="151">
        <f>MONTH(EDATE(DATE(YEAR($B$14),MONTH($B$14),1),P45-1))</f>
        <v/>
      </c>
      <c r="S45" s="151">
        <f>DAY(EOMONTH(DATE(Q45,R45,1),0))</f>
        <v/>
      </c>
      <c r="T45" s="151">
        <f>IFERROR(INDEX(법정공휴일!$B$4:$M$20,MATCH(Q45,법정공휴일!$A$4:$A$20,0),R45),0)</f>
        <v/>
      </c>
      <c r="U45" s="151">
        <f>INDEX(CHOOSE($D$7,'공기산정(1일작업량)'!$G$27:$R$27,'공기산정(1일작업량)'!$G$28:$R$28,'공기산정(1일작업량)'!$G$29:$R$29,'공기산정(1일작업량)'!$G$30:$R$30),1,R45)</f>
        <v/>
      </c>
      <c r="V45" s="151">
        <f>ROUND(U45*T45/DAY(EOMONTH(DATE(Q45,R45,1),0)),1)</f>
        <v/>
      </c>
      <c r="W45" s="151">
        <f>ROUND(MAX(U45+T45-V45,8),0)</f>
        <v/>
      </c>
      <c r="X45" s="151">
        <f>S45*(DAY(EOMONTH(DATE(Q45,R45,1),0))-W45)/DAY(EOMONTH(DATE(Q45,R45,1),0))</f>
        <v/>
      </c>
      <c r="Y45" s="151">
        <f>Y44+X44</f>
        <v/>
      </c>
      <c r="Z45" s="151">
        <f>IF(AND(ISNUMBER($B$9),$B$9&gt;Y45),1,0)</f>
        <v/>
      </c>
    </row>
    <row r="46">
      <c r="A46" s="139">
        <f>IF(Z46=1,P46,"")</f>
        <v/>
      </c>
      <c r="B46" s="139">
        <f>IF(Z46=1,Q46&amp;"년 "&amp;R46&amp;"월","")</f>
        <v/>
      </c>
      <c r="C46" s="139">
        <f>IF(Z46=1,S46,"")</f>
        <v/>
      </c>
      <c r="D46" s="139">
        <f>IF(Z46=1,T46,"")</f>
        <v/>
      </c>
      <c r="E46" s="139">
        <f>IF(Z46=1,U46,"")</f>
        <v/>
      </c>
      <c r="F46" s="139">
        <f>IF(Z46=1,V46,"")</f>
        <v/>
      </c>
      <c r="G46" s="139">
        <f>IF(Z46=1,ROUND(U46+T46-V46,1),"")</f>
        <v/>
      </c>
      <c r="H46" s="139">
        <f>IF(Z46=1,W46,"")</f>
        <v/>
      </c>
      <c r="I46" s="139">
        <f>IF(Z46=1,ROUND(X46,1),"")</f>
        <v/>
      </c>
      <c r="J46" s="139">
        <f>IF(Z46=1,$B$9-Y46,"")</f>
        <v/>
      </c>
      <c r="K46" s="139">
        <f>IF(Z46=1,MIN(X46,$B$9-Y46),"")</f>
        <v/>
      </c>
      <c r="L46" s="139">
        <f>IF(Z46=1,ROUND(W46*S46/DAY(EOMONTH(DATE(Q46,R46,1),0))*MIN(X46,$B$9-Y46)/X46,1),"")</f>
        <v/>
      </c>
      <c r="M46" s="139">
        <f>IF(Z46=1,K46+L46,"")</f>
        <v/>
      </c>
      <c r="N46" s="139">
        <f>IF(Z46=1,J46-K46,"")</f>
        <v/>
      </c>
      <c r="P46" s="151" t="n">
        <v>15</v>
      </c>
      <c r="Q46" s="151">
        <f>YEAR(EDATE(DATE(YEAR($B$14),MONTH($B$14),1),P46-1))</f>
        <v/>
      </c>
      <c r="R46" s="151">
        <f>MONTH(EDATE(DATE(YEAR($B$14),MONTH($B$14),1),P46-1))</f>
        <v/>
      </c>
      <c r="S46" s="151">
        <f>DAY(EOMONTH(DATE(Q46,R46,1),0))</f>
        <v/>
      </c>
      <c r="T46" s="151">
        <f>IFERROR(INDEX(법정공휴일!$B$4:$M$20,MATCH(Q46,법정공휴일!$A$4:$A$20,0),R46),0)</f>
        <v/>
      </c>
      <c r="U46" s="151">
        <f>INDEX(CHOOSE($D$7,'공기산정(1일작업량)'!$G$27:$R$27,'공기산정(1일작업량)'!$G$28:$R$28,'공기산정(1일작업량)'!$G$29:$R$29,'공기산정(1일작업량)'!$G$30:$R$30),1,R46)</f>
        <v/>
      </c>
      <c r="V46" s="151">
        <f>ROUND(U46*T46/DAY(EOMONTH(DATE(Q46,R46,1),0)),1)</f>
        <v/>
      </c>
      <c r="W46" s="151">
        <f>ROUND(MAX(U46+T46-V46,8),0)</f>
        <v/>
      </c>
      <c r="X46" s="151">
        <f>S46*(DAY(EOMONTH(DATE(Q46,R46,1),0))-W46)/DAY(EOMONTH(DATE(Q46,R46,1),0))</f>
        <v/>
      </c>
      <c r="Y46" s="151">
        <f>Y45+X45</f>
        <v/>
      </c>
      <c r="Z46" s="151">
        <f>IF(AND(ISNUMBER($B$9),$B$9&gt;Y46),1,0)</f>
        <v/>
      </c>
    </row>
    <row r="47">
      <c r="A47" s="139">
        <f>IF(Z47=1,P47,"")</f>
        <v/>
      </c>
      <c r="B47" s="139">
        <f>IF(Z47=1,Q47&amp;"년 "&amp;R47&amp;"월","")</f>
        <v/>
      </c>
      <c r="C47" s="139">
        <f>IF(Z47=1,S47,"")</f>
        <v/>
      </c>
      <c r="D47" s="139">
        <f>IF(Z47=1,T47,"")</f>
        <v/>
      </c>
      <c r="E47" s="139">
        <f>IF(Z47=1,U47,"")</f>
        <v/>
      </c>
      <c r="F47" s="139">
        <f>IF(Z47=1,V47,"")</f>
        <v/>
      </c>
      <c r="G47" s="139">
        <f>IF(Z47=1,ROUND(U47+T47-V47,1),"")</f>
        <v/>
      </c>
      <c r="H47" s="139">
        <f>IF(Z47=1,W47,"")</f>
        <v/>
      </c>
      <c r="I47" s="139">
        <f>IF(Z47=1,ROUND(X47,1),"")</f>
        <v/>
      </c>
      <c r="J47" s="139">
        <f>IF(Z47=1,$B$9-Y47,"")</f>
        <v/>
      </c>
      <c r="K47" s="139">
        <f>IF(Z47=1,MIN(X47,$B$9-Y47),"")</f>
        <v/>
      </c>
      <c r="L47" s="139">
        <f>IF(Z47=1,ROUND(W47*S47/DAY(EOMONTH(DATE(Q47,R47,1),0))*MIN(X47,$B$9-Y47)/X47,1),"")</f>
        <v/>
      </c>
      <c r="M47" s="139">
        <f>IF(Z47=1,K47+L47,"")</f>
        <v/>
      </c>
      <c r="N47" s="139">
        <f>IF(Z47=1,J47-K47,"")</f>
        <v/>
      </c>
      <c r="P47" s="151" t="n">
        <v>16</v>
      </c>
      <c r="Q47" s="151">
        <f>YEAR(EDATE(DATE(YEAR($B$14),MONTH($B$14),1),P47-1))</f>
        <v/>
      </c>
      <c r="R47" s="151">
        <f>MONTH(EDATE(DATE(YEAR($B$14),MONTH($B$14),1),P47-1))</f>
        <v/>
      </c>
      <c r="S47" s="151">
        <f>DAY(EOMONTH(DATE(Q47,R47,1),0))</f>
        <v/>
      </c>
      <c r="T47" s="151">
        <f>IFERROR(INDEX(법정공휴일!$B$4:$M$20,MATCH(Q47,법정공휴일!$A$4:$A$20,0),R47),0)</f>
        <v/>
      </c>
      <c r="U47" s="151">
        <f>INDEX(CHOOSE($D$7,'공기산정(1일작업량)'!$G$27:$R$27,'공기산정(1일작업량)'!$G$28:$R$28,'공기산정(1일작업량)'!$G$29:$R$29,'공기산정(1일작업량)'!$G$30:$R$30),1,R47)</f>
        <v/>
      </c>
      <c r="V47" s="151">
        <f>ROUND(U47*T47/DAY(EOMONTH(DATE(Q47,R47,1),0)),1)</f>
        <v/>
      </c>
      <c r="W47" s="151">
        <f>ROUND(MAX(U47+T47-V47,8),0)</f>
        <v/>
      </c>
      <c r="X47" s="151">
        <f>S47*(DAY(EOMONTH(DATE(Q47,R47,1),0))-W47)/DAY(EOMONTH(DATE(Q47,R47,1),0))</f>
        <v/>
      </c>
      <c r="Y47" s="151">
        <f>Y46+X46</f>
        <v/>
      </c>
      <c r="Z47" s="151">
        <f>IF(AND(ISNUMBER($B$9),$B$9&gt;Y47),1,0)</f>
        <v/>
      </c>
    </row>
    <row r="48">
      <c r="A48" s="139">
        <f>IF(Z48=1,P48,"")</f>
        <v/>
      </c>
      <c r="B48" s="139">
        <f>IF(Z48=1,Q48&amp;"년 "&amp;R48&amp;"월","")</f>
        <v/>
      </c>
      <c r="C48" s="139">
        <f>IF(Z48=1,S48,"")</f>
        <v/>
      </c>
      <c r="D48" s="139">
        <f>IF(Z48=1,T48,"")</f>
        <v/>
      </c>
      <c r="E48" s="139">
        <f>IF(Z48=1,U48,"")</f>
        <v/>
      </c>
      <c r="F48" s="139">
        <f>IF(Z48=1,V48,"")</f>
        <v/>
      </c>
      <c r="G48" s="139">
        <f>IF(Z48=1,ROUND(U48+T48-V48,1),"")</f>
        <v/>
      </c>
      <c r="H48" s="139">
        <f>IF(Z48=1,W48,"")</f>
        <v/>
      </c>
      <c r="I48" s="139">
        <f>IF(Z48=1,ROUND(X48,1),"")</f>
        <v/>
      </c>
      <c r="J48" s="139">
        <f>IF(Z48=1,$B$9-Y48,"")</f>
        <v/>
      </c>
      <c r="K48" s="139">
        <f>IF(Z48=1,MIN(X48,$B$9-Y48),"")</f>
        <v/>
      </c>
      <c r="L48" s="139">
        <f>IF(Z48=1,ROUND(W48*S48/DAY(EOMONTH(DATE(Q48,R48,1),0))*MIN(X48,$B$9-Y48)/X48,1),"")</f>
        <v/>
      </c>
      <c r="M48" s="139">
        <f>IF(Z48=1,K48+L48,"")</f>
        <v/>
      </c>
      <c r="N48" s="139">
        <f>IF(Z48=1,J48-K48,"")</f>
        <v/>
      </c>
      <c r="P48" s="151" t="n">
        <v>17</v>
      </c>
      <c r="Q48" s="151">
        <f>YEAR(EDATE(DATE(YEAR($B$14),MONTH($B$14),1),P48-1))</f>
        <v/>
      </c>
      <c r="R48" s="151">
        <f>MONTH(EDATE(DATE(YEAR($B$14),MONTH($B$14),1),P48-1))</f>
        <v/>
      </c>
      <c r="S48" s="151">
        <f>DAY(EOMONTH(DATE(Q48,R48,1),0))</f>
        <v/>
      </c>
      <c r="T48" s="151">
        <f>IFERROR(INDEX(법정공휴일!$B$4:$M$20,MATCH(Q48,법정공휴일!$A$4:$A$20,0),R48),0)</f>
        <v/>
      </c>
      <c r="U48" s="151">
        <f>INDEX(CHOOSE($D$7,'공기산정(1일작업량)'!$G$27:$R$27,'공기산정(1일작업량)'!$G$28:$R$28,'공기산정(1일작업량)'!$G$29:$R$29,'공기산정(1일작업량)'!$G$30:$R$30),1,R48)</f>
        <v/>
      </c>
      <c r="V48" s="151">
        <f>ROUND(U48*T48/DAY(EOMONTH(DATE(Q48,R48,1),0)),1)</f>
        <v/>
      </c>
      <c r="W48" s="151">
        <f>ROUND(MAX(U48+T48-V48,8),0)</f>
        <v/>
      </c>
      <c r="X48" s="151">
        <f>S48*(DAY(EOMONTH(DATE(Q48,R48,1),0))-W48)/DAY(EOMONTH(DATE(Q48,R48,1),0))</f>
        <v/>
      </c>
      <c r="Y48" s="151">
        <f>Y47+X47</f>
        <v/>
      </c>
      <c r="Z48" s="151">
        <f>IF(AND(ISNUMBER($B$9),$B$9&gt;Y48),1,0)</f>
        <v/>
      </c>
    </row>
    <row r="49">
      <c r="A49" s="139">
        <f>IF(Z49=1,P49,"")</f>
        <v/>
      </c>
      <c r="B49" s="139">
        <f>IF(Z49=1,Q49&amp;"년 "&amp;R49&amp;"월","")</f>
        <v/>
      </c>
      <c r="C49" s="139">
        <f>IF(Z49=1,S49,"")</f>
        <v/>
      </c>
      <c r="D49" s="139">
        <f>IF(Z49=1,T49,"")</f>
        <v/>
      </c>
      <c r="E49" s="139">
        <f>IF(Z49=1,U49,"")</f>
        <v/>
      </c>
      <c r="F49" s="139">
        <f>IF(Z49=1,V49,"")</f>
        <v/>
      </c>
      <c r="G49" s="139">
        <f>IF(Z49=1,ROUND(U49+T49-V49,1),"")</f>
        <v/>
      </c>
      <c r="H49" s="139">
        <f>IF(Z49=1,W49,"")</f>
        <v/>
      </c>
      <c r="I49" s="139">
        <f>IF(Z49=1,ROUND(X49,1),"")</f>
        <v/>
      </c>
      <c r="J49" s="139">
        <f>IF(Z49=1,$B$9-Y49,"")</f>
        <v/>
      </c>
      <c r="K49" s="139">
        <f>IF(Z49=1,MIN(X49,$B$9-Y49),"")</f>
        <v/>
      </c>
      <c r="L49" s="139">
        <f>IF(Z49=1,ROUND(W49*S49/DAY(EOMONTH(DATE(Q49,R49,1),0))*MIN(X49,$B$9-Y49)/X49,1),"")</f>
        <v/>
      </c>
      <c r="M49" s="139">
        <f>IF(Z49=1,K49+L49,"")</f>
        <v/>
      </c>
      <c r="N49" s="139">
        <f>IF(Z49=1,J49-K49,"")</f>
        <v/>
      </c>
      <c r="P49" s="151" t="n">
        <v>18</v>
      </c>
      <c r="Q49" s="151">
        <f>YEAR(EDATE(DATE(YEAR($B$14),MONTH($B$14),1),P49-1))</f>
        <v/>
      </c>
      <c r="R49" s="151">
        <f>MONTH(EDATE(DATE(YEAR($B$14),MONTH($B$14),1),P49-1))</f>
        <v/>
      </c>
      <c r="S49" s="151">
        <f>DAY(EOMONTH(DATE(Q49,R49,1),0))</f>
        <v/>
      </c>
      <c r="T49" s="151">
        <f>IFERROR(INDEX(법정공휴일!$B$4:$M$20,MATCH(Q49,법정공휴일!$A$4:$A$20,0),R49),0)</f>
        <v/>
      </c>
      <c r="U49" s="151">
        <f>INDEX(CHOOSE($D$7,'공기산정(1일작업량)'!$G$27:$R$27,'공기산정(1일작업량)'!$G$28:$R$28,'공기산정(1일작업량)'!$G$29:$R$29,'공기산정(1일작업량)'!$G$30:$R$30),1,R49)</f>
        <v/>
      </c>
      <c r="V49" s="151">
        <f>ROUND(U49*T49/DAY(EOMONTH(DATE(Q49,R49,1),0)),1)</f>
        <v/>
      </c>
      <c r="W49" s="151">
        <f>ROUND(MAX(U49+T49-V49,8),0)</f>
        <v/>
      </c>
      <c r="X49" s="151">
        <f>S49*(DAY(EOMONTH(DATE(Q49,R49,1),0))-W49)/DAY(EOMONTH(DATE(Q49,R49,1),0))</f>
        <v/>
      </c>
      <c r="Y49" s="151">
        <f>Y48+X48</f>
        <v/>
      </c>
      <c r="Z49" s="151">
        <f>IF(AND(ISNUMBER($B$9),$B$9&gt;Y49),1,0)</f>
        <v/>
      </c>
    </row>
    <row r="50">
      <c r="A50" s="139">
        <f>IF(Z50=1,P50,"")</f>
        <v/>
      </c>
      <c r="B50" s="139">
        <f>IF(Z50=1,Q50&amp;"년 "&amp;R50&amp;"월","")</f>
        <v/>
      </c>
      <c r="C50" s="139">
        <f>IF(Z50=1,S50,"")</f>
        <v/>
      </c>
      <c r="D50" s="139">
        <f>IF(Z50=1,T50,"")</f>
        <v/>
      </c>
      <c r="E50" s="139">
        <f>IF(Z50=1,U50,"")</f>
        <v/>
      </c>
      <c r="F50" s="139">
        <f>IF(Z50=1,V50,"")</f>
        <v/>
      </c>
      <c r="G50" s="139">
        <f>IF(Z50=1,ROUND(U50+T50-V50,1),"")</f>
        <v/>
      </c>
      <c r="H50" s="139">
        <f>IF(Z50=1,W50,"")</f>
        <v/>
      </c>
      <c r="I50" s="139">
        <f>IF(Z50=1,ROUND(X50,1),"")</f>
        <v/>
      </c>
      <c r="J50" s="139">
        <f>IF(Z50=1,$B$9-Y50,"")</f>
        <v/>
      </c>
      <c r="K50" s="139">
        <f>IF(Z50=1,MIN(X50,$B$9-Y50),"")</f>
        <v/>
      </c>
      <c r="L50" s="139">
        <f>IF(Z50=1,ROUND(W50*S50/DAY(EOMONTH(DATE(Q50,R50,1),0))*MIN(X50,$B$9-Y50)/X50,1),"")</f>
        <v/>
      </c>
      <c r="M50" s="139">
        <f>IF(Z50=1,K50+L50,"")</f>
        <v/>
      </c>
      <c r="N50" s="139">
        <f>IF(Z50=1,J50-K50,"")</f>
        <v/>
      </c>
      <c r="P50" s="151" t="n">
        <v>19</v>
      </c>
      <c r="Q50" s="151">
        <f>YEAR(EDATE(DATE(YEAR($B$14),MONTH($B$14),1),P50-1))</f>
        <v/>
      </c>
      <c r="R50" s="151">
        <f>MONTH(EDATE(DATE(YEAR($B$14),MONTH($B$14),1),P50-1))</f>
        <v/>
      </c>
      <c r="S50" s="151">
        <f>DAY(EOMONTH(DATE(Q50,R50,1),0))</f>
        <v/>
      </c>
      <c r="T50" s="151">
        <f>IFERROR(INDEX(법정공휴일!$B$4:$M$20,MATCH(Q50,법정공휴일!$A$4:$A$20,0),R50),0)</f>
        <v/>
      </c>
      <c r="U50" s="151">
        <f>INDEX(CHOOSE($D$7,'공기산정(1일작업량)'!$G$27:$R$27,'공기산정(1일작업량)'!$G$28:$R$28,'공기산정(1일작업량)'!$G$29:$R$29,'공기산정(1일작업량)'!$G$30:$R$30),1,R50)</f>
        <v/>
      </c>
      <c r="V50" s="151">
        <f>ROUND(U50*T50/DAY(EOMONTH(DATE(Q50,R50,1),0)),1)</f>
        <v/>
      </c>
      <c r="W50" s="151">
        <f>ROUND(MAX(U50+T50-V50,8),0)</f>
        <v/>
      </c>
      <c r="X50" s="151">
        <f>S50*(DAY(EOMONTH(DATE(Q50,R50,1),0))-W50)/DAY(EOMONTH(DATE(Q50,R50,1),0))</f>
        <v/>
      </c>
      <c r="Y50" s="151">
        <f>Y49+X49</f>
        <v/>
      </c>
      <c r="Z50" s="151">
        <f>IF(AND(ISNUMBER($B$9),$B$9&gt;Y50),1,0)</f>
        <v/>
      </c>
    </row>
    <row r="51">
      <c r="A51" s="139">
        <f>IF(Z51=1,P51,"")</f>
        <v/>
      </c>
      <c r="B51" s="139">
        <f>IF(Z51=1,Q51&amp;"년 "&amp;R51&amp;"월","")</f>
        <v/>
      </c>
      <c r="C51" s="139">
        <f>IF(Z51=1,S51,"")</f>
        <v/>
      </c>
      <c r="D51" s="139">
        <f>IF(Z51=1,T51,"")</f>
        <v/>
      </c>
      <c r="E51" s="139">
        <f>IF(Z51=1,U51,"")</f>
        <v/>
      </c>
      <c r="F51" s="139">
        <f>IF(Z51=1,V51,"")</f>
        <v/>
      </c>
      <c r="G51" s="139">
        <f>IF(Z51=1,ROUND(U51+T51-V51,1),"")</f>
        <v/>
      </c>
      <c r="H51" s="139">
        <f>IF(Z51=1,W51,"")</f>
        <v/>
      </c>
      <c r="I51" s="139">
        <f>IF(Z51=1,ROUND(X51,1),"")</f>
        <v/>
      </c>
      <c r="J51" s="139">
        <f>IF(Z51=1,$B$9-Y51,"")</f>
        <v/>
      </c>
      <c r="K51" s="139">
        <f>IF(Z51=1,MIN(X51,$B$9-Y51),"")</f>
        <v/>
      </c>
      <c r="L51" s="139">
        <f>IF(Z51=1,ROUND(W51*S51/DAY(EOMONTH(DATE(Q51,R51,1),0))*MIN(X51,$B$9-Y51)/X51,1),"")</f>
        <v/>
      </c>
      <c r="M51" s="139">
        <f>IF(Z51=1,K51+L51,"")</f>
        <v/>
      </c>
      <c r="N51" s="139">
        <f>IF(Z51=1,J51-K51,"")</f>
        <v/>
      </c>
      <c r="P51" s="151" t="n">
        <v>20</v>
      </c>
      <c r="Q51" s="151">
        <f>YEAR(EDATE(DATE(YEAR($B$14),MONTH($B$14),1),P51-1))</f>
        <v/>
      </c>
      <c r="R51" s="151">
        <f>MONTH(EDATE(DATE(YEAR($B$14),MONTH($B$14),1),P51-1))</f>
        <v/>
      </c>
      <c r="S51" s="151">
        <f>DAY(EOMONTH(DATE(Q51,R51,1),0))</f>
        <v/>
      </c>
      <c r="T51" s="151">
        <f>IFERROR(INDEX(법정공휴일!$B$4:$M$20,MATCH(Q51,법정공휴일!$A$4:$A$20,0),R51),0)</f>
        <v/>
      </c>
      <c r="U51" s="151">
        <f>INDEX(CHOOSE($D$7,'공기산정(1일작업량)'!$G$27:$R$27,'공기산정(1일작업량)'!$G$28:$R$28,'공기산정(1일작업량)'!$G$29:$R$29,'공기산정(1일작업량)'!$G$30:$R$30),1,R51)</f>
        <v/>
      </c>
      <c r="V51" s="151">
        <f>ROUND(U51*T51/DAY(EOMONTH(DATE(Q51,R51,1),0)),1)</f>
        <v/>
      </c>
      <c r="W51" s="151">
        <f>ROUND(MAX(U51+T51-V51,8),0)</f>
        <v/>
      </c>
      <c r="X51" s="151">
        <f>S51*(DAY(EOMONTH(DATE(Q51,R51,1),0))-W51)/DAY(EOMONTH(DATE(Q51,R51,1),0))</f>
        <v/>
      </c>
      <c r="Y51" s="151">
        <f>Y50+X50</f>
        <v/>
      </c>
      <c r="Z51" s="151">
        <f>IF(AND(ISNUMBER($B$9),$B$9&gt;Y51),1,0)</f>
        <v/>
      </c>
    </row>
    <row r="52">
      <c r="A52" s="139">
        <f>IF(Z52=1,P52,"")</f>
        <v/>
      </c>
      <c r="B52" s="139">
        <f>IF(Z52=1,Q52&amp;"년 "&amp;R52&amp;"월","")</f>
        <v/>
      </c>
      <c r="C52" s="139">
        <f>IF(Z52=1,S52,"")</f>
        <v/>
      </c>
      <c r="D52" s="139">
        <f>IF(Z52=1,T52,"")</f>
        <v/>
      </c>
      <c r="E52" s="139">
        <f>IF(Z52=1,U52,"")</f>
        <v/>
      </c>
      <c r="F52" s="139">
        <f>IF(Z52=1,V52,"")</f>
        <v/>
      </c>
      <c r="G52" s="139">
        <f>IF(Z52=1,ROUND(U52+T52-V52,1),"")</f>
        <v/>
      </c>
      <c r="H52" s="139">
        <f>IF(Z52=1,W52,"")</f>
        <v/>
      </c>
      <c r="I52" s="139">
        <f>IF(Z52=1,ROUND(X52,1),"")</f>
        <v/>
      </c>
      <c r="J52" s="139">
        <f>IF(Z52=1,$B$9-Y52,"")</f>
        <v/>
      </c>
      <c r="K52" s="139">
        <f>IF(Z52=1,MIN(X52,$B$9-Y52),"")</f>
        <v/>
      </c>
      <c r="L52" s="139">
        <f>IF(Z52=1,ROUND(W52*S52/DAY(EOMONTH(DATE(Q52,R52,1),0))*MIN(X52,$B$9-Y52)/X52,1),"")</f>
        <v/>
      </c>
      <c r="M52" s="139">
        <f>IF(Z52=1,K52+L52,"")</f>
        <v/>
      </c>
      <c r="N52" s="139">
        <f>IF(Z52=1,J52-K52,"")</f>
        <v/>
      </c>
      <c r="P52" s="151" t="n">
        <v>21</v>
      </c>
      <c r="Q52" s="151">
        <f>YEAR(EDATE(DATE(YEAR($B$14),MONTH($B$14),1),P52-1))</f>
        <v/>
      </c>
      <c r="R52" s="151">
        <f>MONTH(EDATE(DATE(YEAR($B$14),MONTH($B$14),1),P52-1))</f>
        <v/>
      </c>
      <c r="S52" s="151">
        <f>DAY(EOMONTH(DATE(Q52,R52,1),0))</f>
        <v/>
      </c>
      <c r="T52" s="151">
        <f>IFERROR(INDEX(법정공휴일!$B$4:$M$20,MATCH(Q52,법정공휴일!$A$4:$A$20,0),R52),0)</f>
        <v/>
      </c>
      <c r="U52" s="151">
        <f>INDEX(CHOOSE($D$7,'공기산정(1일작업량)'!$G$27:$R$27,'공기산정(1일작업량)'!$G$28:$R$28,'공기산정(1일작업량)'!$G$29:$R$29,'공기산정(1일작업량)'!$G$30:$R$30),1,R52)</f>
        <v/>
      </c>
      <c r="V52" s="151">
        <f>ROUND(U52*T52/DAY(EOMONTH(DATE(Q52,R52,1),0)),1)</f>
        <v/>
      </c>
      <c r="W52" s="151">
        <f>ROUND(MAX(U52+T52-V52,8),0)</f>
        <v/>
      </c>
      <c r="X52" s="151">
        <f>S52*(DAY(EOMONTH(DATE(Q52,R52,1),0))-W52)/DAY(EOMONTH(DATE(Q52,R52,1),0))</f>
        <v/>
      </c>
      <c r="Y52" s="151">
        <f>Y51+X51</f>
        <v/>
      </c>
      <c r="Z52" s="151">
        <f>IF(AND(ISNUMBER($B$9),$B$9&gt;Y52),1,0)</f>
        <v/>
      </c>
    </row>
    <row r="53">
      <c r="A53" s="139">
        <f>IF(Z53=1,P53,"")</f>
        <v/>
      </c>
      <c r="B53" s="139">
        <f>IF(Z53=1,Q53&amp;"년 "&amp;R53&amp;"월","")</f>
        <v/>
      </c>
      <c r="C53" s="139">
        <f>IF(Z53=1,S53,"")</f>
        <v/>
      </c>
      <c r="D53" s="139">
        <f>IF(Z53=1,T53,"")</f>
        <v/>
      </c>
      <c r="E53" s="139">
        <f>IF(Z53=1,U53,"")</f>
        <v/>
      </c>
      <c r="F53" s="139">
        <f>IF(Z53=1,V53,"")</f>
        <v/>
      </c>
      <c r="G53" s="139">
        <f>IF(Z53=1,ROUND(U53+T53-V53,1),"")</f>
        <v/>
      </c>
      <c r="H53" s="139">
        <f>IF(Z53=1,W53,"")</f>
        <v/>
      </c>
      <c r="I53" s="139">
        <f>IF(Z53=1,ROUND(X53,1),"")</f>
        <v/>
      </c>
      <c r="J53" s="139">
        <f>IF(Z53=1,$B$9-Y53,"")</f>
        <v/>
      </c>
      <c r="K53" s="139">
        <f>IF(Z53=1,MIN(X53,$B$9-Y53),"")</f>
        <v/>
      </c>
      <c r="L53" s="139">
        <f>IF(Z53=1,ROUND(W53*S53/DAY(EOMONTH(DATE(Q53,R53,1),0))*MIN(X53,$B$9-Y53)/X53,1),"")</f>
        <v/>
      </c>
      <c r="M53" s="139">
        <f>IF(Z53=1,K53+L53,"")</f>
        <v/>
      </c>
      <c r="N53" s="139">
        <f>IF(Z53=1,J53-K53,"")</f>
        <v/>
      </c>
      <c r="P53" s="151" t="n">
        <v>22</v>
      </c>
      <c r="Q53" s="151">
        <f>YEAR(EDATE(DATE(YEAR($B$14),MONTH($B$14),1),P53-1))</f>
        <v/>
      </c>
      <c r="R53" s="151">
        <f>MONTH(EDATE(DATE(YEAR($B$14),MONTH($B$14),1),P53-1))</f>
        <v/>
      </c>
      <c r="S53" s="151">
        <f>DAY(EOMONTH(DATE(Q53,R53,1),0))</f>
        <v/>
      </c>
      <c r="T53" s="151">
        <f>IFERROR(INDEX(법정공휴일!$B$4:$M$20,MATCH(Q53,법정공휴일!$A$4:$A$20,0),R53),0)</f>
        <v/>
      </c>
      <c r="U53" s="151">
        <f>INDEX(CHOOSE($D$7,'공기산정(1일작업량)'!$G$27:$R$27,'공기산정(1일작업량)'!$G$28:$R$28,'공기산정(1일작업량)'!$G$29:$R$29,'공기산정(1일작업량)'!$G$30:$R$30),1,R53)</f>
        <v/>
      </c>
      <c r="V53" s="151">
        <f>ROUND(U53*T53/DAY(EOMONTH(DATE(Q53,R53,1),0)),1)</f>
        <v/>
      </c>
      <c r="W53" s="151">
        <f>ROUND(MAX(U53+T53-V53,8),0)</f>
        <v/>
      </c>
      <c r="X53" s="151">
        <f>S53*(DAY(EOMONTH(DATE(Q53,R53,1),0))-W53)/DAY(EOMONTH(DATE(Q53,R53,1),0))</f>
        <v/>
      </c>
      <c r="Y53" s="151">
        <f>Y52+X52</f>
        <v/>
      </c>
      <c r="Z53" s="151">
        <f>IF(AND(ISNUMBER($B$9),$B$9&gt;Y53),1,0)</f>
        <v/>
      </c>
    </row>
    <row r="54">
      <c r="A54" s="139">
        <f>IF(Z54=1,P54,"")</f>
        <v/>
      </c>
      <c r="B54" s="139">
        <f>IF(Z54=1,Q54&amp;"년 "&amp;R54&amp;"월","")</f>
        <v/>
      </c>
      <c r="C54" s="139">
        <f>IF(Z54=1,S54,"")</f>
        <v/>
      </c>
      <c r="D54" s="139">
        <f>IF(Z54=1,T54,"")</f>
        <v/>
      </c>
      <c r="E54" s="139">
        <f>IF(Z54=1,U54,"")</f>
        <v/>
      </c>
      <c r="F54" s="139">
        <f>IF(Z54=1,V54,"")</f>
        <v/>
      </c>
      <c r="G54" s="139">
        <f>IF(Z54=1,ROUND(U54+T54-V54,1),"")</f>
        <v/>
      </c>
      <c r="H54" s="139">
        <f>IF(Z54=1,W54,"")</f>
        <v/>
      </c>
      <c r="I54" s="139">
        <f>IF(Z54=1,ROUND(X54,1),"")</f>
        <v/>
      </c>
      <c r="J54" s="139">
        <f>IF(Z54=1,$B$9-Y54,"")</f>
        <v/>
      </c>
      <c r="K54" s="139">
        <f>IF(Z54=1,MIN(X54,$B$9-Y54),"")</f>
        <v/>
      </c>
      <c r="L54" s="139">
        <f>IF(Z54=1,ROUND(W54*S54/DAY(EOMONTH(DATE(Q54,R54,1),0))*MIN(X54,$B$9-Y54)/X54,1),"")</f>
        <v/>
      </c>
      <c r="M54" s="139">
        <f>IF(Z54=1,K54+L54,"")</f>
        <v/>
      </c>
      <c r="N54" s="139">
        <f>IF(Z54=1,J54-K54,"")</f>
        <v/>
      </c>
      <c r="P54" s="151" t="n">
        <v>23</v>
      </c>
      <c r="Q54" s="151">
        <f>YEAR(EDATE(DATE(YEAR($B$14),MONTH($B$14),1),P54-1))</f>
        <v/>
      </c>
      <c r="R54" s="151">
        <f>MONTH(EDATE(DATE(YEAR($B$14),MONTH($B$14),1),P54-1))</f>
        <v/>
      </c>
      <c r="S54" s="151">
        <f>DAY(EOMONTH(DATE(Q54,R54,1),0))</f>
        <v/>
      </c>
      <c r="T54" s="151">
        <f>IFERROR(INDEX(법정공휴일!$B$4:$M$20,MATCH(Q54,법정공휴일!$A$4:$A$20,0),R54),0)</f>
        <v/>
      </c>
      <c r="U54" s="151">
        <f>INDEX(CHOOSE($D$7,'공기산정(1일작업량)'!$G$27:$R$27,'공기산정(1일작업량)'!$G$28:$R$28,'공기산정(1일작업량)'!$G$29:$R$29,'공기산정(1일작업량)'!$G$30:$R$30),1,R54)</f>
        <v/>
      </c>
      <c r="V54" s="151">
        <f>ROUND(U54*T54/DAY(EOMONTH(DATE(Q54,R54,1),0)),1)</f>
        <v/>
      </c>
      <c r="W54" s="151">
        <f>ROUND(MAX(U54+T54-V54,8),0)</f>
        <v/>
      </c>
      <c r="X54" s="151">
        <f>S54*(DAY(EOMONTH(DATE(Q54,R54,1),0))-W54)/DAY(EOMONTH(DATE(Q54,R54,1),0))</f>
        <v/>
      </c>
      <c r="Y54" s="151">
        <f>Y53+X53</f>
        <v/>
      </c>
      <c r="Z54" s="151">
        <f>IF(AND(ISNUMBER($B$9),$B$9&gt;Y54),1,0)</f>
        <v/>
      </c>
    </row>
    <row r="55">
      <c r="A55" s="139">
        <f>IF(Z55=1,P55,"")</f>
        <v/>
      </c>
      <c r="B55" s="139">
        <f>IF(Z55=1,Q55&amp;"년 "&amp;R55&amp;"월","")</f>
        <v/>
      </c>
      <c r="C55" s="139">
        <f>IF(Z55=1,S55,"")</f>
        <v/>
      </c>
      <c r="D55" s="139">
        <f>IF(Z55=1,T55,"")</f>
        <v/>
      </c>
      <c r="E55" s="139">
        <f>IF(Z55=1,U55,"")</f>
        <v/>
      </c>
      <c r="F55" s="139">
        <f>IF(Z55=1,V55,"")</f>
        <v/>
      </c>
      <c r="G55" s="139">
        <f>IF(Z55=1,ROUND(U55+T55-V55,1),"")</f>
        <v/>
      </c>
      <c r="H55" s="139">
        <f>IF(Z55=1,W55,"")</f>
        <v/>
      </c>
      <c r="I55" s="139">
        <f>IF(Z55=1,ROUND(X55,1),"")</f>
        <v/>
      </c>
      <c r="J55" s="139">
        <f>IF(Z55=1,$B$9-Y55,"")</f>
        <v/>
      </c>
      <c r="K55" s="139">
        <f>IF(Z55=1,MIN(X55,$B$9-Y55),"")</f>
        <v/>
      </c>
      <c r="L55" s="139">
        <f>IF(Z55=1,ROUND(W55*S55/DAY(EOMONTH(DATE(Q55,R55,1),0))*MIN(X55,$B$9-Y55)/X55,1),"")</f>
        <v/>
      </c>
      <c r="M55" s="139">
        <f>IF(Z55=1,K55+L55,"")</f>
        <v/>
      </c>
      <c r="N55" s="139">
        <f>IF(Z55=1,J55-K55,"")</f>
        <v/>
      </c>
      <c r="P55" s="151" t="n">
        <v>24</v>
      </c>
      <c r="Q55" s="151">
        <f>YEAR(EDATE(DATE(YEAR($B$14),MONTH($B$14),1),P55-1))</f>
        <v/>
      </c>
      <c r="R55" s="151">
        <f>MONTH(EDATE(DATE(YEAR($B$14),MONTH($B$14),1),P55-1))</f>
        <v/>
      </c>
      <c r="S55" s="151">
        <f>DAY(EOMONTH(DATE(Q55,R55,1),0))</f>
        <v/>
      </c>
      <c r="T55" s="151">
        <f>IFERROR(INDEX(법정공휴일!$B$4:$M$20,MATCH(Q55,법정공휴일!$A$4:$A$20,0),R55),0)</f>
        <v/>
      </c>
      <c r="U55" s="151">
        <f>INDEX(CHOOSE($D$7,'공기산정(1일작업량)'!$G$27:$R$27,'공기산정(1일작업량)'!$G$28:$R$28,'공기산정(1일작업량)'!$G$29:$R$29,'공기산정(1일작업량)'!$G$30:$R$30),1,R55)</f>
        <v/>
      </c>
      <c r="V55" s="151">
        <f>ROUND(U55*T55/DAY(EOMONTH(DATE(Q55,R55,1),0)),1)</f>
        <v/>
      </c>
      <c r="W55" s="151">
        <f>ROUND(MAX(U55+T55-V55,8),0)</f>
        <v/>
      </c>
      <c r="X55" s="151">
        <f>S55*(DAY(EOMONTH(DATE(Q55,R55,1),0))-W55)/DAY(EOMONTH(DATE(Q55,R55,1),0))</f>
        <v/>
      </c>
      <c r="Y55" s="151">
        <f>Y54+X54</f>
        <v/>
      </c>
      <c r="Z55" s="151">
        <f>IF(AND(ISNUMBER($B$9),$B$9&gt;Y55),1,0)</f>
        <v/>
      </c>
    </row>
    <row r="56">
      <c r="A56" s="139">
        <f>IF(Z56=1,P56,"")</f>
        <v/>
      </c>
      <c r="B56" s="139">
        <f>IF(Z56=1,Q56&amp;"년 "&amp;R56&amp;"월","")</f>
        <v/>
      </c>
      <c r="C56" s="139">
        <f>IF(Z56=1,S56,"")</f>
        <v/>
      </c>
      <c r="D56" s="139">
        <f>IF(Z56=1,T56,"")</f>
        <v/>
      </c>
      <c r="E56" s="139">
        <f>IF(Z56=1,U56,"")</f>
        <v/>
      </c>
      <c r="F56" s="139">
        <f>IF(Z56=1,V56,"")</f>
        <v/>
      </c>
      <c r="G56" s="139">
        <f>IF(Z56=1,ROUND(U56+T56-V56,1),"")</f>
        <v/>
      </c>
      <c r="H56" s="139">
        <f>IF(Z56=1,W56,"")</f>
        <v/>
      </c>
      <c r="I56" s="139">
        <f>IF(Z56=1,ROUND(X56,1),"")</f>
        <v/>
      </c>
      <c r="J56" s="139">
        <f>IF(Z56=1,$B$9-Y56,"")</f>
        <v/>
      </c>
      <c r="K56" s="139">
        <f>IF(Z56=1,MIN(X56,$B$9-Y56),"")</f>
        <v/>
      </c>
      <c r="L56" s="139">
        <f>IF(Z56=1,ROUND(W56*S56/DAY(EOMONTH(DATE(Q56,R56,1),0))*MIN(X56,$B$9-Y56)/X56,1),"")</f>
        <v/>
      </c>
      <c r="M56" s="139">
        <f>IF(Z56=1,K56+L56,"")</f>
        <v/>
      </c>
      <c r="N56" s="139">
        <f>IF(Z56=1,J56-K56,"")</f>
        <v/>
      </c>
      <c r="P56" s="151" t="n">
        <v>25</v>
      </c>
      <c r="Q56" s="151">
        <f>YEAR(EDATE(DATE(YEAR($B$14),MONTH($B$14),1),P56-1))</f>
        <v/>
      </c>
      <c r="R56" s="151">
        <f>MONTH(EDATE(DATE(YEAR($B$14),MONTH($B$14),1),P56-1))</f>
        <v/>
      </c>
      <c r="S56" s="151">
        <f>DAY(EOMONTH(DATE(Q56,R56,1),0))</f>
        <v/>
      </c>
      <c r="T56" s="151">
        <f>IFERROR(INDEX(법정공휴일!$B$4:$M$20,MATCH(Q56,법정공휴일!$A$4:$A$20,0),R56),0)</f>
        <v/>
      </c>
      <c r="U56" s="151">
        <f>INDEX(CHOOSE($D$7,'공기산정(1일작업량)'!$G$27:$R$27,'공기산정(1일작업량)'!$G$28:$R$28,'공기산정(1일작업량)'!$G$29:$R$29,'공기산정(1일작업량)'!$G$30:$R$30),1,R56)</f>
        <v/>
      </c>
      <c r="V56" s="151">
        <f>ROUND(U56*T56/DAY(EOMONTH(DATE(Q56,R56,1),0)),1)</f>
        <v/>
      </c>
      <c r="W56" s="151">
        <f>ROUND(MAX(U56+T56-V56,8),0)</f>
        <v/>
      </c>
      <c r="X56" s="151">
        <f>S56*(DAY(EOMONTH(DATE(Q56,R56,1),0))-W56)/DAY(EOMONTH(DATE(Q56,R56,1),0))</f>
        <v/>
      </c>
      <c r="Y56" s="151">
        <f>Y55+X55</f>
        <v/>
      </c>
      <c r="Z56" s="151">
        <f>IF(AND(ISNUMBER($B$9),$B$9&gt;Y56),1,0)</f>
        <v/>
      </c>
    </row>
    <row r="57">
      <c r="A57" s="139">
        <f>IF(Z57=1,P57,"")</f>
        <v/>
      </c>
      <c r="B57" s="139">
        <f>IF(Z57=1,Q57&amp;"년 "&amp;R57&amp;"월","")</f>
        <v/>
      </c>
      <c r="C57" s="139">
        <f>IF(Z57=1,S57,"")</f>
        <v/>
      </c>
      <c r="D57" s="139">
        <f>IF(Z57=1,T57,"")</f>
        <v/>
      </c>
      <c r="E57" s="139">
        <f>IF(Z57=1,U57,"")</f>
        <v/>
      </c>
      <c r="F57" s="139">
        <f>IF(Z57=1,V57,"")</f>
        <v/>
      </c>
      <c r="G57" s="139">
        <f>IF(Z57=1,ROUND(U57+T57-V57,1),"")</f>
        <v/>
      </c>
      <c r="H57" s="139">
        <f>IF(Z57=1,W57,"")</f>
        <v/>
      </c>
      <c r="I57" s="139">
        <f>IF(Z57=1,ROUND(X57,1),"")</f>
        <v/>
      </c>
      <c r="J57" s="139">
        <f>IF(Z57=1,$B$9-Y57,"")</f>
        <v/>
      </c>
      <c r="K57" s="139">
        <f>IF(Z57=1,MIN(X57,$B$9-Y57),"")</f>
        <v/>
      </c>
      <c r="L57" s="139">
        <f>IF(Z57=1,ROUND(W57*S57/DAY(EOMONTH(DATE(Q57,R57,1),0))*MIN(X57,$B$9-Y57)/X57,1),"")</f>
        <v/>
      </c>
      <c r="M57" s="139">
        <f>IF(Z57=1,K57+L57,"")</f>
        <v/>
      </c>
      <c r="N57" s="139">
        <f>IF(Z57=1,J57-K57,"")</f>
        <v/>
      </c>
      <c r="P57" s="151" t="n">
        <v>26</v>
      </c>
      <c r="Q57" s="151">
        <f>YEAR(EDATE(DATE(YEAR($B$14),MONTH($B$14),1),P57-1))</f>
        <v/>
      </c>
      <c r="R57" s="151">
        <f>MONTH(EDATE(DATE(YEAR($B$14),MONTH($B$14),1),P57-1))</f>
        <v/>
      </c>
      <c r="S57" s="151">
        <f>DAY(EOMONTH(DATE(Q57,R57,1),0))</f>
        <v/>
      </c>
      <c r="T57" s="151">
        <f>IFERROR(INDEX(법정공휴일!$B$4:$M$20,MATCH(Q57,법정공휴일!$A$4:$A$20,0),R57),0)</f>
        <v/>
      </c>
      <c r="U57" s="151">
        <f>INDEX(CHOOSE($D$7,'공기산정(1일작업량)'!$G$27:$R$27,'공기산정(1일작업량)'!$G$28:$R$28,'공기산정(1일작업량)'!$G$29:$R$29,'공기산정(1일작업량)'!$G$30:$R$30),1,R57)</f>
        <v/>
      </c>
      <c r="V57" s="151">
        <f>ROUND(U57*T57/DAY(EOMONTH(DATE(Q57,R57,1),0)),1)</f>
        <v/>
      </c>
      <c r="W57" s="151">
        <f>ROUND(MAX(U57+T57-V57,8),0)</f>
        <v/>
      </c>
      <c r="X57" s="151">
        <f>S57*(DAY(EOMONTH(DATE(Q57,R57,1),0))-W57)/DAY(EOMONTH(DATE(Q57,R57,1),0))</f>
        <v/>
      </c>
      <c r="Y57" s="151">
        <f>Y56+X56</f>
        <v/>
      </c>
      <c r="Z57" s="151">
        <f>IF(AND(ISNUMBER($B$9),$B$9&gt;Y57),1,0)</f>
        <v/>
      </c>
    </row>
    <row r="58">
      <c r="A58" s="139">
        <f>IF(Z58=1,P58,"")</f>
        <v/>
      </c>
      <c r="B58" s="139">
        <f>IF(Z58=1,Q58&amp;"년 "&amp;R58&amp;"월","")</f>
        <v/>
      </c>
      <c r="C58" s="139">
        <f>IF(Z58=1,S58,"")</f>
        <v/>
      </c>
      <c r="D58" s="139">
        <f>IF(Z58=1,T58,"")</f>
        <v/>
      </c>
      <c r="E58" s="139">
        <f>IF(Z58=1,U58,"")</f>
        <v/>
      </c>
      <c r="F58" s="139">
        <f>IF(Z58=1,V58,"")</f>
        <v/>
      </c>
      <c r="G58" s="139">
        <f>IF(Z58=1,ROUND(U58+T58-V58,1),"")</f>
        <v/>
      </c>
      <c r="H58" s="139">
        <f>IF(Z58=1,W58,"")</f>
        <v/>
      </c>
      <c r="I58" s="139">
        <f>IF(Z58=1,ROUND(X58,1),"")</f>
        <v/>
      </c>
      <c r="J58" s="139">
        <f>IF(Z58=1,$B$9-Y58,"")</f>
        <v/>
      </c>
      <c r="K58" s="139">
        <f>IF(Z58=1,MIN(X58,$B$9-Y58),"")</f>
        <v/>
      </c>
      <c r="L58" s="139">
        <f>IF(Z58=1,ROUND(W58*S58/DAY(EOMONTH(DATE(Q58,R58,1),0))*MIN(X58,$B$9-Y58)/X58,1),"")</f>
        <v/>
      </c>
      <c r="M58" s="139">
        <f>IF(Z58=1,K58+L58,"")</f>
        <v/>
      </c>
      <c r="N58" s="139">
        <f>IF(Z58=1,J58-K58,"")</f>
        <v/>
      </c>
      <c r="P58" s="151" t="n">
        <v>27</v>
      </c>
      <c r="Q58" s="151">
        <f>YEAR(EDATE(DATE(YEAR($B$14),MONTH($B$14),1),P58-1))</f>
        <v/>
      </c>
      <c r="R58" s="151">
        <f>MONTH(EDATE(DATE(YEAR($B$14),MONTH($B$14),1),P58-1))</f>
        <v/>
      </c>
      <c r="S58" s="151">
        <f>DAY(EOMONTH(DATE(Q58,R58,1),0))</f>
        <v/>
      </c>
      <c r="T58" s="151">
        <f>IFERROR(INDEX(법정공휴일!$B$4:$M$20,MATCH(Q58,법정공휴일!$A$4:$A$20,0),R58),0)</f>
        <v/>
      </c>
      <c r="U58" s="151">
        <f>INDEX(CHOOSE($D$7,'공기산정(1일작업량)'!$G$27:$R$27,'공기산정(1일작업량)'!$G$28:$R$28,'공기산정(1일작업량)'!$G$29:$R$29,'공기산정(1일작업량)'!$G$30:$R$30),1,R58)</f>
        <v/>
      </c>
      <c r="V58" s="151">
        <f>ROUND(U58*T58/DAY(EOMONTH(DATE(Q58,R58,1),0)),1)</f>
        <v/>
      </c>
      <c r="W58" s="151">
        <f>ROUND(MAX(U58+T58-V58,8),0)</f>
        <v/>
      </c>
      <c r="X58" s="151">
        <f>S58*(DAY(EOMONTH(DATE(Q58,R58,1),0))-W58)/DAY(EOMONTH(DATE(Q58,R58,1),0))</f>
        <v/>
      </c>
      <c r="Y58" s="151">
        <f>Y57+X57</f>
        <v/>
      </c>
      <c r="Z58" s="151">
        <f>IF(AND(ISNUMBER($B$9),$B$9&gt;Y58),1,0)</f>
        <v/>
      </c>
    </row>
    <row r="59">
      <c r="A59" s="139">
        <f>IF(Z59=1,P59,"")</f>
        <v/>
      </c>
      <c r="B59" s="139">
        <f>IF(Z59=1,Q59&amp;"년 "&amp;R59&amp;"월","")</f>
        <v/>
      </c>
      <c r="C59" s="139">
        <f>IF(Z59=1,S59,"")</f>
        <v/>
      </c>
      <c r="D59" s="139">
        <f>IF(Z59=1,T59,"")</f>
        <v/>
      </c>
      <c r="E59" s="139">
        <f>IF(Z59=1,U59,"")</f>
        <v/>
      </c>
      <c r="F59" s="139">
        <f>IF(Z59=1,V59,"")</f>
        <v/>
      </c>
      <c r="G59" s="139">
        <f>IF(Z59=1,ROUND(U59+T59-V59,1),"")</f>
        <v/>
      </c>
      <c r="H59" s="139">
        <f>IF(Z59=1,W59,"")</f>
        <v/>
      </c>
      <c r="I59" s="139">
        <f>IF(Z59=1,ROUND(X59,1),"")</f>
        <v/>
      </c>
      <c r="J59" s="139">
        <f>IF(Z59=1,$B$9-Y59,"")</f>
        <v/>
      </c>
      <c r="K59" s="139">
        <f>IF(Z59=1,MIN(X59,$B$9-Y59),"")</f>
        <v/>
      </c>
      <c r="L59" s="139">
        <f>IF(Z59=1,ROUND(W59*S59/DAY(EOMONTH(DATE(Q59,R59,1),0))*MIN(X59,$B$9-Y59)/X59,1),"")</f>
        <v/>
      </c>
      <c r="M59" s="139">
        <f>IF(Z59=1,K59+L59,"")</f>
        <v/>
      </c>
      <c r="N59" s="139">
        <f>IF(Z59=1,J59-K59,"")</f>
        <v/>
      </c>
      <c r="P59" s="151" t="n">
        <v>28</v>
      </c>
      <c r="Q59" s="151">
        <f>YEAR(EDATE(DATE(YEAR($B$14),MONTH($B$14),1),P59-1))</f>
        <v/>
      </c>
      <c r="R59" s="151">
        <f>MONTH(EDATE(DATE(YEAR($B$14),MONTH($B$14),1),P59-1))</f>
        <v/>
      </c>
      <c r="S59" s="151">
        <f>DAY(EOMONTH(DATE(Q59,R59,1),0))</f>
        <v/>
      </c>
      <c r="T59" s="151">
        <f>IFERROR(INDEX(법정공휴일!$B$4:$M$20,MATCH(Q59,법정공휴일!$A$4:$A$20,0),R59),0)</f>
        <v/>
      </c>
      <c r="U59" s="151">
        <f>INDEX(CHOOSE($D$7,'공기산정(1일작업량)'!$G$27:$R$27,'공기산정(1일작업량)'!$G$28:$R$28,'공기산정(1일작업량)'!$G$29:$R$29,'공기산정(1일작업량)'!$G$30:$R$30),1,R59)</f>
        <v/>
      </c>
      <c r="V59" s="151">
        <f>ROUND(U59*T59/DAY(EOMONTH(DATE(Q59,R59,1),0)),1)</f>
        <v/>
      </c>
      <c r="W59" s="151">
        <f>ROUND(MAX(U59+T59-V59,8),0)</f>
        <v/>
      </c>
      <c r="X59" s="151">
        <f>S59*(DAY(EOMONTH(DATE(Q59,R59,1),0))-W59)/DAY(EOMONTH(DATE(Q59,R59,1),0))</f>
        <v/>
      </c>
      <c r="Y59" s="151">
        <f>Y58+X58</f>
        <v/>
      </c>
      <c r="Z59" s="151">
        <f>IF(AND(ISNUMBER($B$9),$B$9&gt;Y59),1,0)</f>
        <v/>
      </c>
    </row>
    <row r="60">
      <c r="A60" s="139">
        <f>IF(Z60=1,P60,"")</f>
        <v/>
      </c>
      <c r="B60" s="139">
        <f>IF(Z60=1,Q60&amp;"년 "&amp;R60&amp;"월","")</f>
        <v/>
      </c>
      <c r="C60" s="139">
        <f>IF(Z60=1,S60,"")</f>
        <v/>
      </c>
      <c r="D60" s="139">
        <f>IF(Z60=1,T60,"")</f>
        <v/>
      </c>
      <c r="E60" s="139">
        <f>IF(Z60=1,U60,"")</f>
        <v/>
      </c>
      <c r="F60" s="139">
        <f>IF(Z60=1,V60,"")</f>
        <v/>
      </c>
      <c r="G60" s="139">
        <f>IF(Z60=1,ROUND(U60+T60-V60,1),"")</f>
        <v/>
      </c>
      <c r="H60" s="139">
        <f>IF(Z60=1,W60,"")</f>
        <v/>
      </c>
      <c r="I60" s="139">
        <f>IF(Z60=1,ROUND(X60,1),"")</f>
        <v/>
      </c>
      <c r="J60" s="139">
        <f>IF(Z60=1,$B$9-Y60,"")</f>
        <v/>
      </c>
      <c r="K60" s="139">
        <f>IF(Z60=1,MIN(X60,$B$9-Y60),"")</f>
        <v/>
      </c>
      <c r="L60" s="139">
        <f>IF(Z60=1,ROUND(W60*S60/DAY(EOMONTH(DATE(Q60,R60,1),0))*MIN(X60,$B$9-Y60)/X60,1),"")</f>
        <v/>
      </c>
      <c r="M60" s="139">
        <f>IF(Z60=1,K60+L60,"")</f>
        <v/>
      </c>
      <c r="N60" s="139">
        <f>IF(Z60=1,J60-K60,"")</f>
        <v/>
      </c>
      <c r="P60" s="151" t="n">
        <v>29</v>
      </c>
      <c r="Q60" s="151">
        <f>YEAR(EDATE(DATE(YEAR($B$14),MONTH($B$14),1),P60-1))</f>
        <v/>
      </c>
      <c r="R60" s="151">
        <f>MONTH(EDATE(DATE(YEAR($B$14),MONTH($B$14),1),P60-1))</f>
        <v/>
      </c>
      <c r="S60" s="151">
        <f>DAY(EOMONTH(DATE(Q60,R60,1),0))</f>
        <v/>
      </c>
      <c r="T60" s="151">
        <f>IFERROR(INDEX(법정공휴일!$B$4:$M$20,MATCH(Q60,법정공휴일!$A$4:$A$20,0),R60),0)</f>
        <v/>
      </c>
      <c r="U60" s="151">
        <f>INDEX(CHOOSE($D$7,'공기산정(1일작업량)'!$G$27:$R$27,'공기산정(1일작업량)'!$G$28:$R$28,'공기산정(1일작업량)'!$G$29:$R$29,'공기산정(1일작업량)'!$G$30:$R$30),1,R60)</f>
        <v/>
      </c>
      <c r="V60" s="151">
        <f>ROUND(U60*T60/DAY(EOMONTH(DATE(Q60,R60,1),0)),1)</f>
        <v/>
      </c>
      <c r="W60" s="151">
        <f>ROUND(MAX(U60+T60-V60,8),0)</f>
        <v/>
      </c>
      <c r="X60" s="151">
        <f>S60*(DAY(EOMONTH(DATE(Q60,R60,1),0))-W60)/DAY(EOMONTH(DATE(Q60,R60,1),0))</f>
        <v/>
      </c>
      <c r="Y60" s="151">
        <f>Y59+X59</f>
        <v/>
      </c>
      <c r="Z60" s="151">
        <f>IF(AND(ISNUMBER($B$9),$B$9&gt;Y60),1,0)</f>
        <v/>
      </c>
    </row>
    <row r="61">
      <c r="A61" s="139">
        <f>IF(Z61=1,P61,"")</f>
        <v/>
      </c>
      <c r="B61" s="139">
        <f>IF(Z61=1,Q61&amp;"년 "&amp;R61&amp;"월","")</f>
        <v/>
      </c>
      <c r="C61" s="139">
        <f>IF(Z61=1,S61,"")</f>
        <v/>
      </c>
      <c r="D61" s="139">
        <f>IF(Z61=1,T61,"")</f>
        <v/>
      </c>
      <c r="E61" s="139">
        <f>IF(Z61=1,U61,"")</f>
        <v/>
      </c>
      <c r="F61" s="139">
        <f>IF(Z61=1,V61,"")</f>
        <v/>
      </c>
      <c r="G61" s="139">
        <f>IF(Z61=1,ROUND(U61+T61-V61,1),"")</f>
        <v/>
      </c>
      <c r="H61" s="139">
        <f>IF(Z61=1,W61,"")</f>
        <v/>
      </c>
      <c r="I61" s="139">
        <f>IF(Z61=1,ROUND(X61,1),"")</f>
        <v/>
      </c>
      <c r="J61" s="139">
        <f>IF(Z61=1,$B$9-Y61,"")</f>
        <v/>
      </c>
      <c r="K61" s="139">
        <f>IF(Z61=1,MIN(X61,$B$9-Y61),"")</f>
        <v/>
      </c>
      <c r="L61" s="139">
        <f>IF(Z61=1,ROUND(W61*S61/DAY(EOMONTH(DATE(Q61,R61,1),0))*MIN(X61,$B$9-Y61)/X61,1),"")</f>
        <v/>
      </c>
      <c r="M61" s="139">
        <f>IF(Z61=1,K61+L61,"")</f>
        <v/>
      </c>
      <c r="N61" s="139">
        <f>IF(Z61=1,J61-K61,"")</f>
        <v/>
      </c>
      <c r="P61" s="151" t="n">
        <v>30</v>
      </c>
      <c r="Q61" s="151">
        <f>YEAR(EDATE(DATE(YEAR($B$14),MONTH($B$14),1),P61-1))</f>
        <v/>
      </c>
      <c r="R61" s="151">
        <f>MONTH(EDATE(DATE(YEAR($B$14),MONTH($B$14),1),P61-1))</f>
        <v/>
      </c>
      <c r="S61" s="151">
        <f>DAY(EOMONTH(DATE(Q61,R61,1),0))</f>
        <v/>
      </c>
      <c r="T61" s="151">
        <f>IFERROR(INDEX(법정공휴일!$B$4:$M$20,MATCH(Q61,법정공휴일!$A$4:$A$20,0),R61),0)</f>
        <v/>
      </c>
      <c r="U61" s="151">
        <f>INDEX(CHOOSE($D$7,'공기산정(1일작업량)'!$G$27:$R$27,'공기산정(1일작업량)'!$G$28:$R$28,'공기산정(1일작업량)'!$G$29:$R$29,'공기산정(1일작업량)'!$G$30:$R$30),1,R61)</f>
        <v/>
      </c>
      <c r="V61" s="151">
        <f>ROUND(U61*T61/DAY(EOMONTH(DATE(Q61,R61,1),0)),1)</f>
        <v/>
      </c>
      <c r="W61" s="151">
        <f>ROUND(MAX(U61+T61-V61,8),0)</f>
        <v/>
      </c>
      <c r="X61" s="151">
        <f>S61*(DAY(EOMONTH(DATE(Q61,R61,1),0))-W61)/DAY(EOMONTH(DATE(Q61,R61,1),0))</f>
        <v/>
      </c>
      <c r="Y61" s="151">
        <f>Y60+X60</f>
        <v/>
      </c>
      <c r="Z61" s="151">
        <f>IF(AND(ISNUMBER($B$9),$B$9&gt;Y61),1,0)</f>
        <v/>
      </c>
    </row>
    <row r="62">
      <c r="A62" s="139">
        <f>IF(Z62=1,P62,"")</f>
        <v/>
      </c>
      <c r="B62" s="139">
        <f>IF(Z62=1,Q62&amp;"년 "&amp;R62&amp;"월","")</f>
        <v/>
      </c>
      <c r="C62" s="139">
        <f>IF(Z62=1,S62,"")</f>
        <v/>
      </c>
      <c r="D62" s="139">
        <f>IF(Z62=1,T62,"")</f>
        <v/>
      </c>
      <c r="E62" s="139">
        <f>IF(Z62=1,U62,"")</f>
        <v/>
      </c>
      <c r="F62" s="139">
        <f>IF(Z62=1,V62,"")</f>
        <v/>
      </c>
      <c r="G62" s="139">
        <f>IF(Z62=1,ROUND(U62+T62-V62,1),"")</f>
        <v/>
      </c>
      <c r="H62" s="139">
        <f>IF(Z62=1,W62,"")</f>
        <v/>
      </c>
      <c r="I62" s="139">
        <f>IF(Z62=1,ROUND(X62,1),"")</f>
        <v/>
      </c>
      <c r="J62" s="139">
        <f>IF(Z62=1,$B$9-Y62,"")</f>
        <v/>
      </c>
      <c r="K62" s="139">
        <f>IF(Z62=1,MIN(X62,$B$9-Y62),"")</f>
        <v/>
      </c>
      <c r="L62" s="139">
        <f>IF(Z62=1,ROUND(W62*S62/DAY(EOMONTH(DATE(Q62,R62,1),0))*MIN(X62,$B$9-Y62)/X62,1),"")</f>
        <v/>
      </c>
      <c r="M62" s="139">
        <f>IF(Z62=1,K62+L62,"")</f>
        <v/>
      </c>
      <c r="N62" s="139">
        <f>IF(Z62=1,J62-K62,"")</f>
        <v/>
      </c>
      <c r="P62" s="151" t="n">
        <v>31</v>
      </c>
      <c r="Q62" s="151">
        <f>YEAR(EDATE(DATE(YEAR($B$14),MONTH($B$14),1),P62-1))</f>
        <v/>
      </c>
      <c r="R62" s="151">
        <f>MONTH(EDATE(DATE(YEAR($B$14),MONTH($B$14),1),P62-1))</f>
        <v/>
      </c>
      <c r="S62" s="151">
        <f>DAY(EOMONTH(DATE(Q62,R62,1),0))</f>
        <v/>
      </c>
      <c r="T62" s="151">
        <f>IFERROR(INDEX(법정공휴일!$B$4:$M$20,MATCH(Q62,법정공휴일!$A$4:$A$20,0),R62),0)</f>
        <v/>
      </c>
      <c r="U62" s="151">
        <f>INDEX(CHOOSE($D$7,'공기산정(1일작업량)'!$G$27:$R$27,'공기산정(1일작업량)'!$G$28:$R$28,'공기산정(1일작업량)'!$G$29:$R$29,'공기산정(1일작업량)'!$G$30:$R$30),1,R62)</f>
        <v/>
      </c>
      <c r="V62" s="151">
        <f>ROUND(U62*T62/DAY(EOMONTH(DATE(Q62,R62,1),0)),1)</f>
        <v/>
      </c>
      <c r="W62" s="151">
        <f>ROUND(MAX(U62+T62-V62,8),0)</f>
        <v/>
      </c>
      <c r="X62" s="151">
        <f>S62*(DAY(EOMONTH(DATE(Q62,R62,1),0))-W62)/DAY(EOMONTH(DATE(Q62,R62,1),0))</f>
        <v/>
      </c>
      <c r="Y62" s="151">
        <f>Y61+X61</f>
        <v/>
      </c>
      <c r="Z62" s="151">
        <f>IF(AND(ISNUMBER($B$9),$B$9&gt;Y62),1,0)</f>
        <v/>
      </c>
    </row>
    <row r="63">
      <c r="A63" s="139">
        <f>IF(Z63=1,P63,"")</f>
        <v/>
      </c>
      <c r="B63" s="139">
        <f>IF(Z63=1,Q63&amp;"년 "&amp;R63&amp;"월","")</f>
        <v/>
      </c>
      <c r="C63" s="139">
        <f>IF(Z63=1,S63,"")</f>
        <v/>
      </c>
      <c r="D63" s="139">
        <f>IF(Z63=1,T63,"")</f>
        <v/>
      </c>
      <c r="E63" s="139">
        <f>IF(Z63=1,U63,"")</f>
        <v/>
      </c>
      <c r="F63" s="139">
        <f>IF(Z63=1,V63,"")</f>
        <v/>
      </c>
      <c r="G63" s="139">
        <f>IF(Z63=1,ROUND(U63+T63-V63,1),"")</f>
        <v/>
      </c>
      <c r="H63" s="139">
        <f>IF(Z63=1,W63,"")</f>
        <v/>
      </c>
      <c r="I63" s="139">
        <f>IF(Z63=1,ROUND(X63,1),"")</f>
        <v/>
      </c>
      <c r="J63" s="139">
        <f>IF(Z63=1,$B$9-Y63,"")</f>
        <v/>
      </c>
      <c r="K63" s="139">
        <f>IF(Z63=1,MIN(X63,$B$9-Y63),"")</f>
        <v/>
      </c>
      <c r="L63" s="139">
        <f>IF(Z63=1,ROUND(W63*S63/DAY(EOMONTH(DATE(Q63,R63,1),0))*MIN(X63,$B$9-Y63)/X63,1),"")</f>
        <v/>
      </c>
      <c r="M63" s="139">
        <f>IF(Z63=1,K63+L63,"")</f>
        <v/>
      </c>
      <c r="N63" s="139">
        <f>IF(Z63=1,J63-K63,"")</f>
        <v/>
      </c>
      <c r="P63" s="151" t="n">
        <v>32</v>
      </c>
      <c r="Q63" s="151">
        <f>YEAR(EDATE(DATE(YEAR($B$14),MONTH($B$14),1),P63-1))</f>
        <v/>
      </c>
      <c r="R63" s="151">
        <f>MONTH(EDATE(DATE(YEAR($B$14),MONTH($B$14),1),P63-1))</f>
        <v/>
      </c>
      <c r="S63" s="151">
        <f>DAY(EOMONTH(DATE(Q63,R63,1),0))</f>
        <v/>
      </c>
      <c r="T63" s="151">
        <f>IFERROR(INDEX(법정공휴일!$B$4:$M$20,MATCH(Q63,법정공휴일!$A$4:$A$20,0),R63),0)</f>
        <v/>
      </c>
      <c r="U63" s="151">
        <f>INDEX(CHOOSE($D$7,'공기산정(1일작업량)'!$G$27:$R$27,'공기산정(1일작업량)'!$G$28:$R$28,'공기산정(1일작업량)'!$G$29:$R$29,'공기산정(1일작업량)'!$G$30:$R$30),1,R63)</f>
        <v/>
      </c>
      <c r="V63" s="151">
        <f>ROUND(U63*T63/DAY(EOMONTH(DATE(Q63,R63,1),0)),1)</f>
        <v/>
      </c>
      <c r="W63" s="151">
        <f>ROUND(MAX(U63+T63-V63,8),0)</f>
        <v/>
      </c>
      <c r="X63" s="151">
        <f>S63*(DAY(EOMONTH(DATE(Q63,R63,1),0))-W63)/DAY(EOMONTH(DATE(Q63,R63,1),0))</f>
        <v/>
      </c>
      <c r="Y63" s="151">
        <f>Y62+X62</f>
        <v/>
      </c>
      <c r="Z63" s="151">
        <f>IF(AND(ISNUMBER($B$9),$B$9&gt;Y63),1,0)</f>
        <v/>
      </c>
    </row>
    <row r="64">
      <c r="A64" s="139">
        <f>IF(Z64=1,P64,"")</f>
        <v/>
      </c>
      <c r="B64" s="139">
        <f>IF(Z64=1,Q64&amp;"년 "&amp;R64&amp;"월","")</f>
        <v/>
      </c>
      <c r="C64" s="139">
        <f>IF(Z64=1,S64,"")</f>
        <v/>
      </c>
      <c r="D64" s="139">
        <f>IF(Z64=1,T64,"")</f>
        <v/>
      </c>
      <c r="E64" s="139">
        <f>IF(Z64=1,U64,"")</f>
        <v/>
      </c>
      <c r="F64" s="139">
        <f>IF(Z64=1,V64,"")</f>
        <v/>
      </c>
      <c r="G64" s="139">
        <f>IF(Z64=1,ROUND(U64+T64-V64,1),"")</f>
        <v/>
      </c>
      <c r="H64" s="139">
        <f>IF(Z64=1,W64,"")</f>
        <v/>
      </c>
      <c r="I64" s="139">
        <f>IF(Z64=1,ROUND(X64,1),"")</f>
        <v/>
      </c>
      <c r="J64" s="139">
        <f>IF(Z64=1,$B$9-Y64,"")</f>
        <v/>
      </c>
      <c r="K64" s="139">
        <f>IF(Z64=1,MIN(X64,$B$9-Y64),"")</f>
        <v/>
      </c>
      <c r="L64" s="139">
        <f>IF(Z64=1,ROUND(W64*S64/DAY(EOMONTH(DATE(Q64,R64,1),0))*MIN(X64,$B$9-Y64)/X64,1),"")</f>
        <v/>
      </c>
      <c r="M64" s="139">
        <f>IF(Z64=1,K64+L64,"")</f>
        <v/>
      </c>
      <c r="N64" s="139">
        <f>IF(Z64=1,J64-K64,"")</f>
        <v/>
      </c>
      <c r="P64" s="151" t="n">
        <v>33</v>
      </c>
      <c r="Q64" s="151">
        <f>YEAR(EDATE(DATE(YEAR($B$14),MONTH($B$14),1),P64-1))</f>
        <v/>
      </c>
      <c r="R64" s="151">
        <f>MONTH(EDATE(DATE(YEAR($B$14),MONTH($B$14),1),P64-1))</f>
        <v/>
      </c>
      <c r="S64" s="151">
        <f>DAY(EOMONTH(DATE(Q64,R64,1),0))</f>
        <v/>
      </c>
      <c r="T64" s="151">
        <f>IFERROR(INDEX(법정공휴일!$B$4:$M$20,MATCH(Q64,법정공휴일!$A$4:$A$20,0),R64),0)</f>
        <v/>
      </c>
      <c r="U64" s="151">
        <f>INDEX(CHOOSE($D$7,'공기산정(1일작업량)'!$G$27:$R$27,'공기산정(1일작업량)'!$G$28:$R$28,'공기산정(1일작업량)'!$G$29:$R$29,'공기산정(1일작업량)'!$G$30:$R$30),1,R64)</f>
        <v/>
      </c>
      <c r="V64" s="151">
        <f>ROUND(U64*T64/DAY(EOMONTH(DATE(Q64,R64,1),0)),1)</f>
        <v/>
      </c>
      <c r="W64" s="151">
        <f>ROUND(MAX(U64+T64-V64,8),0)</f>
        <v/>
      </c>
      <c r="X64" s="151">
        <f>S64*(DAY(EOMONTH(DATE(Q64,R64,1),0))-W64)/DAY(EOMONTH(DATE(Q64,R64,1),0))</f>
        <v/>
      </c>
      <c r="Y64" s="151">
        <f>Y63+X63</f>
        <v/>
      </c>
      <c r="Z64" s="151">
        <f>IF(AND(ISNUMBER($B$9),$B$9&gt;Y64),1,0)</f>
        <v/>
      </c>
    </row>
    <row r="65">
      <c r="A65" s="139">
        <f>IF(Z65=1,P65,"")</f>
        <v/>
      </c>
      <c r="B65" s="139">
        <f>IF(Z65=1,Q65&amp;"년 "&amp;R65&amp;"월","")</f>
        <v/>
      </c>
      <c r="C65" s="139">
        <f>IF(Z65=1,S65,"")</f>
        <v/>
      </c>
      <c r="D65" s="139">
        <f>IF(Z65=1,T65,"")</f>
        <v/>
      </c>
      <c r="E65" s="139">
        <f>IF(Z65=1,U65,"")</f>
        <v/>
      </c>
      <c r="F65" s="139">
        <f>IF(Z65=1,V65,"")</f>
        <v/>
      </c>
      <c r="G65" s="139">
        <f>IF(Z65=1,ROUND(U65+T65-V65,1),"")</f>
        <v/>
      </c>
      <c r="H65" s="139">
        <f>IF(Z65=1,W65,"")</f>
        <v/>
      </c>
      <c r="I65" s="139">
        <f>IF(Z65=1,ROUND(X65,1),"")</f>
        <v/>
      </c>
      <c r="J65" s="139">
        <f>IF(Z65=1,$B$9-Y65,"")</f>
        <v/>
      </c>
      <c r="K65" s="139">
        <f>IF(Z65=1,MIN(X65,$B$9-Y65),"")</f>
        <v/>
      </c>
      <c r="L65" s="139">
        <f>IF(Z65=1,ROUND(W65*S65/DAY(EOMONTH(DATE(Q65,R65,1),0))*MIN(X65,$B$9-Y65)/X65,1),"")</f>
        <v/>
      </c>
      <c r="M65" s="139">
        <f>IF(Z65=1,K65+L65,"")</f>
        <v/>
      </c>
      <c r="N65" s="139">
        <f>IF(Z65=1,J65-K65,"")</f>
        <v/>
      </c>
      <c r="P65" s="151" t="n">
        <v>34</v>
      </c>
      <c r="Q65" s="151">
        <f>YEAR(EDATE(DATE(YEAR($B$14),MONTH($B$14),1),P65-1))</f>
        <v/>
      </c>
      <c r="R65" s="151">
        <f>MONTH(EDATE(DATE(YEAR($B$14),MONTH($B$14),1),P65-1))</f>
        <v/>
      </c>
      <c r="S65" s="151">
        <f>DAY(EOMONTH(DATE(Q65,R65,1),0))</f>
        <v/>
      </c>
      <c r="T65" s="151">
        <f>IFERROR(INDEX(법정공휴일!$B$4:$M$20,MATCH(Q65,법정공휴일!$A$4:$A$20,0),R65),0)</f>
        <v/>
      </c>
      <c r="U65" s="151">
        <f>INDEX(CHOOSE($D$7,'공기산정(1일작업량)'!$G$27:$R$27,'공기산정(1일작업량)'!$G$28:$R$28,'공기산정(1일작업량)'!$G$29:$R$29,'공기산정(1일작업량)'!$G$30:$R$30),1,R65)</f>
        <v/>
      </c>
      <c r="V65" s="151">
        <f>ROUND(U65*T65/DAY(EOMONTH(DATE(Q65,R65,1),0)),1)</f>
        <v/>
      </c>
      <c r="W65" s="151">
        <f>ROUND(MAX(U65+T65-V65,8),0)</f>
        <v/>
      </c>
      <c r="X65" s="151">
        <f>S65*(DAY(EOMONTH(DATE(Q65,R65,1),0))-W65)/DAY(EOMONTH(DATE(Q65,R65,1),0))</f>
        <v/>
      </c>
      <c r="Y65" s="151">
        <f>Y64+X64</f>
        <v/>
      </c>
      <c r="Z65" s="151">
        <f>IF(AND(ISNUMBER($B$9),$B$9&gt;Y65),1,0)</f>
        <v/>
      </c>
    </row>
    <row r="66">
      <c r="A66" s="139">
        <f>IF(Z66=1,P66,"")</f>
        <v/>
      </c>
      <c r="B66" s="139">
        <f>IF(Z66=1,Q66&amp;"년 "&amp;R66&amp;"월","")</f>
        <v/>
      </c>
      <c r="C66" s="139">
        <f>IF(Z66=1,S66,"")</f>
        <v/>
      </c>
      <c r="D66" s="139">
        <f>IF(Z66=1,T66,"")</f>
        <v/>
      </c>
      <c r="E66" s="139">
        <f>IF(Z66=1,U66,"")</f>
        <v/>
      </c>
      <c r="F66" s="139">
        <f>IF(Z66=1,V66,"")</f>
        <v/>
      </c>
      <c r="G66" s="139">
        <f>IF(Z66=1,ROUND(U66+T66-V66,1),"")</f>
        <v/>
      </c>
      <c r="H66" s="139">
        <f>IF(Z66=1,W66,"")</f>
        <v/>
      </c>
      <c r="I66" s="139">
        <f>IF(Z66=1,ROUND(X66,1),"")</f>
        <v/>
      </c>
      <c r="J66" s="139">
        <f>IF(Z66=1,$B$9-Y66,"")</f>
        <v/>
      </c>
      <c r="K66" s="139">
        <f>IF(Z66=1,MIN(X66,$B$9-Y66),"")</f>
        <v/>
      </c>
      <c r="L66" s="139">
        <f>IF(Z66=1,ROUND(W66*S66/DAY(EOMONTH(DATE(Q66,R66,1),0))*MIN(X66,$B$9-Y66)/X66,1),"")</f>
        <v/>
      </c>
      <c r="M66" s="139">
        <f>IF(Z66=1,K66+L66,"")</f>
        <v/>
      </c>
      <c r="N66" s="139">
        <f>IF(Z66=1,J66-K66,"")</f>
        <v/>
      </c>
      <c r="P66" s="151" t="n">
        <v>35</v>
      </c>
      <c r="Q66" s="151">
        <f>YEAR(EDATE(DATE(YEAR($B$14),MONTH($B$14),1),P66-1))</f>
        <v/>
      </c>
      <c r="R66" s="151">
        <f>MONTH(EDATE(DATE(YEAR($B$14),MONTH($B$14),1),P66-1))</f>
        <v/>
      </c>
      <c r="S66" s="151">
        <f>DAY(EOMONTH(DATE(Q66,R66,1),0))</f>
        <v/>
      </c>
      <c r="T66" s="151">
        <f>IFERROR(INDEX(법정공휴일!$B$4:$M$20,MATCH(Q66,법정공휴일!$A$4:$A$20,0),R66),0)</f>
        <v/>
      </c>
      <c r="U66" s="151">
        <f>INDEX(CHOOSE($D$7,'공기산정(1일작업량)'!$G$27:$R$27,'공기산정(1일작업량)'!$G$28:$R$28,'공기산정(1일작업량)'!$G$29:$R$29,'공기산정(1일작업량)'!$G$30:$R$30),1,R66)</f>
        <v/>
      </c>
      <c r="V66" s="151">
        <f>ROUND(U66*T66/DAY(EOMONTH(DATE(Q66,R66,1),0)),1)</f>
        <v/>
      </c>
      <c r="W66" s="151">
        <f>ROUND(MAX(U66+T66-V66,8),0)</f>
        <v/>
      </c>
      <c r="X66" s="151">
        <f>S66*(DAY(EOMONTH(DATE(Q66,R66,1),0))-W66)/DAY(EOMONTH(DATE(Q66,R66,1),0))</f>
        <v/>
      </c>
      <c r="Y66" s="151">
        <f>Y65+X65</f>
        <v/>
      </c>
      <c r="Z66" s="151">
        <f>IF(AND(ISNUMBER($B$9),$B$9&gt;Y66),1,0)</f>
        <v/>
      </c>
    </row>
    <row r="67">
      <c r="A67" s="139">
        <f>IF(Z67=1,P67,"")</f>
        <v/>
      </c>
      <c r="B67" s="139">
        <f>IF(Z67=1,Q67&amp;"년 "&amp;R67&amp;"월","")</f>
        <v/>
      </c>
      <c r="C67" s="139">
        <f>IF(Z67=1,S67,"")</f>
        <v/>
      </c>
      <c r="D67" s="139">
        <f>IF(Z67=1,T67,"")</f>
        <v/>
      </c>
      <c r="E67" s="139">
        <f>IF(Z67=1,U67,"")</f>
        <v/>
      </c>
      <c r="F67" s="139">
        <f>IF(Z67=1,V67,"")</f>
        <v/>
      </c>
      <c r="G67" s="139">
        <f>IF(Z67=1,ROUND(U67+T67-V67,1),"")</f>
        <v/>
      </c>
      <c r="H67" s="139">
        <f>IF(Z67=1,W67,"")</f>
        <v/>
      </c>
      <c r="I67" s="139">
        <f>IF(Z67=1,ROUND(X67,1),"")</f>
        <v/>
      </c>
      <c r="J67" s="139">
        <f>IF(Z67=1,$B$9-Y67,"")</f>
        <v/>
      </c>
      <c r="K67" s="139">
        <f>IF(Z67=1,MIN(X67,$B$9-Y67),"")</f>
        <v/>
      </c>
      <c r="L67" s="139">
        <f>IF(Z67=1,ROUND(W67*S67/DAY(EOMONTH(DATE(Q67,R67,1),0))*MIN(X67,$B$9-Y67)/X67,1),"")</f>
        <v/>
      </c>
      <c r="M67" s="139">
        <f>IF(Z67=1,K67+L67,"")</f>
        <v/>
      </c>
      <c r="N67" s="139">
        <f>IF(Z67=1,J67-K67,"")</f>
        <v/>
      </c>
      <c r="P67" s="151" t="n">
        <v>36</v>
      </c>
      <c r="Q67" s="151">
        <f>YEAR(EDATE(DATE(YEAR($B$14),MONTH($B$14),1),P67-1))</f>
        <v/>
      </c>
      <c r="R67" s="151">
        <f>MONTH(EDATE(DATE(YEAR($B$14),MONTH($B$14),1),P67-1))</f>
        <v/>
      </c>
      <c r="S67" s="151">
        <f>DAY(EOMONTH(DATE(Q67,R67,1),0))</f>
        <v/>
      </c>
      <c r="T67" s="151">
        <f>IFERROR(INDEX(법정공휴일!$B$4:$M$20,MATCH(Q67,법정공휴일!$A$4:$A$20,0),R67),0)</f>
        <v/>
      </c>
      <c r="U67" s="151">
        <f>INDEX(CHOOSE($D$7,'공기산정(1일작업량)'!$G$27:$R$27,'공기산정(1일작업량)'!$G$28:$R$28,'공기산정(1일작업량)'!$G$29:$R$29,'공기산정(1일작업량)'!$G$30:$R$30),1,R67)</f>
        <v/>
      </c>
      <c r="V67" s="151">
        <f>ROUND(U67*T67/DAY(EOMONTH(DATE(Q67,R67,1),0)),1)</f>
        <v/>
      </c>
      <c r="W67" s="151">
        <f>ROUND(MAX(U67+T67-V67,8),0)</f>
        <v/>
      </c>
      <c r="X67" s="151">
        <f>S67*(DAY(EOMONTH(DATE(Q67,R67,1),0))-W67)/DAY(EOMONTH(DATE(Q67,R67,1),0))</f>
        <v/>
      </c>
      <c r="Y67" s="151">
        <f>Y66+X66</f>
        <v/>
      </c>
      <c r="Z67" s="151">
        <f>IF(AND(ISNUMBER($B$9),$B$9&gt;Y67),1,0)</f>
        <v/>
      </c>
    </row>
    <row r="68">
      <c r="A68" s="139">
        <f>IF(Z68=1,P68,"")</f>
        <v/>
      </c>
      <c r="B68" s="139">
        <f>IF(Z68=1,Q68&amp;"년 "&amp;R68&amp;"월","")</f>
        <v/>
      </c>
      <c r="C68" s="139">
        <f>IF(Z68=1,S68,"")</f>
        <v/>
      </c>
      <c r="D68" s="139">
        <f>IF(Z68=1,T68,"")</f>
        <v/>
      </c>
      <c r="E68" s="139">
        <f>IF(Z68=1,U68,"")</f>
        <v/>
      </c>
      <c r="F68" s="139">
        <f>IF(Z68=1,V68,"")</f>
        <v/>
      </c>
      <c r="G68" s="139">
        <f>IF(Z68=1,ROUND(U68+T68-V68,1),"")</f>
        <v/>
      </c>
      <c r="H68" s="139">
        <f>IF(Z68=1,W68,"")</f>
        <v/>
      </c>
      <c r="I68" s="139">
        <f>IF(Z68=1,ROUND(X68,1),"")</f>
        <v/>
      </c>
      <c r="J68" s="139">
        <f>IF(Z68=1,$B$9-Y68,"")</f>
        <v/>
      </c>
      <c r="K68" s="139">
        <f>IF(Z68=1,MIN(X68,$B$9-Y68),"")</f>
        <v/>
      </c>
      <c r="L68" s="139">
        <f>IF(Z68=1,ROUND(W68*S68/DAY(EOMONTH(DATE(Q68,R68,1),0))*MIN(X68,$B$9-Y68)/X68,1),"")</f>
        <v/>
      </c>
      <c r="M68" s="139">
        <f>IF(Z68=1,K68+L68,"")</f>
        <v/>
      </c>
      <c r="N68" s="139">
        <f>IF(Z68=1,J68-K68,"")</f>
        <v/>
      </c>
      <c r="P68" s="151" t="n">
        <v>37</v>
      </c>
      <c r="Q68" s="151">
        <f>YEAR(EDATE(DATE(YEAR($B$14),MONTH($B$14),1),P68-1))</f>
        <v/>
      </c>
      <c r="R68" s="151">
        <f>MONTH(EDATE(DATE(YEAR($B$14),MONTH($B$14),1),P68-1))</f>
        <v/>
      </c>
      <c r="S68" s="151">
        <f>DAY(EOMONTH(DATE(Q68,R68,1),0))</f>
        <v/>
      </c>
      <c r="T68" s="151">
        <f>IFERROR(INDEX(법정공휴일!$B$4:$M$20,MATCH(Q68,법정공휴일!$A$4:$A$20,0),R68),0)</f>
        <v/>
      </c>
      <c r="U68" s="151">
        <f>INDEX(CHOOSE($D$7,'공기산정(1일작업량)'!$G$27:$R$27,'공기산정(1일작업량)'!$G$28:$R$28,'공기산정(1일작업량)'!$G$29:$R$29,'공기산정(1일작업량)'!$G$30:$R$30),1,R68)</f>
        <v/>
      </c>
      <c r="V68" s="151">
        <f>ROUND(U68*T68/DAY(EOMONTH(DATE(Q68,R68,1),0)),1)</f>
        <v/>
      </c>
      <c r="W68" s="151">
        <f>ROUND(MAX(U68+T68-V68,8),0)</f>
        <v/>
      </c>
      <c r="X68" s="151">
        <f>S68*(DAY(EOMONTH(DATE(Q68,R68,1),0))-W68)/DAY(EOMONTH(DATE(Q68,R68,1),0))</f>
        <v/>
      </c>
      <c r="Y68" s="151">
        <f>Y67+X67</f>
        <v/>
      </c>
      <c r="Z68" s="151">
        <f>IF(AND(ISNUMBER($B$9),$B$9&gt;Y68),1,0)</f>
        <v/>
      </c>
    </row>
    <row r="69">
      <c r="A69" s="139">
        <f>IF(Z69=1,P69,"")</f>
        <v/>
      </c>
      <c r="B69" s="139">
        <f>IF(Z69=1,Q69&amp;"년 "&amp;R69&amp;"월","")</f>
        <v/>
      </c>
      <c r="C69" s="139">
        <f>IF(Z69=1,S69,"")</f>
        <v/>
      </c>
      <c r="D69" s="139">
        <f>IF(Z69=1,T69,"")</f>
        <v/>
      </c>
      <c r="E69" s="139">
        <f>IF(Z69=1,U69,"")</f>
        <v/>
      </c>
      <c r="F69" s="139">
        <f>IF(Z69=1,V69,"")</f>
        <v/>
      </c>
      <c r="G69" s="139">
        <f>IF(Z69=1,ROUND(U69+T69-V69,1),"")</f>
        <v/>
      </c>
      <c r="H69" s="139">
        <f>IF(Z69=1,W69,"")</f>
        <v/>
      </c>
      <c r="I69" s="139">
        <f>IF(Z69=1,ROUND(X69,1),"")</f>
        <v/>
      </c>
      <c r="J69" s="139">
        <f>IF(Z69=1,$B$9-Y69,"")</f>
        <v/>
      </c>
      <c r="K69" s="139">
        <f>IF(Z69=1,MIN(X69,$B$9-Y69),"")</f>
        <v/>
      </c>
      <c r="L69" s="139">
        <f>IF(Z69=1,ROUND(W69*S69/DAY(EOMONTH(DATE(Q69,R69,1),0))*MIN(X69,$B$9-Y69)/X69,1),"")</f>
        <v/>
      </c>
      <c r="M69" s="139">
        <f>IF(Z69=1,K69+L69,"")</f>
        <v/>
      </c>
      <c r="N69" s="139">
        <f>IF(Z69=1,J69-K69,"")</f>
        <v/>
      </c>
      <c r="P69" s="151" t="n">
        <v>38</v>
      </c>
      <c r="Q69" s="151">
        <f>YEAR(EDATE(DATE(YEAR($B$14),MONTH($B$14),1),P69-1))</f>
        <v/>
      </c>
      <c r="R69" s="151">
        <f>MONTH(EDATE(DATE(YEAR($B$14),MONTH($B$14),1),P69-1))</f>
        <v/>
      </c>
      <c r="S69" s="151">
        <f>DAY(EOMONTH(DATE(Q69,R69,1),0))</f>
        <v/>
      </c>
      <c r="T69" s="151">
        <f>IFERROR(INDEX(법정공휴일!$B$4:$M$20,MATCH(Q69,법정공휴일!$A$4:$A$20,0),R69),0)</f>
        <v/>
      </c>
      <c r="U69" s="151">
        <f>INDEX(CHOOSE($D$7,'공기산정(1일작업량)'!$G$27:$R$27,'공기산정(1일작업량)'!$G$28:$R$28,'공기산정(1일작업량)'!$G$29:$R$29,'공기산정(1일작업량)'!$G$30:$R$30),1,R69)</f>
        <v/>
      </c>
      <c r="V69" s="151">
        <f>ROUND(U69*T69/DAY(EOMONTH(DATE(Q69,R69,1),0)),1)</f>
        <v/>
      </c>
      <c r="W69" s="151">
        <f>ROUND(MAX(U69+T69-V69,8),0)</f>
        <v/>
      </c>
      <c r="X69" s="151">
        <f>S69*(DAY(EOMONTH(DATE(Q69,R69,1),0))-W69)/DAY(EOMONTH(DATE(Q69,R69,1),0))</f>
        <v/>
      </c>
      <c r="Y69" s="151">
        <f>Y68+X68</f>
        <v/>
      </c>
      <c r="Z69" s="151">
        <f>IF(AND(ISNUMBER($B$9),$B$9&gt;Y69),1,0)</f>
        <v/>
      </c>
    </row>
    <row r="70">
      <c r="A70" s="139">
        <f>IF(Z70=1,P70,"")</f>
        <v/>
      </c>
      <c r="B70" s="139">
        <f>IF(Z70=1,Q70&amp;"년 "&amp;R70&amp;"월","")</f>
        <v/>
      </c>
      <c r="C70" s="139">
        <f>IF(Z70=1,S70,"")</f>
        <v/>
      </c>
      <c r="D70" s="139">
        <f>IF(Z70=1,T70,"")</f>
        <v/>
      </c>
      <c r="E70" s="139">
        <f>IF(Z70=1,U70,"")</f>
        <v/>
      </c>
      <c r="F70" s="139">
        <f>IF(Z70=1,V70,"")</f>
        <v/>
      </c>
      <c r="G70" s="139">
        <f>IF(Z70=1,ROUND(U70+T70-V70,1),"")</f>
        <v/>
      </c>
      <c r="H70" s="139">
        <f>IF(Z70=1,W70,"")</f>
        <v/>
      </c>
      <c r="I70" s="139">
        <f>IF(Z70=1,ROUND(X70,1),"")</f>
        <v/>
      </c>
      <c r="J70" s="139">
        <f>IF(Z70=1,$B$9-Y70,"")</f>
        <v/>
      </c>
      <c r="K70" s="139">
        <f>IF(Z70=1,MIN(X70,$B$9-Y70),"")</f>
        <v/>
      </c>
      <c r="L70" s="139">
        <f>IF(Z70=1,ROUND(W70*S70/DAY(EOMONTH(DATE(Q70,R70,1),0))*MIN(X70,$B$9-Y70)/X70,1),"")</f>
        <v/>
      </c>
      <c r="M70" s="139">
        <f>IF(Z70=1,K70+L70,"")</f>
        <v/>
      </c>
      <c r="N70" s="139">
        <f>IF(Z70=1,J70-K70,"")</f>
        <v/>
      </c>
      <c r="P70" s="151" t="n">
        <v>39</v>
      </c>
      <c r="Q70" s="151">
        <f>YEAR(EDATE(DATE(YEAR($B$14),MONTH($B$14),1),P70-1))</f>
        <v/>
      </c>
      <c r="R70" s="151">
        <f>MONTH(EDATE(DATE(YEAR($B$14),MONTH($B$14),1),P70-1))</f>
        <v/>
      </c>
      <c r="S70" s="151">
        <f>DAY(EOMONTH(DATE(Q70,R70,1),0))</f>
        <v/>
      </c>
      <c r="T70" s="151">
        <f>IFERROR(INDEX(법정공휴일!$B$4:$M$20,MATCH(Q70,법정공휴일!$A$4:$A$20,0),R70),0)</f>
        <v/>
      </c>
      <c r="U70" s="151">
        <f>INDEX(CHOOSE($D$7,'공기산정(1일작업량)'!$G$27:$R$27,'공기산정(1일작업량)'!$G$28:$R$28,'공기산정(1일작업량)'!$G$29:$R$29,'공기산정(1일작업량)'!$G$30:$R$30),1,R70)</f>
        <v/>
      </c>
      <c r="V70" s="151">
        <f>ROUND(U70*T70/DAY(EOMONTH(DATE(Q70,R70,1),0)),1)</f>
        <v/>
      </c>
      <c r="W70" s="151">
        <f>ROUND(MAX(U70+T70-V70,8),0)</f>
        <v/>
      </c>
      <c r="X70" s="151">
        <f>S70*(DAY(EOMONTH(DATE(Q70,R70,1),0))-W70)/DAY(EOMONTH(DATE(Q70,R70,1),0))</f>
        <v/>
      </c>
      <c r="Y70" s="151">
        <f>Y69+X69</f>
        <v/>
      </c>
      <c r="Z70" s="151">
        <f>IF(AND(ISNUMBER($B$9),$B$9&gt;Y70),1,0)</f>
        <v/>
      </c>
    </row>
    <row r="71">
      <c r="A71" s="139">
        <f>IF(Z71=1,P71,"")</f>
        <v/>
      </c>
      <c r="B71" s="139">
        <f>IF(Z71=1,Q71&amp;"년 "&amp;R71&amp;"월","")</f>
        <v/>
      </c>
      <c r="C71" s="139">
        <f>IF(Z71=1,S71,"")</f>
        <v/>
      </c>
      <c r="D71" s="139">
        <f>IF(Z71=1,T71,"")</f>
        <v/>
      </c>
      <c r="E71" s="139">
        <f>IF(Z71=1,U71,"")</f>
        <v/>
      </c>
      <c r="F71" s="139">
        <f>IF(Z71=1,V71,"")</f>
        <v/>
      </c>
      <c r="G71" s="139">
        <f>IF(Z71=1,ROUND(U71+T71-V71,1),"")</f>
        <v/>
      </c>
      <c r="H71" s="139">
        <f>IF(Z71=1,W71,"")</f>
        <v/>
      </c>
      <c r="I71" s="139">
        <f>IF(Z71=1,ROUND(X71,1),"")</f>
        <v/>
      </c>
      <c r="J71" s="139">
        <f>IF(Z71=1,$B$9-Y71,"")</f>
        <v/>
      </c>
      <c r="K71" s="139">
        <f>IF(Z71=1,MIN(X71,$B$9-Y71),"")</f>
        <v/>
      </c>
      <c r="L71" s="139">
        <f>IF(Z71=1,ROUND(W71*S71/DAY(EOMONTH(DATE(Q71,R71,1),0))*MIN(X71,$B$9-Y71)/X71,1),"")</f>
        <v/>
      </c>
      <c r="M71" s="139">
        <f>IF(Z71=1,K71+L71,"")</f>
        <v/>
      </c>
      <c r="N71" s="139">
        <f>IF(Z71=1,J71-K71,"")</f>
        <v/>
      </c>
      <c r="P71" s="151" t="n">
        <v>40</v>
      </c>
      <c r="Q71" s="151">
        <f>YEAR(EDATE(DATE(YEAR($B$14),MONTH($B$14),1),P71-1))</f>
        <v/>
      </c>
      <c r="R71" s="151">
        <f>MONTH(EDATE(DATE(YEAR($B$14),MONTH($B$14),1),P71-1))</f>
        <v/>
      </c>
      <c r="S71" s="151">
        <f>DAY(EOMONTH(DATE(Q71,R71,1),0))</f>
        <v/>
      </c>
      <c r="T71" s="151">
        <f>IFERROR(INDEX(법정공휴일!$B$4:$M$20,MATCH(Q71,법정공휴일!$A$4:$A$20,0),R71),0)</f>
        <v/>
      </c>
      <c r="U71" s="151">
        <f>INDEX(CHOOSE($D$7,'공기산정(1일작업량)'!$G$27:$R$27,'공기산정(1일작업량)'!$G$28:$R$28,'공기산정(1일작업량)'!$G$29:$R$29,'공기산정(1일작업량)'!$G$30:$R$30),1,R71)</f>
        <v/>
      </c>
      <c r="V71" s="151">
        <f>ROUND(U71*T71/DAY(EOMONTH(DATE(Q71,R71,1),0)),1)</f>
        <v/>
      </c>
      <c r="W71" s="151">
        <f>ROUND(MAX(U71+T71-V71,8),0)</f>
        <v/>
      </c>
      <c r="X71" s="151">
        <f>S71*(DAY(EOMONTH(DATE(Q71,R71,1),0))-W71)/DAY(EOMONTH(DATE(Q71,R71,1),0))</f>
        <v/>
      </c>
      <c r="Y71" s="151">
        <f>Y70+X70</f>
        <v/>
      </c>
      <c r="Z71" s="151">
        <f>IF(AND(ISNUMBER($B$9),$B$9&gt;Y71),1,0)</f>
        <v/>
      </c>
    </row>
    <row r="72">
      <c r="A72" s="139">
        <f>IF(Z72=1,P72,"")</f>
        <v/>
      </c>
      <c r="B72" s="139">
        <f>IF(Z72=1,Q72&amp;"년 "&amp;R72&amp;"월","")</f>
        <v/>
      </c>
      <c r="C72" s="139">
        <f>IF(Z72=1,S72,"")</f>
        <v/>
      </c>
      <c r="D72" s="139">
        <f>IF(Z72=1,T72,"")</f>
        <v/>
      </c>
      <c r="E72" s="139">
        <f>IF(Z72=1,U72,"")</f>
        <v/>
      </c>
      <c r="F72" s="139">
        <f>IF(Z72=1,V72,"")</f>
        <v/>
      </c>
      <c r="G72" s="139">
        <f>IF(Z72=1,ROUND(U72+T72-V72,1),"")</f>
        <v/>
      </c>
      <c r="H72" s="139">
        <f>IF(Z72=1,W72,"")</f>
        <v/>
      </c>
      <c r="I72" s="139">
        <f>IF(Z72=1,ROUND(X72,1),"")</f>
        <v/>
      </c>
      <c r="J72" s="139">
        <f>IF(Z72=1,$B$9-Y72,"")</f>
        <v/>
      </c>
      <c r="K72" s="139">
        <f>IF(Z72=1,MIN(X72,$B$9-Y72),"")</f>
        <v/>
      </c>
      <c r="L72" s="139">
        <f>IF(Z72=1,ROUND(W72*S72/DAY(EOMONTH(DATE(Q72,R72,1),0))*MIN(X72,$B$9-Y72)/X72,1),"")</f>
        <v/>
      </c>
      <c r="M72" s="139">
        <f>IF(Z72=1,K72+L72,"")</f>
        <v/>
      </c>
      <c r="N72" s="139">
        <f>IF(Z72=1,J72-K72,"")</f>
        <v/>
      </c>
      <c r="P72" s="151" t="n">
        <v>41</v>
      </c>
      <c r="Q72" s="151">
        <f>YEAR(EDATE(DATE(YEAR($B$14),MONTH($B$14),1),P72-1))</f>
        <v/>
      </c>
      <c r="R72" s="151">
        <f>MONTH(EDATE(DATE(YEAR($B$14),MONTH($B$14),1),P72-1))</f>
        <v/>
      </c>
      <c r="S72" s="151">
        <f>DAY(EOMONTH(DATE(Q72,R72,1),0))</f>
        <v/>
      </c>
      <c r="T72" s="151">
        <f>IFERROR(INDEX(법정공휴일!$B$4:$M$20,MATCH(Q72,법정공휴일!$A$4:$A$20,0),R72),0)</f>
        <v/>
      </c>
      <c r="U72" s="151">
        <f>INDEX(CHOOSE($D$7,'공기산정(1일작업량)'!$G$27:$R$27,'공기산정(1일작업량)'!$G$28:$R$28,'공기산정(1일작업량)'!$G$29:$R$29,'공기산정(1일작업량)'!$G$30:$R$30),1,R72)</f>
        <v/>
      </c>
      <c r="V72" s="151">
        <f>ROUND(U72*T72/DAY(EOMONTH(DATE(Q72,R72,1),0)),1)</f>
        <v/>
      </c>
      <c r="W72" s="151">
        <f>ROUND(MAX(U72+T72-V72,8),0)</f>
        <v/>
      </c>
      <c r="X72" s="151">
        <f>S72*(DAY(EOMONTH(DATE(Q72,R72,1),0))-W72)/DAY(EOMONTH(DATE(Q72,R72,1),0))</f>
        <v/>
      </c>
      <c r="Y72" s="151">
        <f>Y71+X71</f>
        <v/>
      </c>
      <c r="Z72" s="151">
        <f>IF(AND(ISNUMBER($B$9),$B$9&gt;Y72),1,0)</f>
        <v/>
      </c>
    </row>
    <row r="73">
      <c r="A73" s="139">
        <f>IF(Z73=1,P73,"")</f>
        <v/>
      </c>
      <c r="B73" s="139">
        <f>IF(Z73=1,Q73&amp;"년 "&amp;R73&amp;"월","")</f>
        <v/>
      </c>
      <c r="C73" s="139">
        <f>IF(Z73=1,S73,"")</f>
        <v/>
      </c>
      <c r="D73" s="139">
        <f>IF(Z73=1,T73,"")</f>
        <v/>
      </c>
      <c r="E73" s="139">
        <f>IF(Z73=1,U73,"")</f>
        <v/>
      </c>
      <c r="F73" s="139">
        <f>IF(Z73=1,V73,"")</f>
        <v/>
      </c>
      <c r="G73" s="139">
        <f>IF(Z73=1,ROUND(U73+T73-V73,1),"")</f>
        <v/>
      </c>
      <c r="H73" s="139">
        <f>IF(Z73=1,W73,"")</f>
        <v/>
      </c>
      <c r="I73" s="139">
        <f>IF(Z73=1,ROUND(X73,1),"")</f>
        <v/>
      </c>
      <c r="J73" s="139">
        <f>IF(Z73=1,$B$9-Y73,"")</f>
        <v/>
      </c>
      <c r="K73" s="139">
        <f>IF(Z73=1,MIN(X73,$B$9-Y73),"")</f>
        <v/>
      </c>
      <c r="L73" s="139">
        <f>IF(Z73=1,ROUND(W73*S73/DAY(EOMONTH(DATE(Q73,R73,1),0))*MIN(X73,$B$9-Y73)/X73,1),"")</f>
        <v/>
      </c>
      <c r="M73" s="139">
        <f>IF(Z73=1,K73+L73,"")</f>
        <v/>
      </c>
      <c r="N73" s="139">
        <f>IF(Z73=1,J73-K73,"")</f>
        <v/>
      </c>
      <c r="P73" s="151" t="n">
        <v>42</v>
      </c>
      <c r="Q73" s="151">
        <f>YEAR(EDATE(DATE(YEAR($B$14),MONTH($B$14),1),P73-1))</f>
        <v/>
      </c>
      <c r="R73" s="151">
        <f>MONTH(EDATE(DATE(YEAR($B$14),MONTH($B$14),1),P73-1))</f>
        <v/>
      </c>
      <c r="S73" s="151">
        <f>DAY(EOMONTH(DATE(Q73,R73,1),0))</f>
        <v/>
      </c>
      <c r="T73" s="151">
        <f>IFERROR(INDEX(법정공휴일!$B$4:$M$20,MATCH(Q73,법정공휴일!$A$4:$A$20,0),R73),0)</f>
        <v/>
      </c>
      <c r="U73" s="151">
        <f>INDEX(CHOOSE($D$7,'공기산정(1일작업량)'!$G$27:$R$27,'공기산정(1일작업량)'!$G$28:$R$28,'공기산정(1일작업량)'!$G$29:$R$29,'공기산정(1일작업량)'!$G$30:$R$30),1,R73)</f>
        <v/>
      </c>
      <c r="V73" s="151">
        <f>ROUND(U73*T73/DAY(EOMONTH(DATE(Q73,R73,1),0)),1)</f>
        <v/>
      </c>
      <c r="W73" s="151">
        <f>ROUND(MAX(U73+T73-V73,8),0)</f>
        <v/>
      </c>
      <c r="X73" s="151">
        <f>S73*(DAY(EOMONTH(DATE(Q73,R73,1),0))-W73)/DAY(EOMONTH(DATE(Q73,R73,1),0))</f>
        <v/>
      </c>
      <c r="Y73" s="151">
        <f>Y72+X72</f>
        <v/>
      </c>
      <c r="Z73" s="151">
        <f>IF(AND(ISNUMBER($B$9),$B$9&gt;Y73),1,0)</f>
        <v/>
      </c>
    </row>
    <row r="74">
      <c r="A74" s="139">
        <f>IF(Z74=1,P74,"")</f>
        <v/>
      </c>
      <c r="B74" s="139">
        <f>IF(Z74=1,Q74&amp;"년 "&amp;R74&amp;"월","")</f>
        <v/>
      </c>
      <c r="C74" s="139">
        <f>IF(Z74=1,S74,"")</f>
        <v/>
      </c>
      <c r="D74" s="139">
        <f>IF(Z74=1,T74,"")</f>
        <v/>
      </c>
      <c r="E74" s="139">
        <f>IF(Z74=1,U74,"")</f>
        <v/>
      </c>
      <c r="F74" s="139">
        <f>IF(Z74=1,V74,"")</f>
        <v/>
      </c>
      <c r="G74" s="139">
        <f>IF(Z74=1,ROUND(U74+T74-V74,1),"")</f>
        <v/>
      </c>
      <c r="H74" s="139">
        <f>IF(Z74=1,W74,"")</f>
        <v/>
      </c>
      <c r="I74" s="139">
        <f>IF(Z74=1,ROUND(X74,1),"")</f>
        <v/>
      </c>
      <c r="J74" s="139">
        <f>IF(Z74=1,$B$9-Y74,"")</f>
        <v/>
      </c>
      <c r="K74" s="139">
        <f>IF(Z74=1,MIN(X74,$B$9-Y74),"")</f>
        <v/>
      </c>
      <c r="L74" s="139">
        <f>IF(Z74=1,ROUND(W74*S74/DAY(EOMONTH(DATE(Q74,R74,1),0))*MIN(X74,$B$9-Y74)/X74,1),"")</f>
        <v/>
      </c>
      <c r="M74" s="139">
        <f>IF(Z74=1,K74+L74,"")</f>
        <v/>
      </c>
      <c r="N74" s="139">
        <f>IF(Z74=1,J74-K74,"")</f>
        <v/>
      </c>
      <c r="P74" s="151" t="n">
        <v>43</v>
      </c>
      <c r="Q74" s="151">
        <f>YEAR(EDATE(DATE(YEAR($B$14),MONTH($B$14),1),P74-1))</f>
        <v/>
      </c>
      <c r="R74" s="151">
        <f>MONTH(EDATE(DATE(YEAR($B$14),MONTH($B$14),1),P74-1))</f>
        <v/>
      </c>
      <c r="S74" s="151">
        <f>DAY(EOMONTH(DATE(Q74,R74,1),0))</f>
        <v/>
      </c>
      <c r="T74" s="151">
        <f>IFERROR(INDEX(법정공휴일!$B$4:$M$20,MATCH(Q74,법정공휴일!$A$4:$A$20,0),R74),0)</f>
        <v/>
      </c>
      <c r="U74" s="151">
        <f>INDEX(CHOOSE($D$7,'공기산정(1일작업량)'!$G$27:$R$27,'공기산정(1일작업량)'!$G$28:$R$28,'공기산정(1일작업량)'!$G$29:$R$29,'공기산정(1일작업량)'!$G$30:$R$30),1,R74)</f>
        <v/>
      </c>
      <c r="V74" s="151">
        <f>ROUND(U74*T74/DAY(EOMONTH(DATE(Q74,R74,1),0)),1)</f>
        <v/>
      </c>
      <c r="W74" s="151">
        <f>ROUND(MAX(U74+T74-V74,8),0)</f>
        <v/>
      </c>
      <c r="X74" s="151">
        <f>S74*(DAY(EOMONTH(DATE(Q74,R74,1),0))-W74)/DAY(EOMONTH(DATE(Q74,R74,1),0))</f>
        <v/>
      </c>
      <c r="Y74" s="151">
        <f>Y73+X73</f>
        <v/>
      </c>
      <c r="Z74" s="151">
        <f>IF(AND(ISNUMBER($B$9),$B$9&gt;Y74),1,0)</f>
        <v/>
      </c>
    </row>
    <row r="75">
      <c r="A75" s="139">
        <f>IF(Z75=1,P75,"")</f>
        <v/>
      </c>
      <c r="B75" s="139">
        <f>IF(Z75=1,Q75&amp;"년 "&amp;R75&amp;"월","")</f>
        <v/>
      </c>
      <c r="C75" s="139">
        <f>IF(Z75=1,S75,"")</f>
        <v/>
      </c>
      <c r="D75" s="139">
        <f>IF(Z75=1,T75,"")</f>
        <v/>
      </c>
      <c r="E75" s="139">
        <f>IF(Z75=1,U75,"")</f>
        <v/>
      </c>
      <c r="F75" s="139">
        <f>IF(Z75=1,V75,"")</f>
        <v/>
      </c>
      <c r="G75" s="139">
        <f>IF(Z75=1,ROUND(U75+T75-V75,1),"")</f>
        <v/>
      </c>
      <c r="H75" s="139">
        <f>IF(Z75=1,W75,"")</f>
        <v/>
      </c>
      <c r="I75" s="139">
        <f>IF(Z75=1,ROUND(X75,1),"")</f>
        <v/>
      </c>
      <c r="J75" s="139">
        <f>IF(Z75=1,$B$9-Y75,"")</f>
        <v/>
      </c>
      <c r="K75" s="139">
        <f>IF(Z75=1,MIN(X75,$B$9-Y75),"")</f>
        <v/>
      </c>
      <c r="L75" s="139">
        <f>IF(Z75=1,ROUND(W75*S75/DAY(EOMONTH(DATE(Q75,R75,1),0))*MIN(X75,$B$9-Y75)/X75,1),"")</f>
        <v/>
      </c>
      <c r="M75" s="139">
        <f>IF(Z75=1,K75+L75,"")</f>
        <v/>
      </c>
      <c r="N75" s="139">
        <f>IF(Z75=1,J75-K75,"")</f>
        <v/>
      </c>
      <c r="P75" s="151" t="n">
        <v>44</v>
      </c>
      <c r="Q75" s="151">
        <f>YEAR(EDATE(DATE(YEAR($B$14),MONTH($B$14),1),P75-1))</f>
        <v/>
      </c>
      <c r="R75" s="151">
        <f>MONTH(EDATE(DATE(YEAR($B$14),MONTH($B$14),1),P75-1))</f>
        <v/>
      </c>
      <c r="S75" s="151">
        <f>DAY(EOMONTH(DATE(Q75,R75,1),0))</f>
        <v/>
      </c>
      <c r="T75" s="151">
        <f>IFERROR(INDEX(법정공휴일!$B$4:$M$20,MATCH(Q75,법정공휴일!$A$4:$A$20,0),R75),0)</f>
        <v/>
      </c>
      <c r="U75" s="151">
        <f>INDEX(CHOOSE($D$7,'공기산정(1일작업량)'!$G$27:$R$27,'공기산정(1일작업량)'!$G$28:$R$28,'공기산정(1일작업량)'!$G$29:$R$29,'공기산정(1일작업량)'!$G$30:$R$30),1,R75)</f>
        <v/>
      </c>
      <c r="V75" s="151">
        <f>ROUND(U75*T75/DAY(EOMONTH(DATE(Q75,R75,1),0)),1)</f>
        <v/>
      </c>
      <c r="W75" s="151">
        <f>ROUND(MAX(U75+T75-V75,8),0)</f>
        <v/>
      </c>
      <c r="X75" s="151">
        <f>S75*(DAY(EOMONTH(DATE(Q75,R75,1),0))-W75)/DAY(EOMONTH(DATE(Q75,R75,1),0))</f>
        <v/>
      </c>
      <c r="Y75" s="151">
        <f>Y74+X74</f>
        <v/>
      </c>
      <c r="Z75" s="151">
        <f>IF(AND(ISNUMBER($B$9),$B$9&gt;Y75),1,0)</f>
        <v/>
      </c>
    </row>
    <row r="76">
      <c r="A76" s="139">
        <f>IF(Z76=1,P76,"")</f>
        <v/>
      </c>
      <c r="B76" s="139">
        <f>IF(Z76=1,Q76&amp;"년 "&amp;R76&amp;"월","")</f>
        <v/>
      </c>
      <c r="C76" s="139">
        <f>IF(Z76=1,S76,"")</f>
        <v/>
      </c>
      <c r="D76" s="139">
        <f>IF(Z76=1,T76,"")</f>
        <v/>
      </c>
      <c r="E76" s="139">
        <f>IF(Z76=1,U76,"")</f>
        <v/>
      </c>
      <c r="F76" s="139">
        <f>IF(Z76=1,V76,"")</f>
        <v/>
      </c>
      <c r="G76" s="139">
        <f>IF(Z76=1,ROUND(U76+T76-V76,1),"")</f>
        <v/>
      </c>
      <c r="H76" s="139">
        <f>IF(Z76=1,W76,"")</f>
        <v/>
      </c>
      <c r="I76" s="139">
        <f>IF(Z76=1,ROUND(X76,1),"")</f>
        <v/>
      </c>
      <c r="J76" s="139">
        <f>IF(Z76=1,$B$9-Y76,"")</f>
        <v/>
      </c>
      <c r="K76" s="139">
        <f>IF(Z76=1,MIN(X76,$B$9-Y76),"")</f>
        <v/>
      </c>
      <c r="L76" s="139">
        <f>IF(Z76=1,ROUND(W76*S76/DAY(EOMONTH(DATE(Q76,R76,1),0))*MIN(X76,$B$9-Y76)/X76,1),"")</f>
        <v/>
      </c>
      <c r="M76" s="139">
        <f>IF(Z76=1,K76+L76,"")</f>
        <v/>
      </c>
      <c r="N76" s="139">
        <f>IF(Z76=1,J76-K76,"")</f>
        <v/>
      </c>
      <c r="P76" s="151" t="n">
        <v>45</v>
      </c>
      <c r="Q76" s="151">
        <f>YEAR(EDATE(DATE(YEAR($B$14),MONTH($B$14),1),P76-1))</f>
        <v/>
      </c>
      <c r="R76" s="151">
        <f>MONTH(EDATE(DATE(YEAR($B$14),MONTH($B$14),1),P76-1))</f>
        <v/>
      </c>
      <c r="S76" s="151">
        <f>DAY(EOMONTH(DATE(Q76,R76,1),0))</f>
        <v/>
      </c>
      <c r="T76" s="151">
        <f>IFERROR(INDEX(법정공휴일!$B$4:$M$20,MATCH(Q76,법정공휴일!$A$4:$A$20,0),R76),0)</f>
        <v/>
      </c>
      <c r="U76" s="151">
        <f>INDEX(CHOOSE($D$7,'공기산정(1일작업량)'!$G$27:$R$27,'공기산정(1일작업량)'!$G$28:$R$28,'공기산정(1일작업량)'!$G$29:$R$29,'공기산정(1일작업량)'!$G$30:$R$30),1,R76)</f>
        <v/>
      </c>
      <c r="V76" s="151">
        <f>ROUND(U76*T76/DAY(EOMONTH(DATE(Q76,R76,1),0)),1)</f>
        <v/>
      </c>
      <c r="W76" s="151">
        <f>ROUND(MAX(U76+T76-V76,8),0)</f>
        <v/>
      </c>
      <c r="X76" s="151">
        <f>S76*(DAY(EOMONTH(DATE(Q76,R76,1),0))-W76)/DAY(EOMONTH(DATE(Q76,R76,1),0))</f>
        <v/>
      </c>
      <c r="Y76" s="151">
        <f>Y75+X75</f>
        <v/>
      </c>
      <c r="Z76" s="151">
        <f>IF(AND(ISNUMBER($B$9),$B$9&gt;Y76),1,0)</f>
        <v/>
      </c>
    </row>
    <row r="77">
      <c r="A77" s="139">
        <f>IF(Z77=1,P77,"")</f>
        <v/>
      </c>
      <c r="B77" s="139">
        <f>IF(Z77=1,Q77&amp;"년 "&amp;R77&amp;"월","")</f>
        <v/>
      </c>
      <c r="C77" s="139">
        <f>IF(Z77=1,S77,"")</f>
        <v/>
      </c>
      <c r="D77" s="139">
        <f>IF(Z77=1,T77,"")</f>
        <v/>
      </c>
      <c r="E77" s="139">
        <f>IF(Z77=1,U77,"")</f>
        <v/>
      </c>
      <c r="F77" s="139">
        <f>IF(Z77=1,V77,"")</f>
        <v/>
      </c>
      <c r="G77" s="139">
        <f>IF(Z77=1,ROUND(U77+T77-V77,1),"")</f>
        <v/>
      </c>
      <c r="H77" s="139">
        <f>IF(Z77=1,W77,"")</f>
        <v/>
      </c>
      <c r="I77" s="139">
        <f>IF(Z77=1,ROUND(X77,1),"")</f>
        <v/>
      </c>
      <c r="J77" s="139">
        <f>IF(Z77=1,$B$9-Y77,"")</f>
        <v/>
      </c>
      <c r="K77" s="139">
        <f>IF(Z77=1,MIN(X77,$B$9-Y77),"")</f>
        <v/>
      </c>
      <c r="L77" s="139">
        <f>IF(Z77=1,ROUND(W77*S77/DAY(EOMONTH(DATE(Q77,R77,1),0))*MIN(X77,$B$9-Y77)/X77,1),"")</f>
        <v/>
      </c>
      <c r="M77" s="139">
        <f>IF(Z77=1,K77+L77,"")</f>
        <v/>
      </c>
      <c r="N77" s="139">
        <f>IF(Z77=1,J77-K77,"")</f>
        <v/>
      </c>
      <c r="P77" s="151" t="n">
        <v>46</v>
      </c>
      <c r="Q77" s="151">
        <f>YEAR(EDATE(DATE(YEAR($B$14),MONTH($B$14),1),P77-1))</f>
        <v/>
      </c>
      <c r="R77" s="151">
        <f>MONTH(EDATE(DATE(YEAR($B$14),MONTH($B$14),1),P77-1))</f>
        <v/>
      </c>
      <c r="S77" s="151">
        <f>DAY(EOMONTH(DATE(Q77,R77,1),0))</f>
        <v/>
      </c>
      <c r="T77" s="151">
        <f>IFERROR(INDEX(법정공휴일!$B$4:$M$20,MATCH(Q77,법정공휴일!$A$4:$A$20,0),R77),0)</f>
        <v/>
      </c>
      <c r="U77" s="151">
        <f>INDEX(CHOOSE($D$7,'공기산정(1일작업량)'!$G$27:$R$27,'공기산정(1일작업량)'!$G$28:$R$28,'공기산정(1일작업량)'!$G$29:$R$29,'공기산정(1일작업량)'!$G$30:$R$30),1,R77)</f>
        <v/>
      </c>
      <c r="V77" s="151">
        <f>ROUND(U77*T77/DAY(EOMONTH(DATE(Q77,R77,1),0)),1)</f>
        <v/>
      </c>
      <c r="W77" s="151">
        <f>ROUND(MAX(U77+T77-V77,8),0)</f>
        <v/>
      </c>
      <c r="X77" s="151">
        <f>S77*(DAY(EOMONTH(DATE(Q77,R77,1),0))-W77)/DAY(EOMONTH(DATE(Q77,R77,1),0))</f>
        <v/>
      </c>
      <c r="Y77" s="151">
        <f>Y76+X76</f>
        <v/>
      </c>
      <c r="Z77" s="151">
        <f>IF(AND(ISNUMBER($B$9),$B$9&gt;Y77),1,0)</f>
        <v/>
      </c>
    </row>
    <row r="78">
      <c r="A78" s="139">
        <f>IF(Z78=1,P78,"")</f>
        <v/>
      </c>
      <c r="B78" s="139">
        <f>IF(Z78=1,Q78&amp;"년 "&amp;R78&amp;"월","")</f>
        <v/>
      </c>
      <c r="C78" s="139">
        <f>IF(Z78=1,S78,"")</f>
        <v/>
      </c>
      <c r="D78" s="139">
        <f>IF(Z78=1,T78,"")</f>
        <v/>
      </c>
      <c r="E78" s="139">
        <f>IF(Z78=1,U78,"")</f>
        <v/>
      </c>
      <c r="F78" s="139">
        <f>IF(Z78=1,V78,"")</f>
        <v/>
      </c>
      <c r="G78" s="139">
        <f>IF(Z78=1,ROUND(U78+T78-V78,1),"")</f>
        <v/>
      </c>
      <c r="H78" s="139">
        <f>IF(Z78=1,W78,"")</f>
        <v/>
      </c>
      <c r="I78" s="139">
        <f>IF(Z78=1,ROUND(X78,1),"")</f>
        <v/>
      </c>
      <c r="J78" s="139">
        <f>IF(Z78=1,$B$9-Y78,"")</f>
        <v/>
      </c>
      <c r="K78" s="139">
        <f>IF(Z78=1,MIN(X78,$B$9-Y78),"")</f>
        <v/>
      </c>
      <c r="L78" s="139">
        <f>IF(Z78=1,ROUND(W78*S78/DAY(EOMONTH(DATE(Q78,R78,1),0))*MIN(X78,$B$9-Y78)/X78,1),"")</f>
        <v/>
      </c>
      <c r="M78" s="139">
        <f>IF(Z78=1,K78+L78,"")</f>
        <v/>
      </c>
      <c r="N78" s="139">
        <f>IF(Z78=1,J78-K78,"")</f>
        <v/>
      </c>
      <c r="P78" s="151" t="n">
        <v>47</v>
      </c>
      <c r="Q78" s="151">
        <f>YEAR(EDATE(DATE(YEAR($B$14),MONTH($B$14),1),P78-1))</f>
        <v/>
      </c>
      <c r="R78" s="151">
        <f>MONTH(EDATE(DATE(YEAR($B$14),MONTH($B$14),1),P78-1))</f>
        <v/>
      </c>
      <c r="S78" s="151">
        <f>DAY(EOMONTH(DATE(Q78,R78,1),0))</f>
        <v/>
      </c>
      <c r="T78" s="151">
        <f>IFERROR(INDEX(법정공휴일!$B$4:$M$20,MATCH(Q78,법정공휴일!$A$4:$A$20,0),R78),0)</f>
        <v/>
      </c>
      <c r="U78" s="151">
        <f>INDEX(CHOOSE($D$7,'공기산정(1일작업량)'!$G$27:$R$27,'공기산정(1일작업량)'!$G$28:$R$28,'공기산정(1일작업량)'!$G$29:$R$29,'공기산정(1일작업량)'!$G$30:$R$30),1,R78)</f>
        <v/>
      </c>
      <c r="V78" s="151">
        <f>ROUND(U78*T78/DAY(EOMONTH(DATE(Q78,R78,1),0)),1)</f>
        <v/>
      </c>
      <c r="W78" s="151">
        <f>ROUND(MAX(U78+T78-V78,8),0)</f>
        <v/>
      </c>
      <c r="X78" s="151">
        <f>S78*(DAY(EOMONTH(DATE(Q78,R78,1),0))-W78)/DAY(EOMONTH(DATE(Q78,R78,1),0))</f>
        <v/>
      </c>
      <c r="Y78" s="151">
        <f>Y77+X77</f>
        <v/>
      </c>
      <c r="Z78" s="151">
        <f>IF(AND(ISNUMBER($B$9),$B$9&gt;Y78),1,0)</f>
        <v/>
      </c>
    </row>
    <row r="79">
      <c r="A79" s="139">
        <f>IF(Z79=1,P79,"")</f>
        <v/>
      </c>
      <c r="B79" s="139">
        <f>IF(Z79=1,Q79&amp;"년 "&amp;R79&amp;"월","")</f>
        <v/>
      </c>
      <c r="C79" s="139">
        <f>IF(Z79=1,S79,"")</f>
        <v/>
      </c>
      <c r="D79" s="139">
        <f>IF(Z79=1,T79,"")</f>
        <v/>
      </c>
      <c r="E79" s="139">
        <f>IF(Z79=1,U79,"")</f>
        <v/>
      </c>
      <c r="F79" s="139">
        <f>IF(Z79=1,V79,"")</f>
        <v/>
      </c>
      <c r="G79" s="139">
        <f>IF(Z79=1,ROUND(U79+T79-V79,1),"")</f>
        <v/>
      </c>
      <c r="H79" s="139">
        <f>IF(Z79=1,W79,"")</f>
        <v/>
      </c>
      <c r="I79" s="139">
        <f>IF(Z79=1,ROUND(X79,1),"")</f>
        <v/>
      </c>
      <c r="J79" s="139">
        <f>IF(Z79=1,$B$9-Y79,"")</f>
        <v/>
      </c>
      <c r="K79" s="139">
        <f>IF(Z79=1,MIN(X79,$B$9-Y79),"")</f>
        <v/>
      </c>
      <c r="L79" s="139">
        <f>IF(Z79=1,ROUND(W79*S79/DAY(EOMONTH(DATE(Q79,R79,1),0))*MIN(X79,$B$9-Y79)/X79,1),"")</f>
        <v/>
      </c>
      <c r="M79" s="139">
        <f>IF(Z79=1,K79+L79,"")</f>
        <v/>
      </c>
      <c r="N79" s="139">
        <f>IF(Z79=1,J79-K79,"")</f>
        <v/>
      </c>
      <c r="P79" s="151" t="n">
        <v>48</v>
      </c>
      <c r="Q79" s="151">
        <f>YEAR(EDATE(DATE(YEAR($B$14),MONTH($B$14),1),P79-1))</f>
        <v/>
      </c>
      <c r="R79" s="151">
        <f>MONTH(EDATE(DATE(YEAR($B$14),MONTH($B$14),1),P79-1))</f>
        <v/>
      </c>
      <c r="S79" s="151">
        <f>DAY(EOMONTH(DATE(Q79,R79,1),0))</f>
        <v/>
      </c>
      <c r="T79" s="151">
        <f>IFERROR(INDEX(법정공휴일!$B$4:$M$20,MATCH(Q79,법정공휴일!$A$4:$A$20,0),R79),0)</f>
        <v/>
      </c>
      <c r="U79" s="151">
        <f>INDEX(CHOOSE($D$7,'공기산정(1일작업량)'!$G$27:$R$27,'공기산정(1일작업량)'!$G$28:$R$28,'공기산정(1일작업량)'!$G$29:$R$29,'공기산정(1일작업량)'!$G$30:$R$30),1,R79)</f>
        <v/>
      </c>
      <c r="V79" s="151">
        <f>ROUND(U79*T79/DAY(EOMONTH(DATE(Q79,R79,1),0)),1)</f>
        <v/>
      </c>
      <c r="W79" s="151">
        <f>ROUND(MAX(U79+T79-V79,8),0)</f>
        <v/>
      </c>
      <c r="X79" s="151">
        <f>S79*(DAY(EOMONTH(DATE(Q79,R79,1),0))-W79)/DAY(EOMONTH(DATE(Q79,R79,1),0))</f>
        <v/>
      </c>
      <c r="Y79" s="151">
        <f>Y78+X78</f>
        <v/>
      </c>
      <c r="Z79" s="151">
        <f>IF(AND(ISNUMBER($B$9),$B$9&gt;Y79),1,0)</f>
        <v/>
      </c>
    </row>
    <row r="80">
      <c r="A80" s="139">
        <f>IF(Z80=1,P80,"")</f>
        <v/>
      </c>
      <c r="B80" s="139">
        <f>IF(Z80=1,Q80&amp;"년 "&amp;R80&amp;"월","")</f>
        <v/>
      </c>
      <c r="C80" s="139">
        <f>IF(Z80=1,S80,"")</f>
        <v/>
      </c>
      <c r="D80" s="139">
        <f>IF(Z80=1,T80,"")</f>
        <v/>
      </c>
      <c r="E80" s="139">
        <f>IF(Z80=1,U80,"")</f>
        <v/>
      </c>
      <c r="F80" s="139">
        <f>IF(Z80=1,V80,"")</f>
        <v/>
      </c>
      <c r="G80" s="139">
        <f>IF(Z80=1,ROUND(U80+T80-V80,1),"")</f>
        <v/>
      </c>
      <c r="H80" s="139">
        <f>IF(Z80=1,W80,"")</f>
        <v/>
      </c>
      <c r="I80" s="139">
        <f>IF(Z80=1,ROUND(X80,1),"")</f>
        <v/>
      </c>
      <c r="J80" s="139">
        <f>IF(Z80=1,$B$9-Y80,"")</f>
        <v/>
      </c>
      <c r="K80" s="139">
        <f>IF(Z80=1,MIN(X80,$B$9-Y80),"")</f>
        <v/>
      </c>
      <c r="L80" s="139">
        <f>IF(Z80=1,ROUND(W80*S80/DAY(EOMONTH(DATE(Q80,R80,1),0))*MIN(X80,$B$9-Y80)/X80,1),"")</f>
        <v/>
      </c>
      <c r="M80" s="139">
        <f>IF(Z80=1,K80+L80,"")</f>
        <v/>
      </c>
      <c r="N80" s="139">
        <f>IF(Z80=1,J80-K80,"")</f>
        <v/>
      </c>
      <c r="P80" s="151" t="n">
        <v>49</v>
      </c>
      <c r="Q80" s="151">
        <f>YEAR(EDATE(DATE(YEAR($B$14),MONTH($B$14),1),P80-1))</f>
        <v/>
      </c>
      <c r="R80" s="151">
        <f>MONTH(EDATE(DATE(YEAR($B$14),MONTH($B$14),1),P80-1))</f>
        <v/>
      </c>
      <c r="S80" s="151">
        <f>DAY(EOMONTH(DATE(Q80,R80,1),0))</f>
        <v/>
      </c>
      <c r="T80" s="151">
        <f>IFERROR(INDEX(법정공휴일!$B$4:$M$20,MATCH(Q80,법정공휴일!$A$4:$A$20,0),R80),0)</f>
        <v/>
      </c>
      <c r="U80" s="151">
        <f>INDEX(CHOOSE($D$7,'공기산정(1일작업량)'!$G$27:$R$27,'공기산정(1일작업량)'!$G$28:$R$28,'공기산정(1일작업량)'!$G$29:$R$29,'공기산정(1일작업량)'!$G$30:$R$30),1,R80)</f>
        <v/>
      </c>
      <c r="V80" s="151">
        <f>ROUND(U80*T80/DAY(EOMONTH(DATE(Q80,R80,1),0)),1)</f>
        <v/>
      </c>
      <c r="W80" s="151">
        <f>ROUND(MAX(U80+T80-V80,8),0)</f>
        <v/>
      </c>
      <c r="X80" s="151">
        <f>S80*(DAY(EOMONTH(DATE(Q80,R80,1),0))-W80)/DAY(EOMONTH(DATE(Q80,R80,1),0))</f>
        <v/>
      </c>
      <c r="Y80" s="151">
        <f>Y79+X79</f>
        <v/>
      </c>
      <c r="Z80" s="151">
        <f>IF(AND(ISNUMBER($B$9),$B$9&gt;Y80),1,0)</f>
        <v/>
      </c>
    </row>
    <row r="81">
      <c r="A81" s="139">
        <f>IF(Z81=1,P81,"")</f>
        <v/>
      </c>
      <c r="B81" s="139">
        <f>IF(Z81=1,Q81&amp;"년 "&amp;R81&amp;"월","")</f>
        <v/>
      </c>
      <c r="C81" s="139">
        <f>IF(Z81=1,S81,"")</f>
        <v/>
      </c>
      <c r="D81" s="139">
        <f>IF(Z81=1,T81,"")</f>
        <v/>
      </c>
      <c r="E81" s="139">
        <f>IF(Z81=1,U81,"")</f>
        <v/>
      </c>
      <c r="F81" s="139">
        <f>IF(Z81=1,V81,"")</f>
        <v/>
      </c>
      <c r="G81" s="139">
        <f>IF(Z81=1,ROUND(U81+T81-V81,1),"")</f>
        <v/>
      </c>
      <c r="H81" s="139">
        <f>IF(Z81=1,W81,"")</f>
        <v/>
      </c>
      <c r="I81" s="139">
        <f>IF(Z81=1,ROUND(X81,1),"")</f>
        <v/>
      </c>
      <c r="J81" s="139">
        <f>IF(Z81=1,$B$9-Y81,"")</f>
        <v/>
      </c>
      <c r="K81" s="139">
        <f>IF(Z81=1,MIN(X81,$B$9-Y81),"")</f>
        <v/>
      </c>
      <c r="L81" s="139">
        <f>IF(Z81=1,ROUND(W81*S81/DAY(EOMONTH(DATE(Q81,R81,1),0))*MIN(X81,$B$9-Y81)/X81,1),"")</f>
        <v/>
      </c>
      <c r="M81" s="139">
        <f>IF(Z81=1,K81+L81,"")</f>
        <v/>
      </c>
      <c r="N81" s="139">
        <f>IF(Z81=1,J81-K81,"")</f>
        <v/>
      </c>
      <c r="P81" s="151" t="n">
        <v>50</v>
      </c>
      <c r="Q81" s="151">
        <f>YEAR(EDATE(DATE(YEAR($B$14),MONTH($B$14),1),P81-1))</f>
        <v/>
      </c>
      <c r="R81" s="151">
        <f>MONTH(EDATE(DATE(YEAR($B$14),MONTH($B$14),1),P81-1))</f>
        <v/>
      </c>
      <c r="S81" s="151">
        <f>DAY(EOMONTH(DATE(Q81,R81,1),0))</f>
        <v/>
      </c>
      <c r="T81" s="151">
        <f>IFERROR(INDEX(법정공휴일!$B$4:$M$20,MATCH(Q81,법정공휴일!$A$4:$A$20,0),R81),0)</f>
        <v/>
      </c>
      <c r="U81" s="151">
        <f>INDEX(CHOOSE($D$7,'공기산정(1일작업량)'!$G$27:$R$27,'공기산정(1일작업량)'!$G$28:$R$28,'공기산정(1일작업량)'!$G$29:$R$29,'공기산정(1일작업량)'!$G$30:$R$30),1,R81)</f>
        <v/>
      </c>
      <c r="V81" s="151">
        <f>ROUND(U81*T81/DAY(EOMONTH(DATE(Q81,R81,1),0)),1)</f>
        <v/>
      </c>
      <c r="W81" s="151">
        <f>ROUND(MAX(U81+T81-V81,8),0)</f>
        <v/>
      </c>
      <c r="X81" s="151">
        <f>S81*(DAY(EOMONTH(DATE(Q81,R81,1),0))-W81)/DAY(EOMONTH(DATE(Q81,R81,1),0))</f>
        <v/>
      </c>
      <c r="Y81" s="151">
        <f>Y80+X80</f>
        <v/>
      </c>
      <c r="Z81" s="151">
        <f>IF(AND(ISNUMBER($B$9),$B$9&gt;Y81),1,0)</f>
        <v/>
      </c>
    </row>
    <row r="82">
      <c r="A82" s="139">
        <f>IF(Z82=1,P82,"")</f>
        <v/>
      </c>
      <c r="B82" s="139">
        <f>IF(Z82=1,Q82&amp;"년 "&amp;R82&amp;"월","")</f>
        <v/>
      </c>
      <c r="C82" s="139">
        <f>IF(Z82=1,S82,"")</f>
        <v/>
      </c>
      <c r="D82" s="139">
        <f>IF(Z82=1,T82,"")</f>
        <v/>
      </c>
      <c r="E82" s="139">
        <f>IF(Z82=1,U82,"")</f>
        <v/>
      </c>
      <c r="F82" s="139">
        <f>IF(Z82=1,V82,"")</f>
        <v/>
      </c>
      <c r="G82" s="139">
        <f>IF(Z82=1,ROUND(U82+T82-V82,1),"")</f>
        <v/>
      </c>
      <c r="H82" s="139">
        <f>IF(Z82=1,W82,"")</f>
        <v/>
      </c>
      <c r="I82" s="139">
        <f>IF(Z82=1,ROUND(X82,1),"")</f>
        <v/>
      </c>
      <c r="J82" s="139">
        <f>IF(Z82=1,$B$9-Y82,"")</f>
        <v/>
      </c>
      <c r="K82" s="139">
        <f>IF(Z82=1,MIN(X82,$B$9-Y82),"")</f>
        <v/>
      </c>
      <c r="L82" s="139">
        <f>IF(Z82=1,ROUND(W82*S82/DAY(EOMONTH(DATE(Q82,R82,1),0))*MIN(X82,$B$9-Y82)/X82,1),"")</f>
        <v/>
      </c>
      <c r="M82" s="139">
        <f>IF(Z82=1,K82+L82,"")</f>
        <v/>
      </c>
      <c r="N82" s="139">
        <f>IF(Z82=1,J82-K82,"")</f>
        <v/>
      </c>
      <c r="P82" s="151" t="n">
        <v>51</v>
      </c>
      <c r="Q82" s="151">
        <f>YEAR(EDATE(DATE(YEAR($B$14),MONTH($B$14),1),P82-1))</f>
        <v/>
      </c>
      <c r="R82" s="151">
        <f>MONTH(EDATE(DATE(YEAR($B$14),MONTH($B$14),1),P82-1))</f>
        <v/>
      </c>
      <c r="S82" s="151">
        <f>DAY(EOMONTH(DATE(Q82,R82,1),0))</f>
        <v/>
      </c>
      <c r="T82" s="151">
        <f>IFERROR(INDEX(법정공휴일!$B$4:$M$20,MATCH(Q82,법정공휴일!$A$4:$A$20,0),R82),0)</f>
        <v/>
      </c>
      <c r="U82" s="151">
        <f>INDEX(CHOOSE($D$7,'공기산정(1일작업량)'!$G$27:$R$27,'공기산정(1일작업량)'!$G$28:$R$28,'공기산정(1일작업량)'!$G$29:$R$29,'공기산정(1일작업량)'!$G$30:$R$30),1,R82)</f>
        <v/>
      </c>
      <c r="V82" s="151">
        <f>ROUND(U82*T82/DAY(EOMONTH(DATE(Q82,R82,1),0)),1)</f>
        <v/>
      </c>
      <c r="W82" s="151">
        <f>ROUND(MAX(U82+T82-V82,8),0)</f>
        <v/>
      </c>
      <c r="X82" s="151">
        <f>S82*(DAY(EOMONTH(DATE(Q82,R82,1),0))-W82)/DAY(EOMONTH(DATE(Q82,R82,1),0))</f>
        <v/>
      </c>
      <c r="Y82" s="151">
        <f>Y81+X81</f>
        <v/>
      </c>
      <c r="Z82" s="151">
        <f>IF(AND(ISNUMBER($B$9),$B$9&gt;Y82),1,0)</f>
        <v/>
      </c>
    </row>
    <row r="83">
      <c r="A83" s="139">
        <f>IF(Z83=1,P83,"")</f>
        <v/>
      </c>
      <c r="B83" s="139">
        <f>IF(Z83=1,Q83&amp;"년 "&amp;R83&amp;"월","")</f>
        <v/>
      </c>
      <c r="C83" s="139">
        <f>IF(Z83=1,S83,"")</f>
        <v/>
      </c>
      <c r="D83" s="139">
        <f>IF(Z83=1,T83,"")</f>
        <v/>
      </c>
      <c r="E83" s="139">
        <f>IF(Z83=1,U83,"")</f>
        <v/>
      </c>
      <c r="F83" s="139">
        <f>IF(Z83=1,V83,"")</f>
        <v/>
      </c>
      <c r="G83" s="139">
        <f>IF(Z83=1,ROUND(U83+T83-V83,1),"")</f>
        <v/>
      </c>
      <c r="H83" s="139">
        <f>IF(Z83=1,W83,"")</f>
        <v/>
      </c>
      <c r="I83" s="139">
        <f>IF(Z83=1,ROUND(X83,1),"")</f>
        <v/>
      </c>
      <c r="J83" s="139">
        <f>IF(Z83=1,$B$9-Y83,"")</f>
        <v/>
      </c>
      <c r="K83" s="139">
        <f>IF(Z83=1,MIN(X83,$B$9-Y83),"")</f>
        <v/>
      </c>
      <c r="L83" s="139">
        <f>IF(Z83=1,ROUND(W83*S83/DAY(EOMONTH(DATE(Q83,R83,1),0))*MIN(X83,$B$9-Y83)/X83,1),"")</f>
        <v/>
      </c>
      <c r="M83" s="139">
        <f>IF(Z83=1,K83+L83,"")</f>
        <v/>
      </c>
      <c r="N83" s="139">
        <f>IF(Z83=1,J83-K83,"")</f>
        <v/>
      </c>
      <c r="P83" s="151" t="n">
        <v>52</v>
      </c>
      <c r="Q83" s="151">
        <f>YEAR(EDATE(DATE(YEAR($B$14),MONTH($B$14),1),P83-1))</f>
        <v/>
      </c>
      <c r="R83" s="151">
        <f>MONTH(EDATE(DATE(YEAR($B$14),MONTH($B$14),1),P83-1))</f>
        <v/>
      </c>
      <c r="S83" s="151">
        <f>DAY(EOMONTH(DATE(Q83,R83,1),0))</f>
        <v/>
      </c>
      <c r="T83" s="151">
        <f>IFERROR(INDEX(법정공휴일!$B$4:$M$20,MATCH(Q83,법정공휴일!$A$4:$A$20,0),R83),0)</f>
        <v/>
      </c>
      <c r="U83" s="151">
        <f>INDEX(CHOOSE($D$7,'공기산정(1일작업량)'!$G$27:$R$27,'공기산정(1일작업량)'!$G$28:$R$28,'공기산정(1일작업량)'!$G$29:$R$29,'공기산정(1일작업량)'!$G$30:$R$30),1,R83)</f>
        <v/>
      </c>
      <c r="V83" s="151">
        <f>ROUND(U83*T83/DAY(EOMONTH(DATE(Q83,R83,1),0)),1)</f>
        <v/>
      </c>
      <c r="W83" s="151">
        <f>ROUND(MAX(U83+T83-V83,8),0)</f>
        <v/>
      </c>
      <c r="X83" s="151">
        <f>S83*(DAY(EOMONTH(DATE(Q83,R83,1),0))-W83)/DAY(EOMONTH(DATE(Q83,R83,1),0))</f>
        <v/>
      </c>
      <c r="Y83" s="151">
        <f>Y82+X82</f>
        <v/>
      </c>
      <c r="Z83" s="151">
        <f>IF(AND(ISNUMBER($B$9),$B$9&gt;Y83),1,0)</f>
        <v/>
      </c>
    </row>
    <row r="84">
      <c r="A84" s="139">
        <f>IF(Z84=1,P84,"")</f>
        <v/>
      </c>
      <c r="B84" s="139">
        <f>IF(Z84=1,Q84&amp;"년 "&amp;R84&amp;"월","")</f>
        <v/>
      </c>
      <c r="C84" s="139">
        <f>IF(Z84=1,S84,"")</f>
        <v/>
      </c>
      <c r="D84" s="139">
        <f>IF(Z84=1,T84,"")</f>
        <v/>
      </c>
      <c r="E84" s="139">
        <f>IF(Z84=1,U84,"")</f>
        <v/>
      </c>
      <c r="F84" s="139">
        <f>IF(Z84=1,V84,"")</f>
        <v/>
      </c>
      <c r="G84" s="139">
        <f>IF(Z84=1,ROUND(U84+T84-V84,1),"")</f>
        <v/>
      </c>
      <c r="H84" s="139">
        <f>IF(Z84=1,W84,"")</f>
        <v/>
      </c>
      <c r="I84" s="139">
        <f>IF(Z84=1,ROUND(X84,1),"")</f>
        <v/>
      </c>
      <c r="J84" s="139">
        <f>IF(Z84=1,$B$9-Y84,"")</f>
        <v/>
      </c>
      <c r="K84" s="139">
        <f>IF(Z84=1,MIN(X84,$B$9-Y84),"")</f>
        <v/>
      </c>
      <c r="L84" s="139">
        <f>IF(Z84=1,ROUND(W84*S84/DAY(EOMONTH(DATE(Q84,R84,1),0))*MIN(X84,$B$9-Y84)/X84,1),"")</f>
        <v/>
      </c>
      <c r="M84" s="139">
        <f>IF(Z84=1,K84+L84,"")</f>
        <v/>
      </c>
      <c r="N84" s="139">
        <f>IF(Z84=1,J84-K84,"")</f>
        <v/>
      </c>
      <c r="P84" s="151" t="n">
        <v>53</v>
      </c>
      <c r="Q84" s="151">
        <f>YEAR(EDATE(DATE(YEAR($B$14),MONTH($B$14),1),P84-1))</f>
        <v/>
      </c>
      <c r="R84" s="151">
        <f>MONTH(EDATE(DATE(YEAR($B$14),MONTH($B$14),1),P84-1))</f>
        <v/>
      </c>
      <c r="S84" s="151">
        <f>DAY(EOMONTH(DATE(Q84,R84,1),0))</f>
        <v/>
      </c>
      <c r="T84" s="151">
        <f>IFERROR(INDEX(법정공휴일!$B$4:$M$20,MATCH(Q84,법정공휴일!$A$4:$A$20,0),R84),0)</f>
        <v/>
      </c>
      <c r="U84" s="151">
        <f>INDEX(CHOOSE($D$7,'공기산정(1일작업량)'!$G$27:$R$27,'공기산정(1일작업량)'!$G$28:$R$28,'공기산정(1일작업량)'!$G$29:$R$29,'공기산정(1일작업량)'!$G$30:$R$30),1,R84)</f>
        <v/>
      </c>
      <c r="V84" s="151">
        <f>ROUND(U84*T84/DAY(EOMONTH(DATE(Q84,R84,1),0)),1)</f>
        <v/>
      </c>
      <c r="W84" s="151">
        <f>ROUND(MAX(U84+T84-V84,8),0)</f>
        <v/>
      </c>
      <c r="X84" s="151">
        <f>S84*(DAY(EOMONTH(DATE(Q84,R84,1),0))-W84)/DAY(EOMONTH(DATE(Q84,R84,1),0))</f>
        <v/>
      </c>
      <c r="Y84" s="151">
        <f>Y83+X83</f>
        <v/>
      </c>
      <c r="Z84" s="151">
        <f>IF(AND(ISNUMBER($B$9),$B$9&gt;Y84),1,0)</f>
        <v/>
      </c>
    </row>
    <row r="85">
      <c r="A85" s="139">
        <f>IF(Z85=1,P85,"")</f>
        <v/>
      </c>
      <c r="B85" s="139">
        <f>IF(Z85=1,Q85&amp;"년 "&amp;R85&amp;"월","")</f>
        <v/>
      </c>
      <c r="C85" s="139">
        <f>IF(Z85=1,S85,"")</f>
        <v/>
      </c>
      <c r="D85" s="139">
        <f>IF(Z85=1,T85,"")</f>
        <v/>
      </c>
      <c r="E85" s="139">
        <f>IF(Z85=1,U85,"")</f>
        <v/>
      </c>
      <c r="F85" s="139">
        <f>IF(Z85=1,V85,"")</f>
        <v/>
      </c>
      <c r="G85" s="139">
        <f>IF(Z85=1,ROUND(U85+T85-V85,1),"")</f>
        <v/>
      </c>
      <c r="H85" s="139">
        <f>IF(Z85=1,W85,"")</f>
        <v/>
      </c>
      <c r="I85" s="139">
        <f>IF(Z85=1,ROUND(X85,1),"")</f>
        <v/>
      </c>
      <c r="J85" s="139">
        <f>IF(Z85=1,$B$9-Y85,"")</f>
        <v/>
      </c>
      <c r="K85" s="139">
        <f>IF(Z85=1,MIN(X85,$B$9-Y85),"")</f>
        <v/>
      </c>
      <c r="L85" s="139">
        <f>IF(Z85=1,ROUND(W85*S85/DAY(EOMONTH(DATE(Q85,R85,1),0))*MIN(X85,$B$9-Y85)/X85,1),"")</f>
        <v/>
      </c>
      <c r="M85" s="139">
        <f>IF(Z85=1,K85+L85,"")</f>
        <v/>
      </c>
      <c r="N85" s="139">
        <f>IF(Z85=1,J85-K85,"")</f>
        <v/>
      </c>
      <c r="P85" s="151" t="n">
        <v>54</v>
      </c>
      <c r="Q85" s="151">
        <f>YEAR(EDATE(DATE(YEAR($B$14),MONTH($B$14),1),P85-1))</f>
        <v/>
      </c>
      <c r="R85" s="151">
        <f>MONTH(EDATE(DATE(YEAR($B$14),MONTH($B$14),1),P85-1))</f>
        <v/>
      </c>
      <c r="S85" s="151">
        <f>DAY(EOMONTH(DATE(Q85,R85,1),0))</f>
        <v/>
      </c>
      <c r="T85" s="151">
        <f>IFERROR(INDEX(법정공휴일!$B$4:$M$20,MATCH(Q85,법정공휴일!$A$4:$A$20,0),R85),0)</f>
        <v/>
      </c>
      <c r="U85" s="151">
        <f>INDEX(CHOOSE($D$7,'공기산정(1일작업량)'!$G$27:$R$27,'공기산정(1일작업량)'!$G$28:$R$28,'공기산정(1일작업량)'!$G$29:$R$29,'공기산정(1일작업량)'!$G$30:$R$30),1,R85)</f>
        <v/>
      </c>
      <c r="V85" s="151">
        <f>ROUND(U85*T85/DAY(EOMONTH(DATE(Q85,R85,1),0)),1)</f>
        <v/>
      </c>
      <c r="W85" s="151">
        <f>ROUND(MAX(U85+T85-V85,8),0)</f>
        <v/>
      </c>
      <c r="X85" s="151">
        <f>S85*(DAY(EOMONTH(DATE(Q85,R85,1),0))-W85)/DAY(EOMONTH(DATE(Q85,R85,1),0))</f>
        <v/>
      </c>
      <c r="Y85" s="151">
        <f>Y84+X84</f>
        <v/>
      </c>
      <c r="Z85" s="151">
        <f>IF(AND(ISNUMBER($B$9),$B$9&gt;Y85),1,0)</f>
        <v/>
      </c>
    </row>
    <row r="86">
      <c r="A86" s="139">
        <f>IF(Z86=1,P86,"")</f>
        <v/>
      </c>
      <c r="B86" s="139">
        <f>IF(Z86=1,Q86&amp;"년 "&amp;R86&amp;"월","")</f>
        <v/>
      </c>
      <c r="C86" s="139">
        <f>IF(Z86=1,S86,"")</f>
        <v/>
      </c>
      <c r="D86" s="139">
        <f>IF(Z86=1,T86,"")</f>
        <v/>
      </c>
      <c r="E86" s="139">
        <f>IF(Z86=1,U86,"")</f>
        <v/>
      </c>
      <c r="F86" s="139">
        <f>IF(Z86=1,V86,"")</f>
        <v/>
      </c>
      <c r="G86" s="139">
        <f>IF(Z86=1,ROUND(U86+T86-V86,1),"")</f>
        <v/>
      </c>
      <c r="H86" s="139">
        <f>IF(Z86=1,W86,"")</f>
        <v/>
      </c>
      <c r="I86" s="139">
        <f>IF(Z86=1,ROUND(X86,1),"")</f>
        <v/>
      </c>
      <c r="J86" s="139">
        <f>IF(Z86=1,$B$9-Y86,"")</f>
        <v/>
      </c>
      <c r="K86" s="139">
        <f>IF(Z86=1,MIN(X86,$B$9-Y86),"")</f>
        <v/>
      </c>
      <c r="L86" s="139">
        <f>IF(Z86=1,ROUND(W86*S86/DAY(EOMONTH(DATE(Q86,R86,1),0))*MIN(X86,$B$9-Y86)/X86,1),"")</f>
        <v/>
      </c>
      <c r="M86" s="139">
        <f>IF(Z86=1,K86+L86,"")</f>
        <v/>
      </c>
      <c r="N86" s="139">
        <f>IF(Z86=1,J86-K86,"")</f>
        <v/>
      </c>
      <c r="P86" s="151" t="n">
        <v>55</v>
      </c>
      <c r="Q86" s="151">
        <f>YEAR(EDATE(DATE(YEAR($B$14),MONTH($B$14),1),P86-1))</f>
        <v/>
      </c>
      <c r="R86" s="151">
        <f>MONTH(EDATE(DATE(YEAR($B$14),MONTH($B$14),1),P86-1))</f>
        <v/>
      </c>
      <c r="S86" s="151">
        <f>DAY(EOMONTH(DATE(Q86,R86,1),0))</f>
        <v/>
      </c>
      <c r="T86" s="151">
        <f>IFERROR(INDEX(법정공휴일!$B$4:$M$20,MATCH(Q86,법정공휴일!$A$4:$A$20,0),R86),0)</f>
        <v/>
      </c>
      <c r="U86" s="151">
        <f>INDEX(CHOOSE($D$7,'공기산정(1일작업량)'!$G$27:$R$27,'공기산정(1일작업량)'!$G$28:$R$28,'공기산정(1일작업량)'!$G$29:$R$29,'공기산정(1일작업량)'!$G$30:$R$30),1,R86)</f>
        <v/>
      </c>
      <c r="V86" s="151">
        <f>ROUND(U86*T86/DAY(EOMONTH(DATE(Q86,R86,1),0)),1)</f>
        <v/>
      </c>
      <c r="W86" s="151">
        <f>ROUND(MAX(U86+T86-V86,8),0)</f>
        <v/>
      </c>
      <c r="X86" s="151">
        <f>S86*(DAY(EOMONTH(DATE(Q86,R86,1),0))-W86)/DAY(EOMONTH(DATE(Q86,R86,1),0))</f>
        <v/>
      </c>
      <c r="Y86" s="151">
        <f>Y85+X85</f>
        <v/>
      </c>
      <c r="Z86" s="151">
        <f>IF(AND(ISNUMBER($B$9),$B$9&gt;Y86),1,0)</f>
        <v/>
      </c>
    </row>
    <row r="87">
      <c r="A87" s="139">
        <f>IF(Z87=1,P87,"")</f>
        <v/>
      </c>
      <c r="B87" s="139">
        <f>IF(Z87=1,Q87&amp;"년 "&amp;R87&amp;"월","")</f>
        <v/>
      </c>
      <c r="C87" s="139">
        <f>IF(Z87=1,S87,"")</f>
        <v/>
      </c>
      <c r="D87" s="139">
        <f>IF(Z87=1,T87,"")</f>
        <v/>
      </c>
      <c r="E87" s="139">
        <f>IF(Z87=1,U87,"")</f>
        <v/>
      </c>
      <c r="F87" s="139">
        <f>IF(Z87=1,V87,"")</f>
        <v/>
      </c>
      <c r="G87" s="139">
        <f>IF(Z87=1,ROUND(U87+T87-V87,1),"")</f>
        <v/>
      </c>
      <c r="H87" s="139">
        <f>IF(Z87=1,W87,"")</f>
        <v/>
      </c>
      <c r="I87" s="139">
        <f>IF(Z87=1,ROUND(X87,1),"")</f>
        <v/>
      </c>
      <c r="J87" s="139">
        <f>IF(Z87=1,$B$9-Y87,"")</f>
        <v/>
      </c>
      <c r="K87" s="139">
        <f>IF(Z87=1,MIN(X87,$B$9-Y87),"")</f>
        <v/>
      </c>
      <c r="L87" s="139">
        <f>IF(Z87=1,ROUND(W87*S87/DAY(EOMONTH(DATE(Q87,R87,1),0))*MIN(X87,$B$9-Y87)/X87,1),"")</f>
        <v/>
      </c>
      <c r="M87" s="139">
        <f>IF(Z87=1,K87+L87,"")</f>
        <v/>
      </c>
      <c r="N87" s="139">
        <f>IF(Z87=1,J87-K87,"")</f>
        <v/>
      </c>
      <c r="P87" s="151" t="n">
        <v>56</v>
      </c>
      <c r="Q87" s="151">
        <f>YEAR(EDATE(DATE(YEAR($B$14),MONTH($B$14),1),P87-1))</f>
        <v/>
      </c>
      <c r="R87" s="151">
        <f>MONTH(EDATE(DATE(YEAR($B$14),MONTH($B$14),1),P87-1))</f>
        <v/>
      </c>
      <c r="S87" s="151">
        <f>DAY(EOMONTH(DATE(Q87,R87,1),0))</f>
        <v/>
      </c>
      <c r="T87" s="151">
        <f>IFERROR(INDEX(법정공휴일!$B$4:$M$20,MATCH(Q87,법정공휴일!$A$4:$A$20,0),R87),0)</f>
        <v/>
      </c>
      <c r="U87" s="151">
        <f>INDEX(CHOOSE($D$7,'공기산정(1일작업량)'!$G$27:$R$27,'공기산정(1일작업량)'!$G$28:$R$28,'공기산정(1일작업량)'!$G$29:$R$29,'공기산정(1일작업량)'!$G$30:$R$30),1,R87)</f>
        <v/>
      </c>
      <c r="V87" s="151">
        <f>ROUND(U87*T87/DAY(EOMONTH(DATE(Q87,R87,1),0)),1)</f>
        <v/>
      </c>
      <c r="W87" s="151">
        <f>ROUND(MAX(U87+T87-V87,8),0)</f>
        <v/>
      </c>
      <c r="X87" s="151">
        <f>S87*(DAY(EOMONTH(DATE(Q87,R87,1),0))-W87)/DAY(EOMONTH(DATE(Q87,R87,1),0))</f>
        <v/>
      </c>
      <c r="Y87" s="151">
        <f>Y86+X86</f>
        <v/>
      </c>
      <c r="Z87" s="151">
        <f>IF(AND(ISNUMBER($B$9),$B$9&gt;Y87),1,0)</f>
        <v/>
      </c>
    </row>
    <row r="88">
      <c r="A88" s="139">
        <f>IF(Z88=1,P88,"")</f>
        <v/>
      </c>
      <c r="B88" s="139">
        <f>IF(Z88=1,Q88&amp;"년 "&amp;R88&amp;"월","")</f>
        <v/>
      </c>
      <c r="C88" s="139">
        <f>IF(Z88=1,S88,"")</f>
        <v/>
      </c>
      <c r="D88" s="139">
        <f>IF(Z88=1,T88,"")</f>
        <v/>
      </c>
      <c r="E88" s="139">
        <f>IF(Z88=1,U88,"")</f>
        <v/>
      </c>
      <c r="F88" s="139">
        <f>IF(Z88=1,V88,"")</f>
        <v/>
      </c>
      <c r="G88" s="139">
        <f>IF(Z88=1,ROUND(U88+T88-V88,1),"")</f>
        <v/>
      </c>
      <c r="H88" s="139">
        <f>IF(Z88=1,W88,"")</f>
        <v/>
      </c>
      <c r="I88" s="139">
        <f>IF(Z88=1,ROUND(X88,1),"")</f>
        <v/>
      </c>
      <c r="J88" s="139">
        <f>IF(Z88=1,$B$9-Y88,"")</f>
        <v/>
      </c>
      <c r="K88" s="139">
        <f>IF(Z88=1,MIN(X88,$B$9-Y88),"")</f>
        <v/>
      </c>
      <c r="L88" s="139">
        <f>IF(Z88=1,ROUND(W88*S88/DAY(EOMONTH(DATE(Q88,R88,1),0))*MIN(X88,$B$9-Y88)/X88,1),"")</f>
        <v/>
      </c>
      <c r="M88" s="139">
        <f>IF(Z88=1,K88+L88,"")</f>
        <v/>
      </c>
      <c r="N88" s="139">
        <f>IF(Z88=1,J88-K88,"")</f>
        <v/>
      </c>
      <c r="P88" s="151" t="n">
        <v>57</v>
      </c>
      <c r="Q88" s="151">
        <f>YEAR(EDATE(DATE(YEAR($B$14),MONTH($B$14),1),P88-1))</f>
        <v/>
      </c>
      <c r="R88" s="151">
        <f>MONTH(EDATE(DATE(YEAR($B$14),MONTH($B$14),1),P88-1))</f>
        <v/>
      </c>
      <c r="S88" s="151">
        <f>DAY(EOMONTH(DATE(Q88,R88,1),0))</f>
        <v/>
      </c>
      <c r="T88" s="151">
        <f>IFERROR(INDEX(법정공휴일!$B$4:$M$20,MATCH(Q88,법정공휴일!$A$4:$A$20,0),R88),0)</f>
        <v/>
      </c>
      <c r="U88" s="151">
        <f>INDEX(CHOOSE($D$7,'공기산정(1일작업량)'!$G$27:$R$27,'공기산정(1일작업량)'!$G$28:$R$28,'공기산정(1일작업량)'!$G$29:$R$29,'공기산정(1일작업량)'!$G$30:$R$30),1,R88)</f>
        <v/>
      </c>
      <c r="V88" s="151">
        <f>ROUND(U88*T88/DAY(EOMONTH(DATE(Q88,R88,1),0)),1)</f>
        <v/>
      </c>
      <c r="W88" s="151">
        <f>ROUND(MAX(U88+T88-V88,8),0)</f>
        <v/>
      </c>
      <c r="X88" s="151">
        <f>S88*(DAY(EOMONTH(DATE(Q88,R88,1),0))-W88)/DAY(EOMONTH(DATE(Q88,R88,1),0))</f>
        <v/>
      </c>
      <c r="Y88" s="151">
        <f>Y87+X87</f>
        <v/>
      </c>
      <c r="Z88" s="151">
        <f>IF(AND(ISNUMBER($B$9),$B$9&gt;Y88),1,0)</f>
        <v/>
      </c>
    </row>
    <row r="89">
      <c r="A89" s="139">
        <f>IF(Z89=1,P89,"")</f>
        <v/>
      </c>
      <c r="B89" s="139">
        <f>IF(Z89=1,Q89&amp;"년 "&amp;R89&amp;"월","")</f>
        <v/>
      </c>
      <c r="C89" s="139">
        <f>IF(Z89=1,S89,"")</f>
        <v/>
      </c>
      <c r="D89" s="139">
        <f>IF(Z89=1,T89,"")</f>
        <v/>
      </c>
      <c r="E89" s="139">
        <f>IF(Z89=1,U89,"")</f>
        <v/>
      </c>
      <c r="F89" s="139">
        <f>IF(Z89=1,V89,"")</f>
        <v/>
      </c>
      <c r="G89" s="139">
        <f>IF(Z89=1,ROUND(U89+T89-V89,1),"")</f>
        <v/>
      </c>
      <c r="H89" s="139">
        <f>IF(Z89=1,W89,"")</f>
        <v/>
      </c>
      <c r="I89" s="139">
        <f>IF(Z89=1,ROUND(X89,1),"")</f>
        <v/>
      </c>
      <c r="J89" s="139">
        <f>IF(Z89=1,$B$9-Y89,"")</f>
        <v/>
      </c>
      <c r="K89" s="139">
        <f>IF(Z89=1,MIN(X89,$B$9-Y89),"")</f>
        <v/>
      </c>
      <c r="L89" s="139">
        <f>IF(Z89=1,ROUND(W89*S89/DAY(EOMONTH(DATE(Q89,R89,1),0))*MIN(X89,$B$9-Y89)/X89,1),"")</f>
        <v/>
      </c>
      <c r="M89" s="139">
        <f>IF(Z89=1,K89+L89,"")</f>
        <v/>
      </c>
      <c r="N89" s="139">
        <f>IF(Z89=1,J89-K89,"")</f>
        <v/>
      </c>
      <c r="P89" s="151" t="n">
        <v>58</v>
      </c>
      <c r="Q89" s="151">
        <f>YEAR(EDATE(DATE(YEAR($B$14),MONTH($B$14),1),P89-1))</f>
        <v/>
      </c>
      <c r="R89" s="151">
        <f>MONTH(EDATE(DATE(YEAR($B$14),MONTH($B$14),1),P89-1))</f>
        <v/>
      </c>
      <c r="S89" s="151">
        <f>DAY(EOMONTH(DATE(Q89,R89,1),0))</f>
        <v/>
      </c>
      <c r="T89" s="151">
        <f>IFERROR(INDEX(법정공휴일!$B$4:$M$20,MATCH(Q89,법정공휴일!$A$4:$A$20,0),R89),0)</f>
        <v/>
      </c>
      <c r="U89" s="151">
        <f>INDEX(CHOOSE($D$7,'공기산정(1일작업량)'!$G$27:$R$27,'공기산정(1일작업량)'!$G$28:$R$28,'공기산정(1일작업량)'!$G$29:$R$29,'공기산정(1일작업량)'!$G$30:$R$30),1,R89)</f>
        <v/>
      </c>
      <c r="V89" s="151">
        <f>ROUND(U89*T89/DAY(EOMONTH(DATE(Q89,R89,1),0)),1)</f>
        <v/>
      </c>
      <c r="W89" s="151">
        <f>ROUND(MAX(U89+T89-V89,8),0)</f>
        <v/>
      </c>
      <c r="X89" s="151">
        <f>S89*(DAY(EOMONTH(DATE(Q89,R89,1),0))-W89)/DAY(EOMONTH(DATE(Q89,R89,1),0))</f>
        <v/>
      </c>
      <c r="Y89" s="151">
        <f>Y88+X88</f>
        <v/>
      </c>
      <c r="Z89" s="151">
        <f>IF(AND(ISNUMBER($B$9),$B$9&gt;Y89),1,0)</f>
        <v/>
      </c>
    </row>
    <row r="90">
      <c r="A90" s="139">
        <f>IF(Z90=1,P90,"")</f>
        <v/>
      </c>
      <c r="B90" s="139">
        <f>IF(Z90=1,Q90&amp;"년 "&amp;R90&amp;"월","")</f>
        <v/>
      </c>
      <c r="C90" s="139">
        <f>IF(Z90=1,S90,"")</f>
        <v/>
      </c>
      <c r="D90" s="139">
        <f>IF(Z90=1,T90,"")</f>
        <v/>
      </c>
      <c r="E90" s="139">
        <f>IF(Z90=1,U90,"")</f>
        <v/>
      </c>
      <c r="F90" s="139">
        <f>IF(Z90=1,V90,"")</f>
        <v/>
      </c>
      <c r="G90" s="139">
        <f>IF(Z90=1,ROUND(U90+T90-V90,1),"")</f>
        <v/>
      </c>
      <c r="H90" s="139">
        <f>IF(Z90=1,W90,"")</f>
        <v/>
      </c>
      <c r="I90" s="139">
        <f>IF(Z90=1,ROUND(X90,1),"")</f>
        <v/>
      </c>
      <c r="J90" s="139">
        <f>IF(Z90=1,$B$9-Y90,"")</f>
        <v/>
      </c>
      <c r="K90" s="139">
        <f>IF(Z90=1,MIN(X90,$B$9-Y90),"")</f>
        <v/>
      </c>
      <c r="L90" s="139">
        <f>IF(Z90=1,ROUND(W90*S90/DAY(EOMONTH(DATE(Q90,R90,1),0))*MIN(X90,$B$9-Y90)/X90,1),"")</f>
        <v/>
      </c>
      <c r="M90" s="139">
        <f>IF(Z90=1,K90+L90,"")</f>
        <v/>
      </c>
      <c r="N90" s="139">
        <f>IF(Z90=1,J90-K90,"")</f>
        <v/>
      </c>
      <c r="P90" s="151" t="n">
        <v>59</v>
      </c>
      <c r="Q90" s="151">
        <f>YEAR(EDATE(DATE(YEAR($B$14),MONTH($B$14),1),P90-1))</f>
        <v/>
      </c>
      <c r="R90" s="151">
        <f>MONTH(EDATE(DATE(YEAR($B$14),MONTH($B$14),1),P90-1))</f>
        <v/>
      </c>
      <c r="S90" s="151">
        <f>DAY(EOMONTH(DATE(Q90,R90,1),0))</f>
        <v/>
      </c>
      <c r="T90" s="151">
        <f>IFERROR(INDEX(법정공휴일!$B$4:$M$20,MATCH(Q90,법정공휴일!$A$4:$A$20,0),R90),0)</f>
        <v/>
      </c>
      <c r="U90" s="151">
        <f>INDEX(CHOOSE($D$7,'공기산정(1일작업량)'!$G$27:$R$27,'공기산정(1일작업량)'!$G$28:$R$28,'공기산정(1일작업량)'!$G$29:$R$29,'공기산정(1일작업량)'!$G$30:$R$30),1,R90)</f>
        <v/>
      </c>
      <c r="V90" s="151">
        <f>ROUND(U90*T90/DAY(EOMONTH(DATE(Q90,R90,1),0)),1)</f>
        <v/>
      </c>
      <c r="W90" s="151">
        <f>ROUND(MAX(U90+T90-V90,8),0)</f>
        <v/>
      </c>
      <c r="X90" s="151">
        <f>S90*(DAY(EOMONTH(DATE(Q90,R90,1),0))-W90)/DAY(EOMONTH(DATE(Q90,R90,1),0))</f>
        <v/>
      </c>
      <c r="Y90" s="151">
        <f>Y89+X89</f>
        <v/>
      </c>
      <c r="Z90" s="151">
        <f>IF(AND(ISNUMBER($B$9),$B$9&gt;Y90),1,0)</f>
        <v/>
      </c>
    </row>
    <row r="91">
      <c r="A91" s="139">
        <f>IF(Z91=1,P91,"")</f>
        <v/>
      </c>
      <c r="B91" s="139">
        <f>IF(Z91=1,Q91&amp;"년 "&amp;R91&amp;"월","")</f>
        <v/>
      </c>
      <c r="C91" s="139">
        <f>IF(Z91=1,S91,"")</f>
        <v/>
      </c>
      <c r="D91" s="139">
        <f>IF(Z91=1,T91,"")</f>
        <v/>
      </c>
      <c r="E91" s="139">
        <f>IF(Z91=1,U91,"")</f>
        <v/>
      </c>
      <c r="F91" s="139">
        <f>IF(Z91=1,V91,"")</f>
        <v/>
      </c>
      <c r="G91" s="139">
        <f>IF(Z91=1,ROUND(U91+T91-V91,1),"")</f>
        <v/>
      </c>
      <c r="H91" s="139">
        <f>IF(Z91=1,W91,"")</f>
        <v/>
      </c>
      <c r="I91" s="139">
        <f>IF(Z91=1,ROUND(X91,1),"")</f>
        <v/>
      </c>
      <c r="J91" s="139">
        <f>IF(Z91=1,$B$9-Y91,"")</f>
        <v/>
      </c>
      <c r="K91" s="139">
        <f>IF(Z91=1,MIN(X91,$B$9-Y91),"")</f>
        <v/>
      </c>
      <c r="L91" s="139">
        <f>IF(Z91=1,ROUND(W91*S91/DAY(EOMONTH(DATE(Q91,R91,1),0))*MIN(X91,$B$9-Y91)/X91,1),"")</f>
        <v/>
      </c>
      <c r="M91" s="139">
        <f>IF(Z91=1,K91+L91,"")</f>
        <v/>
      </c>
      <c r="N91" s="139">
        <f>IF(Z91=1,J91-K91,"")</f>
        <v/>
      </c>
      <c r="P91" s="151" t="n">
        <v>60</v>
      </c>
      <c r="Q91" s="151">
        <f>YEAR(EDATE(DATE(YEAR($B$14),MONTH($B$14),1),P91-1))</f>
        <v/>
      </c>
      <c r="R91" s="151">
        <f>MONTH(EDATE(DATE(YEAR($B$14),MONTH($B$14),1),P91-1))</f>
        <v/>
      </c>
      <c r="S91" s="151">
        <f>DAY(EOMONTH(DATE(Q91,R91,1),0))</f>
        <v/>
      </c>
      <c r="T91" s="151">
        <f>IFERROR(INDEX(법정공휴일!$B$4:$M$20,MATCH(Q91,법정공휴일!$A$4:$A$20,0),R91),0)</f>
        <v/>
      </c>
      <c r="U91" s="151">
        <f>INDEX(CHOOSE($D$7,'공기산정(1일작업량)'!$G$27:$R$27,'공기산정(1일작업량)'!$G$28:$R$28,'공기산정(1일작업량)'!$G$29:$R$29,'공기산정(1일작업량)'!$G$30:$R$30),1,R91)</f>
        <v/>
      </c>
      <c r="V91" s="151">
        <f>ROUND(U91*T91/DAY(EOMONTH(DATE(Q91,R91,1),0)),1)</f>
        <v/>
      </c>
      <c r="W91" s="151">
        <f>ROUND(MAX(U91+T91-V91,8),0)</f>
        <v/>
      </c>
      <c r="X91" s="151">
        <f>S91*(DAY(EOMONTH(DATE(Q91,R91,1),0))-W91)/DAY(EOMONTH(DATE(Q91,R91,1),0))</f>
        <v/>
      </c>
      <c r="Y91" s="151">
        <f>Y90+X90</f>
        <v/>
      </c>
      <c r="Z91" s="151">
        <f>IF(AND(ISNUMBER($B$9),$B$9&gt;Y91),1,0)</f>
        <v/>
      </c>
    </row>
  </sheetData>
  <mergeCells count="1">
    <mergeCell ref="A2:N2"/>
  </mergeCells>
  <dataValidations count="1">
    <dataValidation sqref="B7" showDropDown="0" showInputMessage="0" showErrorMessage="0" allowBlank="0" type="list">
      <formula1>='공기산정(1일작업량)'!$C$13:$F$13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style="92" min="1" max="1"/>
    <col width="36" customWidth="1" style="92" min="2" max="2"/>
    <col width="24" customWidth="1" style="92" min="3" max="3"/>
    <col width="22" customWidth="1" style="92" min="4" max="4"/>
    <col width="24" customWidth="1" style="92" min="5" max="5"/>
    <col width="14" customWidth="1" style="92" min="6" max="6"/>
    <col width="20" customWidth="1" style="92" min="7" max="7"/>
    <col width="18" customWidth="1" style="92" min="8" max="8"/>
    <col width="30" customWidth="1" style="92" min="9" max="9"/>
  </cols>
  <sheetData>
    <row r="1">
      <c r="A1" s="152" t="inlineStr">
        <is>
          <t>작업제한 기상조건 참고표 (가이드라인 부록 2 - 토목 중심 발췌)</t>
        </is>
      </c>
    </row>
    <row r="2" ht="62" customHeight="1" s="92">
      <c r="A2" s="137" t="inlineStr">
        <is>
          <t>부록 2의 기준값은 작업마다 다르고(4℃, 5℃, 10 m/s 등) 부록 3에서 미리 계산된 13개 조건과 딱 맞지 않는 경우가 많습니다. 맨 오른쪽 '고를 조건 번호'는 가장 가까운 조건을 제가 제안한 것이므로, 현장 기준으로 판단해 '공기산정(1일작업량)' 시트의 기상조건 세트에 반영하고 근사한 경우에는 산정 근거에 이유를 적으세요. 전체 목록은 부록 2(원문 1355~1937행)를 확인하세요.</t>
        </is>
      </c>
    </row>
    <row r="4">
      <c r="A4" s="133" t="inlineStr">
        <is>
          <t>구분</t>
        </is>
      </c>
      <c r="B4" s="133" t="inlineStr">
        <is>
          <t>작업</t>
        </is>
      </c>
      <c r="C4" s="133" t="inlineStr">
        <is>
          <t>동절기·저온</t>
        </is>
      </c>
      <c r="D4" s="133" t="inlineStr">
        <is>
          <t>강우</t>
        </is>
      </c>
      <c r="E4" s="133" t="inlineStr">
        <is>
          <t>바람</t>
        </is>
      </c>
      <c r="F4" s="133" t="inlineStr">
        <is>
          <t>눈</t>
        </is>
      </c>
      <c r="G4" s="133" t="inlineStr">
        <is>
          <t>혹서기·고온</t>
        </is>
      </c>
      <c r="H4" s="133" t="inlineStr">
        <is>
          <t>출처</t>
        </is>
      </c>
      <c r="I4" s="133" t="inlineStr">
        <is>
          <t>고를 조건 번호(제안)</t>
        </is>
      </c>
    </row>
    <row r="5">
      <c r="A5" s="153" t="inlineStr">
        <is>
          <t>가설·장비</t>
        </is>
      </c>
      <c r="B5" s="153" t="inlineStr">
        <is>
          <t>이동식 크레인</t>
        </is>
      </c>
      <c r="C5" s="153" t="inlineStr"/>
      <c r="D5" s="153" t="inlineStr"/>
      <c r="E5" s="153" t="inlineStr">
        <is>
          <t>평균풍속 10 m/s 초과</t>
        </is>
      </c>
      <c r="F5" s="153" t="inlineStr"/>
      <c r="G5" s="153" t="inlineStr"/>
      <c r="H5" s="153" t="inlineStr">
        <is>
          <t>KCS 21 20 10</t>
        </is>
      </c>
      <c r="I5" s="153" t="inlineStr">
        <is>
          <t>13 (순간풍속 15m/s로 근사)</t>
        </is>
      </c>
    </row>
    <row r="6">
      <c r="A6" s="153" t="inlineStr">
        <is>
          <t>가설·장비</t>
        </is>
      </c>
      <c r="B6" s="153" t="inlineStr">
        <is>
          <t>타워크레인 설치·인상·해체·점검·수리</t>
        </is>
      </c>
      <c r="C6" s="153" t="inlineStr"/>
      <c r="D6" s="153" t="inlineStr">
        <is>
          <t>1 mm/hr 이상</t>
        </is>
      </c>
      <c r="E6" s="153" t="inlineStr">
        <is>
          <t>순간풍속 10 m/s 이상</t>
        </is>
      </c>
      <c r="F6" s="153" t="inlineStr">
        <is>
          <t>10 mm/hr 이상</t>
        </is>
      </c>
      <c r="G6" s="153" t="inlineStr"/>
      <c r="H6" s="153" t="inlineStr">
        <is>
          <t>KCS 21 20 10</t>
        </is>
      </c>
      <c r="I6" s="153" t="inlineStr">
        <is>
          <t>13 (10m/s는 부록3에 없음, 15m/s로 근사)</t>
        </is>
      </c>
    </row>
    <row r="7">
      <c r="A7" s="153" t="inlineStr">
        <is>
          <t>가설·장비</t>
        </is>
      </c>
      <c r="B7" s="153" t="inlineStr">
        <is>
          <t>타워크레인 운전작업</t>
        </is>
      </c>
      <c r="C7" s="153" t="inlineStr"/>
      <c r="D7" s="153" t="inlineStr"/>
      <c r="E7" s="153" t="inlineStr">
        <is>
          <t>순간풍속 15 m/s 이상</t>
        </is>
      </c>
      <c r="F7" s="153" t="inlineStr"/>
      <c r="G7" s="153" t="inlineStr"/>
      <c r="H7" s="153" t="inlineStr">
        <is>
          <t>KCS 21 20 10</t>
        </is>
      </c>
      <c r="I7" s="153" t="inlineStr">
        <is>
          <t>13</t>
        </is>
      </c>
    </row>
    <row r="8">
      <c r="A8" s="153" t="inlineStr">
        <is>
          <t>가설·장비</t>
        </is>
      </c>
      <c r="B8" s="153" t="inlineStr">
        <is>
          <t>건설용 리프트</t>
        </is>
      </c>
      <c r="C8" s="153" t="inlineStr"/>
      <c r="D8" s="153" t="inlineStr"/>
      <c r="E8" s="153" t="inlineStr">
        <is>
          <t>평균풍속 15 m/s 초과</t>
        </is>
      </c>
      <c r="F8" s="153" t="inlineStr"/>
      <c r="G8" s="153" t="inlineStr"/>
      <c r="H8" s="153" t="inlineStr">
        <is>
          <t>KCS 21 20 10</t>
        </is>
      </c>
      <c r="I8" s="153" t="inlineStr">
        <is>
          <t>13</t>
        </is>
      </c>
    </row>
    <row r="9">
      <c r="A9" s="153" t="inlineStr">
        <is>
          <t>가설·장비</t>
        </is>
      </c>
      <c r="B9" s="153" t="inlineStr">
        <is>
          <t>싣기 및 내리기(환경관리)</t>
        </is>
      </c>
      <c r="C9" s="153" t="inlineStr"/>
      <c r="D9" s="153" t="inlineStr"/>
      <c r="E9" s="153" t="inlineStr">
        <is>
          <t>평균풍속 8 m/s 이상</t>
        </is>
      </c>
      <c r="F9" s="153" t="inlineStr"/>
      <c r="G9" s="153" t="inlineStr"/>
      <c r="H9" s="153" t="inlineStr">
        <is>
          <t>KCS 21 20 15</t>
        </is>
      </c>
      <c r="I9" s="153" t="inlineStr">
        <is>
          <t>해당 조건 없음 (직접 검토)</t>
        </is>
      </c>
    </row>
    <row r="10">
      <c r="A10" s="153" t="inlineStr">
        <is>
          <t>토공·옹벽</t>
        </is>
      </c>
      <c r="B10" s="153" t="inlineStr">
        <is>
          <t>연약지반 고결공</t>
        </is>
      </c>
      <c r="C10" s="153" t="inlineStr">
        <is>
          <t>4℃ 이하</t>
        </is>
      </c>
      <c r="D10" s="153" t="inlineStr"/>
      <c r="E10" s="153" t="inlineStr">
        <is>
          <t>15 km/h 이상</t>
        </is>
      </c>
      <c r="F10" s="153" t="inlineStr"/>
      <c r="G10" s="153" t="inlineStr"/>
      <c r="H10" s="153" t="inlineStr">
        <is>
          <t>KCS 11 30 30</t>
        </is>
      </c>
      <c r="I10" s="153" t="inlineStr">
        <is>
          <t>5 (근사)</t>
        </is>
      </c>
    </row>
    <row r="11">
      <c r="A11" s="153" t="inlineStr">
        <is>
          <t>토공·옹벽</t>
        </is>
      </c>
      <c r="B11" s="153" t="inlineStr">
        <is>
          <t>콘크리트 뿜어붙이기</t>
        </is>
      </c>
      <c r="C11" s="153" t="inlineStr">
        <is>
          <t>양생 후 3일간 10℃ 미만</t>
        </is>
      </c>
      <c r="D11" s="153" t="inlineStr">
        <is>
          <t>일기가 좋지 못한 기상조건</t>
        </is>
      </c>
      <c r="E11" s="153" t="inlineStr">
        <is>
          <t>일기가 좋지 못한 기상조건</t>
        </is>
      </c>
      <c r="F11" s="153" t="inlineStr"/>
      <c r="G11" s="153" t="inlineStr"/>
      <c r="H11" s="153" t="inlineStr">
        <is>
          <t>KCS 11 73 10</t>
        </is>
      </c>
      <c r="I11" s="153" t="inlineStr">
        <is>
          <t>5, 9</t>
        </is>
      </c>
    </row>
    <row r="12">
      <c r="A12" s="153" t="inlineStr">
        <is>
          <t>토공·옹벽</t>
        </is>
      </c>
      <c r="B12" s="153" t="inlineStr">
        <is>
          <t>비탈면 녹화</t>
        </is>
      </c>
      <c r="C12" s="153" t="inlineStr">
        <is>
          <t>10℃ 이하</t>
        </is>
      </c>
      <c r="D12" s="153" t="inlineStr"/>
      <c r="E12" s="153" t="inlineStr"/>
      <c r="F12" s="153" t="inlineStr"/>
      <c r="G12" s="153" t="inlineStr">
        <is>
          <t>25℃ 이상</t>
        </is>
      </c>
      <c r="H12" s="153" t="inlineStr">
        <is>
          <t>KCS 11 73 15</t>
        </is>
      </c>
      <c r="I12" s="153" t="inlineStr">
        <is>
          <t>해당 조건 없음 (직접 검토)</t>
        </is>
      </c>
    </row>
    <row r="13">
      <c r="A13" s="153" t="inlineStr">
        <is>
          <t>토공·옹벽</t>
        </is>
      </c>
      <c r="B13" s="153" t="inlineStr">
        <is>
          <t>혼합토 표층개량제 포설 및 다짐</t>
        </is>
      </c>
      <c r="C13" s="153" t="inlineStr">
        <is>
          <t>일 최저기온 0℃</t>
        </is>
      </c>
      <c r="D13" s="153" t="inlineStr"/>
      <c r="E13" s="153" t="inlineStr"/>
      <c r="F13" s="153" t="inlineStr"/>
      <c r="G13" s="153" t="inlineStr"/>
      <c r="H13" s="153" t="inlineStr">
        <is>
          <t>EXCS 11 73 20</t>
        </is>
      </c>
      <c r="I13" s="153" t="inlineStr">
        <is>
          <t>5 (근사)</t>
        </is>
      </c>
    </row>
    <row r="14">
      <c r="A14" s="153" t="inlineStr">
        <is>
          <t>토공·옹벽</t>
        </is>
      </c>
      <c r="B14" s="153" t="inlineStr">
        <is>
          <t>화강풍암토 비탈면 녹화</t>
        </is>
      </c>
      <c r="C14" s="153" t="inlineStr"/>
      <c r="D14" s="153" t="inlineStr"/>
      <c r="E14" s="153" t="inlineStr"/>
      <c r="F14" s="153" t="inlineStr"/>
      <c r="G14" s="153" t="inlineStr">
        <is>
          <t>일평균 기온 25℃ 이상</t>
        </is>
      </c>
      <c r="H14" s="153" t="inlineStr">
        <is>
          <t>EXCS 11 73 25</t>
        </is>
      </c>
      <c r="I14" s="153" t="inlineStr">
        <is>
          <t>해당 조건 없음 (직접 검토)</t>
        </is>
      </c>
    </row>
    <row r="15">
      <c r="A15" s="153" t="inlineStr">
        <is>
          <t>토공·옹벽</t>
        </is>
      </c>
      <c r="B15" s="153" t="inlineStr">
        <is>
          <t>보강토 옹벽 뒷채움 다짐 및 블록 속채움</t>
        </is>
      </c>
      <c r="C15" s="153" t="inlineStr">
        <is>
          <t>1.5℃ 미만</t>
        </is>
      </c>
      <c r="D15" s="153" t="inlineStr">
        <is>
          <t>강우 시</t>
        </is>
      </c>
      <c r="E15" s="153" t="inlineStr"/>
      <c r="F15" s="153" t="inlineStr">
        <is>
          <t>강설 시</t>
        </is>
      </c>
      <c r="G15" s="153" t="inlineStr"/>
      <c r="H15" s="153" t="inlineStr">
        <is>
          <t>KCS 11 80 10</t>
        </is>
      </c>
      <c r="I15" s="153" t="inlineStr">
        <is>
          <t>5, 9, 6</t>
        </is>
      </c>
    </row>
    <row r="16">
      <c r="A16" s="153" t="inlineStr">
        <is>
          <t>토공·옹벽</t>
        </is>
      </c>
      <c r="B16" s="153" t="inlineStr">
        <is>
          <t>돌(블록)쌓기 옹벽</t>
        </is>
      </c>
      <c r="C16" s="153" t="inlineStr">
        <is>
          <t>착수 전·쌓기 중·완료 후 48시간 동안 5℃ 미만</t>
        </is>
      </c>
      <c r="D16" s="153" t="inlineStr"/>
      <c r="E16" s="153" t="inlineStr"/>
      <c r="F16" s="153" t="inlineStr"/>
      <c r="G16" s="153" t="inlineStr">
        <is>
          <t>30℃ 이상</t>
        </is>
      </c>
      <c r="H16" s="153" t="inlineStr">
        <is>
          <t>KCS 11 80 25</t>
        </is>
      </c>
      <c r="I16" s="153" t="inlineStr">
        <is>
          <t>5, 3 (근사)</t>
        </is>
      </c>
    </row>
    <row r="17">
      <c r="A17" s="153" t="inlineStr">
        <is>
          <t>토공·옹벽</t>
        </is>
      </c>
      <c r="B17" s="153" t="inlineStr">
        <is>
          <t>H-PIPE 옹벽 엄지말뚝 이음(용접)</t>
        </is>
      </c>
      <c r="C17" s="153" t="inlineStr">
        <is>
          <t>0℃ 이하</t>
        </is>
      </c>
      <c r="D17" s="153" t="inlineStr">
        <is>
          <t>강우 시</t>
        </is>
      </c>
      <c r="E17" s="153" t="inlineStr"/>
      <c r="F17" s="153" t="inlineStr">
        <is>
          <t>강설 시</t>
        </is>
      </c>
      <c r="G17" s="153" t="inlineStr"/>
      <c r="H17" s="153" t="inlineStr">
        <is>
          <t>LHCS 11 80 30</t>
        </is>
      </c>
      <c r="I17" s="153" t="inlineStr">
        <is>
          <t>5, 9, 6</t>
        </is>
      </c>
    </row>
    <row r="18">
      <c r="A18" s="153" t="inlineStr">
        <is>
          <t>굴착·복구</t>
        </is>
      </c>
      <c r="B18" s="153" t="inlineStr">
        <is>
          <t>굴착 및 복구공사 다짐</t>
        </is>
      </c>
      <c r="C18" s="153" t="inlineStr">
        <is>
          <t>0℃ 이하</t>
        </is>
      </c>
      <c r="D18" s="153" t="inlineStr">
        <is>
          <t>강우 시</t>
        </is>
      </c>
      <c r="E18" s="153" t="inlineStr"/>
      <c r="F18" s="153" t="inlineStr"/>
      <c r="G18" s="153" t="inlineStr"/>
      <c r="H18" s="153" t="inlineStr">
        <is>
          <t>SMCS 11 85 10</t>
        </is>
      </c>
      <c r="I18" s="153" t="inlineStr">
        <is>
          <t>5, 9</t>
        </is>
      </c>
    </row>
    <row r="19">
      <c r="A19" s="153" t="inlineStr">
        <is>
          <t>콘크리트</t>
        </is>
      </c>
      <c r="B19" s="153" t="inlineStr">
        <is>
          <t>일반 콘크리트</t>
        </is>
      </c>
      <c r="C19" s="153" t="inlineStr"/>
      <c r="D19" s="153" t="inlineStr">
        <is>
          <t>강우 시</t>
        </is>
      </c>
      <c r="E19" s="153" t="inlineStr"/>
      <c r="F19" s="153" t="inlineStr">
        <is>
          <t>강설 시</t>
        </is>
      </c>
      <c r="G19" s="153" t="inlineStr"/>
      <c r="H19" s="153" t="inlineStr">
        <is>
          <t>KCS 14 20 10</t>
        </is>
      </c>
      <c r="I19" s="153" t="inlineStr">
        <is>
          <t>9, 6</t>
        </is>
      </c>
    </row>
    <row r="20">
      <c r="A20" s="153" t="inlineStr">
        <is>
          <t>콘크리트</t>
        </is>
      </c>
      <c r="B20" s="153" t="inlineStr">
        <is>
          <t>일반 콘크리트 모르타르·그라우트</t>
        </is>
      </c>
      <c r="C20" s="153" t="inlineStr">
        <is>
          <t>작업 시작 전·중 5℃, 완료 후 48시간 동안 10℃ 이상</t>
        </is>
      </c>
      <c r="D20" s="153" t="inlineStr"/>
      <c r="E20" s="153" t="inlineStr"/>
      <c r="F20" s="153" t="inlineStr"/>
      <c r="G20" s="153" t="inlineStr">
        <is>
          <t>작업 시작 전·중·완료 후 48시간 동안 30℃ 초과</t>
        </is>
      </c>
      <c r="H20" s="153" t="inlineStr">
        <is>
          <t>LHCS 14 20 10 15·20</t>
        </is>
      </c>
      <c r="I20" s="153" t="inlineStr">
        <is>
          <t>5, 3 (근사)</t>
        </is>
      </c>
    </row>
    <row r="21">
      <c r="A21" s="153" t="inlineStr">
        <is>
          <t>콘크리트</t>
        </is>
      </c>
      <c r="B21" s="153" t="inlineStr">
        <is>
          <t>한중 콘크리트</t>
        </is>
      </c>
      <c r="C21" s="153" t="inlineStr">
        <is>
          <t>일평균 기온 -3℃ 이하</t>
        </is>
      </c>
      <c r="D21" s="153" t="inlineStr"/>
      <c r="E21" s="153" t="inlineStr"/>
      <c r="F21" s="153" t="inlineStr"/>
      <c r="G21" s="153" t="inlineStr"/>
      <c r="H21" s="153" t="inlineStr">
        <is>
          <t>EXCS 14 20 40</t>
        </is>
      </c>
      <c r="I21" s="153" t="inlineStr">
        <is>
          <t>5 (근사)</t>
        </is>
      </c>
    </row>
    <row r="22">
      <c r="A22" s="153" t="inlineStr">
        <is>
          <t>콘크리트</t>
        </is>
      </c>
      <c r="B22" s="153" t="inlineStr">
        <is>
          <t>숏 콘크리트</t>
        </is>
      </c>
      <c r="C22" s="153" t="inlineStr"/>
      <c r="D22" s="153" t="inlineStr"/>
      <c r="E22" s="153" t="inlineStr"/>
      <c r="F22" s="153" t="inlineStr"/>
      <c r="G22" s="153" t="inlineStr">
        <is>
          <t>32℃ 이상</t>
        </is>
      </c>
      <c r="H22" s="153" t="inlineStr">
        <is>
          <t>KCS 14 20 51</t>
        </is>
      </c>
      <c r="I22" s="153" t="inlineStr">
        <is>
          <t>3 (33℃로 근사)</t>
        </is>
      </c>
    </row>
    <row r="23">
      <c r="A23" s="153" t="inlineStr">
        <is>
          <t>콘크리트</t>
        </is>
      </c>
      <c r="B23" s="153" t="inlineStr">
        <is>
          <t>프리캐스트 콘크리트</t>
        </is>
      </c>
      <c r="C23" s="153" t="inlineStr">
        <is>
          <t>-5℃ 이하</t>
        </is>
      </c>
      <c r="D23" s="153" t="inlineStr"/>
      <c r="E23" s="153" t="inlineStr">
        <is>
          <t>풍속 10 m/s 이상</t>
        </is>
      </c>
      <c r="F23" s="153" t="inlineStr"/>
      <c r="G23" s="153" t="inlineStr"/>
      <c r="H23" s="153" t="inlineStr">
        <is>
          <t>SMCS 14 20 52</t>
        </is>
      </c>
      <c r="I23" s="153" t="inlineStr">
        <is>
          <t>5, 13 (근사)</t>
        </is>
      </c>
    </row>
    <row r="24">
      <c r="A24" s="153" t="inlineStr">
        <is>
          <t>강구조·교량</t>
        </is>
      </c>
      <c r="B24" s="153" t="inlineStr">
        <is>
          <t>일렉트로가스 용접</t>
        </is>
      </c>
      <c r="C24" s="153" t="inlineStr"/>
      <c r="D24" s="153" t="inlineStr"/>
      <c r="E24" s="153" t="inlineStr">
        <is>
          <t>풍속 2.7 m/s 이상</t>
        </is>
      </c>
      <c r="F24" s="153" t="inlineStr"/>
      <c r="G24" s="153" t="inlineStr"/>
      <c r="H24" s="153" t="inlineStr">
        <is>
          <t>KCS 14 31 20</t>
        </is>
      </c>
      <c r="I24" s="153" t="inlineStr">
        <is>
          <t>13 (근사)</t>
        </is>
      </c>
    </row>
    <row r="25">
      <c r="A25" s="153" t="inlineStr">
        <is>
          <t>강구조·교량</t>
        </is>
      </c>
      <c r="B25" s="153" t="inlineStr">
        <is>
          <t>강구조 조립 및 설치(현장 접합)</t>
        </is>
      </c>
      <c r="C25" s="153" t="inlineStr">
        <is>
          <t>대기온도 -20℃ 이하</t>
        </is>
      </c>
      <c r="D25" s="153" t="inlineStr">
        <is>
          <t>강우 시, 강우 가능성이 있는 경우, 강우 직후</t>
        </is>
      </c>
      <c r="E25" s="153" t="inlineStr">
        <is>
          <t>풍속 2.0 m/s 이상</t>
        </is>
      </c>
      <c r="F25" s="153" t="inlineStr"/>
      <c r="G25" s="153" t="inlineStr"/>
      <c r="H25" s="153" t="inlineStr">
        <is>
          <t>KCS 14 31 30</t>
        </is>
      </c>
      <c r="I25" s="153" t="inlineStr">
        <is>
          <t>9, 13 (근사)</t>
        </is>
      </c>
    </row>
    <row r="26">
      <c r="A26" s="153" t="inlineStr">
        <is>
          <t>강구조·교량</t>
        </is>
      </c>
      <c r="B26" s="153" t="inlineStr">
        <is>
          <t>강구조 도장</t>
        </is>
      </c>
      <c r="C26" s="153" t="inlineStr">
        <is>
          <t>5℃ 미만</t>
        </is>
      </c>
      <c r="D26" s="153" t="inlineStr">
        <is>
          <t>강우 시</t>
        </is>
      </c>
      <c r="E26" s="153" t="inlineStr">
        <is>
          <t>강풍</t>
        </is>
      </c>
      <c r="F26" s="153" t="inlineStr">
        <is>
          <t>강설 시</t>
        </is>
      </c>
      <c r="G26" s="153" t="inlineStr">
        <is>
          <t>43℃ 이상</t>
        </is>
      </c>
      <c r="H26" s="153" t="inlineStr">
        <is>
          <t>KCS 14 31 40</t>
        </is>
      </c>
      <c r="I26" s="153" t="inlineStr">
        <is>
          <t>9, 6, 13</t>
        </is>
      </c>
    </row>
    <row r="27">
      <c r="A27" s="153" t="inlineStr">
        <is>
          <t>강구조·교량</t>
        </is>
      </c>
      <c r="B27" s="153" t="inlineStr">
        <is>
          <t>강교 제작 및 가설(현장 용접)</t>
        </is>
      </c>
      <c r="C27" s="153" t="inlineStr">
        <is>
          <t>5℃ 이하</t>
        </is>
      </c>
      <c r="D27" s="153" t="inlineStr">
        <is>
          <t>강우 시, 강우 가능성이 있는 경우, 강우 직후</t>
        </is>
      </c>
      <c r="E27" s="153" t="inlineStr">
        <is>
          <t>피복 아크용접 5 m/s 이상, 플럭스코어드 아크용접 2 m/s 이상</t>
        </is>
      </c>
      <c r="F27" s="153" t="inlineStr"/>
      <c r="G27" s="153" t="inlineStr"/>
      <c r="H27" s="153" t="inlineStr">
        <is>
          <t>EXCS 24 30 00</t>
        </is>
      </c>
      <c r="I27" s="153" t="inlineStr">
        <is>
          <t>5, 9, 13 (근사)</t>
        </is>
      </c>
    </row>
    <row r="28">
      <c r="A28" s="153" t="inlineStr">
        <is>
          <t>강구조·교량</t>
        </is>
      </c>
      <c r="B28" s="153" t="inlineStr">
        <is>
          <t>신축이음</t>
        </is>
      </c>
      <c r="C28" s="153" t="inlineStr">
        <is>
          <t>5℃ 미만</t>
        </is>
      </c>
      <c r="D28" s="153" t="inlineStr"/>
      <c r="E28" s="153" t="inlineStr"/>
      <c r="F28" s="153" t="inlineStr"/>
      <c r="G28" s="153" t="inlineStr"/>
      <c r="H28" s="153" t="inlineStr">
        <is>
          <t>KCS 24 40 10</t>
        </is>
      </c>
      <c r="I28" s="153" t="inlineStr">
        <is>
          <t>5 (근사)</t>
        </is>
      </c>
    </row>
    <row r="29">
      <c r="A29" s="153" t="inlineStr">
        <is>
          <t>강구조·교량</t>
        </is>
      </c>
      <c r="B29" s="153" t="inlineStr">
        <is>
          <t>교면방수</t>
        </is>
      </c>
      <c r="C29" s="153" t="inlineStr">
        <is>
          <t>5℃ 이하</t>
        </is>
      </c>
      <c r="D29" s="153" t="inlineStr">
        <is>
          <t>강우 시</t>
        </is>
      </c>
      <c r="E29" s="153" t="inlineStr">
        <is>
          <t>강풍 시</t>
        </is>
      </c>
      <c r="F29" s="153" t="inlineStr"/>
      <c r="G29" s="153" t="inlineStr">
        <is>
          <t>30℃ 초과</t>
        </is>
      </c>
      <c r="H29" s="153" t="inlineStr">
        <is>
          <t>KCS 24 40 20</t>
        </is>
      </c>
      <c r="I29" s="153" t="inlineStr">
        <is>
          <t>5, 9, 13, 3</t>
        </is>
      </c>
    </row>
    <row r="30">
      <c r="A30" s="153" t="inlineStr">
        <is>
          <t>강구조·교량</t>
        </is>
      </c>
      <c r="B30" s="153" t="inlineStr">
        <is>
          <t>일체식(노출) 시멘트콘크리트 교면포장</t>
        </is>
      </c>
      <c r="C30" s="153" t="inlineStr">
        <is>
          <t>7℃ 이하</t>
        </is>
      </c>
      <c r="D30" s="153" t="inlineStr">
        <is>
          <t>강우 시</t>
        </is>
      </c>
      <c r="E30" s="153" t="inlineStr"/>
      <c r="F30" s="153" t="inlineStr"/>
      <c r="G30" s="153" t="inlineStr">
        <is>
          <t>30℃ 이상</t>
        </is>
      </c>
      <c r="H30" s="153" t="inlineStr">
        <is>
          <t>EXCS 24 70 10</t>
        </is>
      </c>
      <c r="I30" s="153" t="inlineStr">
        <is>
          <t>5, 9, 3</t>
        </is>
      </c>
    </row>
    <row r="31">
      <c r="A31" s="153" t="inlineStr">
        <is>
          <t>도로포장</t>
        </is>
      </c>
      <c r="B31" s="153" t="inlineStr">
        <is>
          <t>동상방지층·보조기층·기층 - 아스팔트콘크리트 기층</t>
        </is>
      </c>
      <c r="C31" s="153" t="inlineStr">
        <is>
          <t>5℃ 이하</t>
        </is>
      </c>
      <c r="D31" s="153" t="inlineStr">
        <is>
          <t>강우 시</t>
        </is>
      </c>
      <c r="E31" s="153" t="inlineStr"/>
      <c r="F31" s="153" t="inlineStr"/>
      <c r="G31" s="153" t="inlineStr"/>
      <c r="H31" s="153" t="inlineStr">
        <is>
          <t>KCS 44 50 05</t>
        </is>
      </c>
      <c r="I31" s="153" t="inlineStr">
        <is>
          <t>5, 9</t>
        </is>
      </c>
    </row>
    <row r="32">
      <c r="A32" s="153" t="inlineStr">
        <is>
          <t>도로포장</t>
        </is>
      </c>
      <c r="B32" s="153" t="inlineStr">
        <is>
          <t>동상방지층·보조기층·기층 - 시멘트안정처리 기층</t>
        </is>
      </c>
      <c r="C32" s="153" t="inlineStr">
        <is>
          <t>4℃ 이하</t>
        </is>
      </c>
      <c r="D32" s="153" t="inlineStr">
        <is>
          <t>강우 시</t>
        </is>
      </c>
      <c r="E32" s="153" t="inlineStr"/>
      <c r="F32" s="153" t="inlineStr"/>
      <c r="G32" s="153" t="inlineStr"/>
      <c r="H32" s="153" t="inlineStr">
        <is>
          <t>KCS 44 50 05</t>
        </is>
      </c>
      <c r="I32" s="153" t="inlineStr">
        <is>
          <t>5, 9</t>
        </is>
      </c>
    </row>
    <row r="33">
      <c r="A33" s="153" t="inlineStr">
        <is>
          <t>도로포장</t>
        </is>
      </c>
      <c r="B33" s="153" t="inlineStr">
        <is>
          <t>프라임코트</t>
        </is>
      </c>
      <c r="C33" s="153" t="inlineStr">
        <is>
          <t>10℃ 이하</t>
        </is>
      </c>
      <c r="D33" s="153" t="inlineStr">
        <is>
          <t>강우 시</t>
        </is>
      </c>
      <c r="E33" s="153" t="inlineStr"/>
      <c r="F33" s="153" t="inlineStr"/>
      <c r="G33" s="153" t="inlineStr"/>
      <c r="H33" s="153" t="inlineStr">
        <is>
          <t>KCS 44 50 10</t>
        </is>
      </c>
      <c r="I33" s="153" t="inlineStr">
        <is>
          <t>5, 9</t>
        </is>
      </c>
    </row>
    <row r="34">
      <c r="A34" s="153" t="inlineStr">
        <is>
          <t>도로포장</t>
        </is>
      </c>
      <c r="B34" s="153" t="inlineStr">
        <is>
          <t>택코트</t>
        </is>
      </c>
      <c r="C34" s="153" t="inlineStr">
        <is>
          <t>5℃ 이하</t>
        </is>
      </c>
      <c r="D34" s="153" t="inlineStr">
        <is>
          <t>강우 시</t>
        </is>
      </c>
      <c r="E34" s="153" t="inlineStr"/>
      <c r="F34" s="153" t="inlineStr"/>
      <c r="G34" s="153" t="inlineStr"/>
      <c r="H34" s="153" t="inlineStr">
        <is>
          <t>KCS 44 50 10</t>
        </is>
      </c>
      <c r="I34" s="153" t="inlineStr">
        <is>
          <t>5, 9</t>
        </is>
      </c>
    </row>
    <row r="35">
      <c r="A35" s="153" t="inlineStr">
        <is>
          <t>도로포장</t>
        </is>
      </c>
      <c r="B35" s="153" t="inlineStr">
        <is>
          <t>실코트</t>
        </is>
      </c>
      <c r="C35" s="153" t="inlineStr">
        <is>
          <t>10℃ 이하</t>
        </is>
      </c>
      <c r="D35" s="153" t="inlineStr">
        <is>
          <t>강우 시</t>
        </is>
      </c>
      <c r="E35" s="153" t="inlineStr"/>
      <c r="F35" s="153" t="inlineStr"/>
      <c r="G35" s="153" t="inlineStr"/>
      <c r="H35" s="153" t="inlineStr">
        <is>
          <t>KCS 44 50 10</t>
        </is>
      </c>
      <c r="I35" s="153" t="inlineStr">
        <is>
          <t>5, 9</t>
        </is>
      </c>
    </row>
    <row r="36">
      <c r="A36" s="153" t="inlineStr">
        <is>
          <t>도로포장</t>
        </is>
      </c>
      <c r="B36" s="153" t="inlineStr">
        <is>
          <t>아스팔트콘크리트 중간층·표층</t>
        </is>
      </c>
      <c r="C36" s="153" t="inlineStr">
        <is>
          <t>5℃ 이하</t>
        </is>
      </c>
      <c r="D36" s="153" t="inlineStr">
        <is>
          <t>강우 시</t>
        </is>
      </c>
      <c r="E36" s="153" t="inlineStr"/>
      <c r="F36" s="153" t="inlineStr"/>
      <c r="G36" s="153" t="inlineStr"/>
      <c r="H36" s="153" t="inlineStr">
        <is>
          <t>KCS 44 50 10</t>
        </is>
      </c>
      <c r="I36" s="153" t="inlineStr">
        <is>
          <t>5, 9</t>
        </is>
      </c>
    </row>
    <row r="37">
      <c r="A37" s="153" t="inlineStr">
        <is>
          <t>도로포장</t>
        </is>
      </c>
      <c r="B37" s="153" t="inlineStr">
        <is>
          <t>배수성 아스팔트콘크리트 포장</t>
        </is>
      </c>
      <c r="C37" s="153" t="inlineStr">
        <is>
          <t>5℃ 이하</t>
        </is>
      </c>
      <c r="D37" s="153" t="inlineStr">
        <is>
          <t>강우 시</t>
        </is>
      </c>
      <c r="E37" s="153" t="inlineStr"/>
      <c r="F37" s="153" t="inlineStr"/>
      <c r="G37" s="153" t="inlineStr"/>
      <c r="H37" s="153" t="inlineStr">
        <is>
          <t>LHCS 44 50 10 30</t>
        </is>
      </c>
      <c r="I37" s="153" t="inlineStr">
        <is>
          <t>5, 9</t>
        </is>
      </c>
    </row>
    <row r="38">
      <c r="A38" s="153" t="inlineStr">
        <is>
          <t>도로포장</t>
        </is>
      </c>
      <c r="B38" s="153" t="inlineStr">
        <is>
          <t>저소음 비배수성 아스팔트 포장</t>
        </is>
      </c>
      <c r="C38" s="153" t="inlineStr">
        <is>
          <t>5℃ 이하</t>
        </is>
      </c>
      <c r="D38" s="153" t="inlineStr">
        <is>
          <t>강우 시</t>
        </is>
      </c>
      <c r="E38" s="153" t="inlineStr"/>
      <c r="F38" s="153" t="inlineStr"/>
      <c r="G38" s="153" t="inlineStr"/>
      <c r="H38" s="153" t="inlineStr">
        <is>
          <t>LHCS 44 50 10 35</t>
        </is>
      </c>
      <c r="I38" s="153" t="inlineStr">
        <is>
          <t>5, 9</t>
        </is>
      </c>
    </row>
    <row r="39">
      <c r="A39" s="153" t="inlineStr">
        <is>
          <t>도로포장</t>
        </is>
      </c>
      <c r="B39" s="153" t="inlineStr">
        <is>
          <t>중온 아스팔트콘크리트 포장</t>
        </is>
      </c>
      <c r="C39" s="153" t="inlineStr">
        <is>
          <t>2℃ 이하</t>
        </is>
      </c>
      <c r="D39" s="153" t="inlineStr">
        <is>
          <t>강우 시</t>
        </is>
      </c>
      <c r="E39" s="153" t="inlineStr"/>
      <c r="F39" s="153" t="inlineStr"/>
      <c r="G39" s="153" t="inlineStr"/>
      <c r="H39" s="153" t="inlineStr">
        <is>
          <t>LHCS 44 50 10 40</t>
        </is>
      </c>
      <c r="I39" s="153" t="inlineStr">
        <is>
          <t>5, 9</t>
        </is>
      </c>
    </row>
    <row r="40">
      <c r="A40" s="153" t="inlineStr">
        <is>
          <t>도로포장</t>
        </is>
      </c>
      <c r="B40" s="153" t="inlineStr">
        <is>
          <t>투수 아스팔트콘크리트 포장</t>
        </is>
      </c>
      <c r="C40" s="153" t="inlineStr">
        <is>
          <t>5℃ 이하, 기층면 동결 시</t>
        </is>
      </c>
      <c r="D40" s="153" t="inlineStr"/>
      <c r="E40" s="153" t="inlineStr"/>
      <c r="F40" s="153" t="inlineStr"/>
      <c r="G40" s="153" t="inlineStr"/>
      <c r="H40" s="153" t="inlineStr">
        <is>
          <t>SMCS 44 50 10 45</t>
        </is>
      </c>
      <c r="I40" s="153" t="inlineStr">
        <is>
          <t>5</t>
        </is>
      </c>
    </row>
    <row r="41">
      <c r="A41" s="153" t="inlineStr">
        <is>
          <t>도로포장</t>
        </is>
      </c>
      <c r="B41" s="153" t="inlineStr">
        <is>
          <t>시멘트콘크리트 포장(빈배합)</t>
        </is>
      </c>
      <c r="C41" s="153" t="inlineStr">
        <is>
          <t>일평균기온 4℃ 이하</t>
        </is>
      </c>
      <c r="D41" s="153" t="inlineStr">
        <is>
          <t>강우 시</t>
        </is>
      </c>
      <c r="E41" s="153" t="inlineStr"/>
      <c r="F41" s="153" t="inlineStr"/>
      <c r="G41" s="153" t="inlineStr"/>
      <c r="H41" s="153" t="inlineStr">
        <is>
          <t>KCS 44 50 15</t>
        </is>
      </c>
      <c r="I41" s="153" t="inlineStr">
        <is>
          <t>5, 9</t>
        </is>
      </c>
    </row>
    <row r="42">
      <c r="A42" s="153" t="inlineStr">
        <is>
          <t>도로포장</t>
        </is>
      </c>
      <c r="B42" s="153" t="inlineStr">
        <is>
          <t>경하중 시멘트콘크리트 포장</t>
        </is>
      </c>
      <c r="C42" s="153" t="inlineStr">
        <is>
          <t>4℃ 이하</t>
        </is>
      </c>
      <c r="D42" s="153" t="inlineStr">
        <is>
          <t>강우 시</t>
        </is>
      </c>
      <c r="E42" s="153" t="inlineStr"/>
      <c r="F42" s="153" t="inlineStr"/>
      <c r="G42" s="153" t="inlineStr">
        <is>
          <t>30℃ 이상</t>
        </is>
      </c>
      <c r="H42" s="153" t="inlineStr">
        <is>
          <t>LHCS 44 50 15 15</t>
        </is>
      </c>
      <c r="I42" s="153" t="inlineStr">
        <is>
          <t>5, 9, 3</t>
        </is>
      </c>
    </row>
    <row r="43">
      <c r="A43" s="153" t="inlineStr">
        <is>
          <t>도로포장</t>
        </is>
      </c>
      <c r="B43" s="153" t="inlineStr">
        <is>
          <t>투수 콘크리트 포장</t>
        </is>
      </c>
      <c r="C43" s="153" t="inlineStr">
        <is>
          <t>5℃ 이하</t>
        </is>
      </c>
      <c r="D43" s="153" t="inlineStr"/>
      <c r="E43" s="153" t="inlineStr"/>
      <c r="F43" s="153" t="inlineStr"/>
      <c r="G43" s="153" t="inlineStr">
        <is>
          <t>30℃ 이상</t>
        </is>
      </c>
      <c r="H43" s="153" t="inlineStr">
        <is>
          <t>SMCS 44 50 20</t>
        </is>
      </c>
      <c r="I43" s="153" t="inlineStr">
        <is>
          <t>5, 3</t>
        </is>
      </c>
    </row>
    <row r="44">
      <c r="A44" s="153" t="inlineStr">
        <is>
          <t>도로포장</t>
        </is>
      </c>
      <c r="B44" s="153" t="inlineStr">
        <is>
          <t>경하중 아스팔트콘크리트 포장</t>
        </is>
      </c>
      <c r="C44" s="153" t="inlineStr">
        <is>
          <t>5℃ 이하</t>
        </is>
      </c>
      <c r="D44" s="153" t="inlineStr">
        <is>
          <t>강우 시</t>
        </is>
      </c>
      <c r="E44" s="153" t="inlineStr"/>
      <c r="F44" s="153" t="inlineStr"/>
      <c r="G44" s="153" t="inlineStr"/>
      <c r="H44" s="153" t="inlineStr">
        <is>
          <t>SMCS 44 50 25 05</t>
        </is>
      </c>
      <c r="I44" s="153" t="inlineStr">
        <is>
          <t>5, 9</t>
        </is>
      </c>
    </row>
    <row r="45">
      <c r="A45" s="153" t="inlineStr">
        <is>
          <t>도로포장</t>
        </is>
      </c>
      <c r="B45" s="153" t="inlineStr">
        <is>
          <t>인터로킹 블록포장</t>
        </is>
      </c>
      <c r="C45" s="153" t="inlineStr">
        <is>
          <t>바닥면이 얼어있을 경우</t>
        </is>
      </c>
      <c r="D45" s="153" t="inlineStr">
        <is>
          <t>강우 시</t>
        </is>
      </c>
      <c r="E45" s="153" t="inlineStr"/>
      <c r="F45" s="153" t="inlineStr"/>
      <c r="G45" s="153" t="inlineStr"/>
      <c r="H45" s="153" t="inlineStr">
        <is>
          <t>SMCS 44 50 30 10</t>
        </is>
      </c>
      <c r="I45" s="153" t="inlineStr">
        <is>
          <t>5, 9</t>
        </is>
      </c>
    </row>
    <row r="46">
      <c r="A46" s="153" t="inlineStr">
        <is>
          <t>도로안전</t>
        </is>
      </c>
      <c r="B46" s="153" t="inlineStr">
        <is>
          <t>노면표시(차선도색) 시공</t>
        </is>
      </c>
      <c r="C46" s="153" t="inlineStr">
        <is>
          <t>5℃ 이하</t>
        </is>
      </c>
      <c r="D46" s="153" t="inlineStr"/>
      <c r="E46" s="153" t="inlineStr"/>
      <c r="F46" s="153" t="inlineStr"/>
      <c r="G46" s="153" t="inlineStr"/>
      <c r="H46" s="153" t="inlineStr">
        <is>
          <t>KCS 44 60 05</t>
        </is>
      </c>
      <c r="I46" s="153" t="inlineStr">
        <is>
          <t>5 (근사)</t>
        </is>
      </c>
    </row>
    <row r="47">
      <c r="A47" s="153" t="inlineStr">
        <is>
          <t>도로안전</t>
        </is>
      </c>
      <c r="B47" s="153" t="inlineStr">
        <is>
          <t>콘크리트 중앙분리대·시선유도 도장</t>
        </is>
      </c>
      <c r="C47" s="153" t="inlineStr">
        <is>
          <t>5℃ 미만</t>
        </is>
      </c>
      <c r="D47" s="153" t="inlineStr"/>
      <c r="E47" s="153" t="inlineStr"/>
      <c r="F47" s="153" t="inlineStr"/>
      <c r="G47" s="153" t="inlineStr">
        <is>
          <t>43℃ 이상</t>
        </is>
      </c>
      <c r="H47" s="153" t="inlineStr">
        <is>
          <t>EXCS 44 60 05</t>
        </is>
      </c>
      <c r="I47" s="153" t="inlineStr">
        <is>
          <t>5</t>
        </is>
      </c>
    </row>
    <row r="48">
      <c r="A48" s="153" t="inlineStr">
        <is>
          <t>도로안전</t>
        </is>
      </c>
      <c r="B48" s="153" t="inlineStr">
        <is>
          <t>시선유도시설(표지병) 시공</t>
        </is>
      </c>
      <c r="C48" s="153" t="inlineStr">
        <is>
          <t>5℃ 이하</t>
        </is>
      </c>
      <c r="D48" s="153" t="inlineStr">
        <is>
          <t>강우 시</t>
        </is>
      </c>
      <c r="E48" s="153" t="inlineStr"/>
      <c r="F48" s="153" t="inlineStr">
        <is>
          <t>강설 시</t>
        </is>
      </c>
      <c r="G48" s="153" t="inlineStr"/>
      <c r="H48" s="153" t="inlineStr">
        <is>
          <t>LHCS 44 60 05 15</t>
        </is>
      </c>
      <c r="I48" s="153" t="inlineStr">
        <is>
          <t>5, 9, 6</t>
        </is>
      </c>
    </row>
    <row r="49">
      <c r="A49" s="153" t="inlineStr">
        <is>
          <t>도로안전</t>
        </is>
      </c>
      <c r="B49" s="153" t="inlineStr">
        <is>
          <t>미끄럼방지 포장</t>
        </is>
      </c>
      <c r="C49" s="153" t="inlineStr">
        <is>
          <t>5℃ 이하</t>
        </is>
      </c>
      <c r="D49" s="153" t="inlineStr">
        <is>
          <t>강우 시</t>
        </is>
      </c>
      <c r="E49" s="153" t="inlineStr">
        <is>
          <t>강풍 시</t>
        </is>
      </c>
      <c r="F49" s="153" t="inlineStr"/>
      <c r="G49" s="153" t="inlineStr"/>
      <c r="H49" s="153" t="inlineStr">
        <is>
          <t>LHCS 44 60 05 50</t>
        </is>
      </c>
      <c r="I49" s="153" t="inlineStr">
        <is>
          <t>5, 9, 13</t>
        </is>
      </c>
    </row>
    <row r="50">
      <c r="A50" s="153" t="inlineStr">
        <is>
          <t>도로안전</t>
        </is>
      </c>
      <c r="B50" s="153" t="inlineStr">
        <is>
          <t>경계블록 및 L형 측구</t>
        </is>
      </c>
      <c r="C50" s="153" t="inlineStr">
        <is>
          <t>4℃ 이하</t>
        </is>
      </c>
      <c r="D50" s="153" t="inlineStr">
        <is>
          <t>강우 시</t>
        </is>
      </c>
      <c r="E50" s="153" t="inlineStr"/>
      <c r="F50" s="153" t="inlineStr"/>
      <c r="G50" s="153" t="inlineStr">
        <is>
          <t>30℃ 이상</t>
        </is>
      </c>
      <c r="H50" s="153" t="inlineStr">
        <is>
          <t>LHCS 44 60 05 55</t>
        </is>
      </c>
      <c r="I50" s="153" t="inlineStr">
        <is>
          <t>5, 9, 3</t>
        </is>
      </c>
    </row>
    <row r="51">
      <c r="A51" s="153" t="inlineStr">
        <is>
          <t>도로포장</t>
        </is>
      </c>
      <c r="B51" s="153" t="inlineStr">
        <is>
          <t>타일포장</t>
        </is>
      </c>
      <c r="C51" s="153" t="inlineStr">
        <is>
          <t>4℃ 이하</t>
        </is>
      </c>
      <c r="D51" s="153" t="inlineStr"/>
      <c r="E51" s="153" t="inlineStr"/>
      <c r="F51" s="153" t="inlineStr"/>
      <c r="G51" s="153" t="inlineStr">
        <is>
          <t>30℃ 이상</t>
        </is>
      </c>
      <c r="H51" s="153" t="inlineStr">
        <is>
          <t>LHCS 44 70 06</t>
        </is>
      </c>
      <c r="I51" s="153" t="inlineStr">
        <is>
          <t>5, 3</t>
        </is>
      </c>
    </row>
    <row r="52">
      <c r="A52" s="153" t="inlineStr">
        <is>
          <t>도로포장</t>
        </is>
      </c>
      <c r="B52" s="153" t="inlineStr">
        <is>
          <t>투수시멘트콘크리트 포장</t>
        </is>
      </c>
      <c r="C52" s="153" t="inlineStr">
        <is>
          <t>5℃ 이하</t>
        </is>
      </c>
      <c r="D52" s="153" t="inlineStr">
        <is>
          <t>강우 시</t>
        </is>
      </c>
      <c r="E52" s="153" t="inlineStr"/>
      <c r="F52" s="153" t="inlineStr"/>
      <c r="G52" s="153" t="inlineStr">
        <is>
          <t>30℃ 이상</t>
        </is>
      </c>
      <c r="H52" s="153" t="inlineStr">
        <is>
          <t>LHCS 44 70 09</t>
        </is>
      </c>
      <c r="I52" s="153" t="inlineStr">
        <is>
          <t>5, 9, 3</t>
        </is>
      </c>
    </row>
    <row r="53">
      <c r="A53" s="153" t="inlineStr">
        <is>
          <t>도로시설</t>
        </is>
      </c>
      <c r="B53" s="153" t="inlineStr">
        <is>
          <t>블록방음담장</t>
        </is>
      </c>
      <c r="C53" s="153" t="inlineStr">
        <is>
          <t>4℃ 이하</t>
        </is>
      </c>
      <c r="D53" s="153" t="inlineStr">
        <is>
          <t>강우 시</t>
        </is>
      </c>
      <c r="E53" s="153" t="inlineStr"/>
      <c r="F53" s="153" t="inlineStr"/>
      <c r="G53" s="153" t="inlineStr">
        <is>
          <t>30℃ 이상</t>
        </is>
      </c>
      <c r="H53" s="153" t="inlineStr">
        <is>
          <t>LHCS 44 80 06</t>
        </is>
      </c>
      <c r="I53" s="153" t="inlineStr">
        <is>
          <t>5, 9, 3</t>
        </is>
      </c>
    </row>
    <row r="54">
      <c r="A54" s="153" t="inlineStr">
        <is>
          <t>도로시설</t>
        </is>
      </c>
      <c r="B54" s="153" t="inlineStr">
        <is>
          <t>비산먼지 방지시설(싣기 및 내리기)</t>
        </is>
      </c>
      <c r="C54" s="153" t="inlineStr"/>
      <c r="D54" s="153" t="inlineStr"/>
      <c r="E54" s="153" t="inlineStr">
        <is>
          <t>평균풍속 8 m/s 이상</t>
        </is>
      </c>
      <c r="F54" s="153" t="inlineStr"/>
      <c r="G54" s="153" t="inlineStr"/>
      <c r="H54" s="153" t="inlineStr">
        <is>
          <t>KCS 44 80 15</t>
        </is>
      </c>
      <c r="I54" s="153" t="inlineStr">
        <is>
          <t>해당 조건 없음 (직접 검토)</t>
        </is>
      </c>
    </row>
    <row r="55">
      <c r="A55" s="153" t="inlineStr">
        <is>
          <t>도로유지</t>
        </is>
      </c>
      <c r="B55" s="153" t="inlineStr">
        <is>
          <t>콘크리트 표면보호제 도포(폴리머 시멘트 모르타르)</t>
        </is>
      </c>
      <c r="C55" s="153" t="inlineStr">
        <is>
          <t>5℃ 이하</t>
        </is>
      </c>
      <c r="D55" s="153" t="inlineStr"/>
      <c r="E55" s="153" t="inlineStr"/>
      <c r="F55" s="153" t="inlineStr"/>
      <c r="G55" s="153" t="inlineStr">
        <is>
          <t>30℃ 이상</t>
        </is>
      </c>
      <c r="H55" s="153" t="inlineStr">
        <is>
          <t>EXCS 44 99 45</t>
        </is>
      </c>
      <c r="I55" s="153" t="inlineStr">
        <is>
          <t>5, 3</t>
        </is>
      </c>
    </row>
    <row r="56">
      <c r="A56" s="153" t="inlineStr">
        <is>
          <t>상수도</t>
        </is>
      </c>
      <c r="B56" s="153" t="inlineStr">
        <is>
          <t>도복장 강관 용접접합</t>
        </is>
      </c>
      <c r="C56" s="153" t="inlineStr">
        <is>
          <t>-15℃ 이하</t>
        </is>
      </c>
      <c r="D56" s="153" t="inlineStr">
        <is>
          <t>강우 시</t>
        </is>
      </c>
      <c r="E56" s="153" t="inlineStr"/>
      <c r="F56" s="153" t="inlineStr">
        <is>
          <t>강설 시</t>
        </is>
      </c>
      <c r="G56" s="153" t="inlineStr">
        <is>
          <t>35℃ 이상</t>
        </is>
      </c>
      <c r="H56" s="153" t="inlineStr">
        <is>
          <t>KCS 57 30 20</t>
        </is>
      </c>
      <c r="I56" s="153" t="inlineStr">
        <is>
          <t>8 (최저 -12℃ 이하로 근사), 9, 6, 2 (혹서 35℃는 체감/최고 35℃)</t>
        </is>
      </c>
    </row>
    <row r="57">
      <c r="A57" s="153" t="inlineStr">
        <is>
          <t>상수도</t>
        </is>
      </c>
      <c r="B57" s="153" t="inlineStr">
        <is>
          <t>상수도 강관 접합</t>
        </is>
      </c>
      <c r="C57" s="153" t="inlineStr">
        <is>
          <t>-15℃ 이하</t>
        </is>
      </c>
      <c r="D57" s="153" t="inlineStr">
        <is>
          <t>강우 시</t>
        </is>
      </c>
      <c r="E57" s="153" t="inlineStr"/>
      <c r="F57" s="153" t="inlineStr">
        <is>
          <t>강설 시</t>
        </is>
      </c>
      <c r="G57" s="153" t="inlineStr">
        <is>
          <t>35℃ 이상</t>
        </is>
      </c>
      <c r="H57" s="153" t="inlineStr">
        <is>
          <t>LHCS 57 30 20 05</t>
        </is>
      </c>
      <c r="I57" s="153" t="inlineStr">
        <is>
          <t>8 (근사), 9, 6, 2</t>
        </is>
      </c>
    </row>
    <row r="58">
      <c r="A58" s="153" t="inlineStr">
        <is>
          <t>상수도</t>
        </is>
      </c>
      <c r="B58" s="153" t="inlineStr">
        <is>
          <t>주철관 접합</t>
        </is>
      </c>
      <c r="C58" s="153" t="inlineStr">
        <is>
          <t>-1℃ 이하</t>
        </is>
      </c>
      <c r="D58" s="153" t="inlineStr"/>
      <c r="E58" s="153" t="inlineStr"/>
      <c r="F58" s="153" t="inlineStr"/>
      <c r="G58" s="153" t="inlineStr"/>
      <c r="H58" s="153" t="inlineStr">
        <is>
          <t>LHCS 57 30 20 15</t>
        </is>
      </c>
      <c r="I58" s="153" t="inlineStr">
        <is>
          <t>5 (근사)</t>
        </is>
      </c>
    </row>
    <row r="59">
      <c r="A59" s="153" t="inlineStr">
        <is>
          <t>상수도</t>
        </is>
      </c>
      <c r="B59" s="153" t="inlineStr">
        <is>
          <t>접합부 액상에폭시·폴리우레아 수지 도료 내부도장</t>
        </is>
      </c>
      <c r="C59" s="153" t="inlineStr">
        <is>
          <t>5℃ 이하</t>
        </is>
      </c>
      <c r="D59" s="153" t="inlineStr">
        <is>
          <t>강우 시</t>
        </is>
      </c>
      <c r="E59" s="153" t="inlineStr">
        <is>
          <t>강풍 시</t>
        </is>
      </c>
      <c r="F59" s="153" t="inlineStr"/>
      <c r="G59" s="153" t="inlineStr"/>
      <c r="H59" s="153" t="inlineStr">
        <is>
          <t>KCS 57 30 25</t>
        </is>
      </c>
      <c r="I59" s="153" t="inlineStr">
        <is>
          <t>5, 9, 13</t>
        </is>
      </c>
    </row>
    <row r="60">
      <c r="A60" s="153" t="inlineStr">
        <is>
          <t>상수도</t>
        </is>
      </c>
      <c r="B60" s="153" t="inlineStr">
        <is>
          <t>정수처리시설 방수공사</t>
        </is>
      </c>
      <c r="C60" s="153" t="inlineStr">
        <is>
          <t>5℃ 미만</t>
        </is>
      </c>
      <c r="D60" s="153" t="inlineStr">
        <is>
          <t>강우 시, 강우 가능성이 있는 경우, 강우 직후</t>
        </is>
      </c>
      <c r="E60" s="153" t="inlineStr">
        <is>
          <t>강풍 시</t>
        </is>
      </c>
      <c r="F60" s="153" t="inlineStr">
        <is>
          <t>강설이 예상될 경우</t>
        </is>
      </c>
      <c r="G60" s="153" t="inlineStr">
        <is>
          <t>32℃ 초과</t>
        </is>
      </c>
      <c r="H60" s="153" t="inlineStr">
        <is>
          <t>KCS 57 40 15</t>
        </is>
      </c>
      <c r="I60" s="153" t="inlineStr">
        <is>
          <t>5, 9, 13, 6, 3</t>
        </is>
      </c>
    </row>
    <row r="61">
      <c r="A61" s="153" t="inlineStr">
        <is>
          <t>하수관로</t>
        </is>
      </c>
      <c r="B61" s="153" t="inlineStr">
        <is>
          <t>굴착 및 되메우기, 포장공</t>
        </is>
      </c>
      <c r="C61" s="153" t="inlineStr">
        <is>
          <t>5℃ 이하</t>
        </is>
      </c>
      <c r="D61" s="153" t="inlineStr">
        <is>
          <t>강우 시</t>
        </is>
      </c>
      <c r="E61" s="153" t="inlineStr"/>
      <c r="F61" s="153" t="inlineStr"/>
      <c r="G61" s="153" t="inlineStr"/>
      <c r="H61" s="153" t="inlineStr">
        <is>
          <t>KCS 61 20 15</t>
        </is>
      </c>
      <c r="I61" s="153" t="inlineStr">
        <is>
          <t>5, 9</t>
        </is>
      </c>
    </row>
    <row r="62">
      <c r="A62" s="153" t="inlineStr">
        <is>
          <t>하수관로</t>
        </is>
      </c>
      <c r="B62" s="153" t="inlineStr">
        <is>
          <t>하수도관 관의 절단</t>
        </is>
      </c>
      <c r="C62" s="153" t="inlineStr">
        <is>
          <t>5℃ 이하</t>
        </is>
      </c>
      <c r="D62" s="153" t="inlineStr"/>
      <c r="E62" s="153" t="inlineStr"/>
      <c r="F62" s="153" t="inlineStr"/>
      <c r="G62" s="153" t="inlineStr">
        <is>
          <t>35℃ 이상</t>
        </is>
      </c>
      <c r="H62" s="153" t="inlineStr">
        <is>
          <t>KCS 61 20 30</t>
        </is>
      </c>
      <c r="I62" s="153" t="inlineStr">
        <is>
          <t>5, 2</t>
        </is>
      </c>
    </row>
    <row r="63">
      <c r="A63" s="153" t="inlineStr">
        <is>
          <t>하수관로</t>
        </is>
      </c>
      <c r="B63" s="153" t="inlineStr">
        <is>
          <t>비산먼지 방지시설(싣기 및 내리기)</t>
        </is>
      </c>
      <c r="C63" s="153" t="inlineStr"/>
      <c r="D63" s="153" t="inlineStr"/>
      <c r="E63" s="153" t="inlineStr">
        <is>
          <t>평균풍속 8 m/s 이상</t>
        </is>
      </c>
      <c r="F63" s="153" t="inlineStr"/>
      <c r="G63" s="153" t="inlineStr"/>
      <c r="H63" s="153" t="inlineStr">
        <is>
          <t>KCS 61 40 05</t>
        </is>
      </c>
      <c r="I63" s="153" t="inlineStr">
        <is>
          <t>해당 조건 없음 (직접 검토)</t>
        </is>
      </c>
    </row>
    <row r="64">
      <c r="A64" s="153" t="inlineStr">
        <is>
          <t>하수관로</t>
        </is>
      </c>
      <c r="B64" s="153" t="inlineStr">
        <is>
          <t>기존 암거 보수(단면복구, 방청 도포재)</t>
        </is>
      </c>
      <c r="C64" s="153" t="inlineStr">
        <is>
          <t>5℃ 이하</t>
        </is>
      </c>
      <c r="D64" s="153" t="inlineStr">
        <is>
          <t>강우 시, 강우 가능성이 있는 경우</t>
        </is>
      </c>
      <c r="E64" s="153" t="inlineStr"/>
      <c r="F64" s="153" t="inlineStr"/>
      <c r="G64" s="153" t="inlineStr">
        <is>
          <t>30℃ 이상</t>
        </is>
      </c>
      <c r="H64" s="153" t="inlineStr">
        <is>
          <t>KCS 61 80 20</t>
        </is>
      </c>
      <c r="I64" s="153" t="inlineStr">
        <is>
          <t>5, 9, 3</t>
        </is>
      </c>
    </row>
    <row r="66">
      <c r="A66" s="130" t="inlineStr">
        <is>
          <t>▼ 조건 번호 (공기산정 시트의 기상조건 표와 같은 번호)</t>
        </is>
      </c>
    </row>
    <row r="67">
      <c r="A67" t="n">
        <v>1</v>
      </c>
      <c r="B67" t="inlineStr">
        <is>
          <t>혹서기：체감온도 33°C 이상</t>
        </is>
      </c>
    </row>
    <row r="68">
      <c r="A68" t="n">
        <v>2</v>
      </c>
      <c r="B68" t="inlineStr">
        <is>
          <t>혹서기：체감온도 35°C 이상</t>
        </is>
      </c>
    </row>
    <row r="69">
      <c r="A69" t="n">
        <v>3</v>
      </c>
      <c r="B69" t="inlineStr">
        <is>
          <t>혹서기：일최고온도 33°C 이상</t>
        </is>
      </c>
    </row>
    <row r="70">
      <c r="A70" t="n">
        <v>4</v>
      </c>
      <c r="B70" t="inlineStr">
        <is>
          <t>혹서기：일최고온도 35°C 이상</t>
        </is>
      </c>
    </row>
    <row r="71">
      <c r="A71" t="n">
        <v>5</v>
      </c>
      <c r="B71" t="inlineStr">
        <is>
          <t>동절기：일최고기온 0°C 이하</t>
        </is>
      </c>
    </row>
    <row r="72">
      <c r="A72" t="n">
        <v>6</v>
      </c>
      <c r="B72" t="inlineStr">
        <is>
          <t>동절기：일최심신적설 5㎝ 이상</t>
        </is>
      </c>
    </row>
    <row r="73">
      <c r="A73" t="n">
        <v>7</v>
      </c>
      <c r="B73" t="inlineStr">
        <is>
          <t>동절기：일최고기온 0°C 이하 이거나 일최심신적설 5㎝ 이상</t>
        </is>
      </c>
    </row>
    <row r="74">
      <c r="A74" t="n">
        <v>8</v>
      </c>
      <c r="B74" t="inlineStr">
        <is>
          <t>동절기：일최저기온 -12°C 이하</t>
        </is>
      </c>
    </row>
    <row r="75">
      <c r="A75" t="n">
        <v>9</v>
      </c>
      <c r="B75" t="inlineStr">
        <is>
          <t>일강수량：3㎜ 이상</t>
        </is>
      </c>
    </row>
    <row r="76">
      <c r="A76" t="n">
        <v>10</v>
      </c>
      <c r="B76" t="inlineStr">
        <is>
          <t>일강수량：5㎜ 이상</t>
        </is>
      </c>
    </row>
    <row r="77">
      <c r="A77" t="n">
        <v>11</v>
      </c>
      <c r="B77" t="inlineStr">
        <is>
          <t>일강수량：10㎜ 이상</t>
        </is>
      </c>
    </row>
    <row r="78">
      <c r="A78" t="n">
        <v>12</v>
      </c>
      <c r="B78" t="inlineStr">
        <is>
          <t>일강수량：20㎜ 이상</t>
        </is>
      </c>
    </row>
    <row r="79">
      <c r="A79" t="n">
        <v>13</v>
      </c>
      <c r="B79" t="inlineStr">
        <is>
          <t>일최대순간풍속：15m/s 이상</t>
        </is>
      </c>
    </row>
  </sheetData>
  <autoFilter ref="A4:I64"/>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2026-09-30T09:09:43Z</dcterms:modified>
  <cp:lastModifiedBy>user</cp:lastModifiedBy>
  <cp:lastPrinted>2024-05-24T02:13:20Z</cp:lastPrinted>
</cp:coreProperties>
</file>