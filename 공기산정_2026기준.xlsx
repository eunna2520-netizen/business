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 name="작업제한기상조건(참고)" sheetId="11" state="visible" r:id="rId11"/>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4">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
      <color rgb="00808080"/>
    </font>
    <font>
      <b val="1"/>
      <sz val="13"/>
    </font>
  </fonts>
  <fills count="8">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
      <patternFill patternType="solid">
        <fgColor rgb="00EDEDED"/>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9">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5" borderId="33" applyAlignment="1" pivotButton="0" quotePrefix="0" xfId="0">
      <alignment horizontal="center" wrapText="1"/>
    </xf>
    <xf numFmtId="0" fontId="0" fillId="5" borderId="33" applyAlignment="1" pivotButton="0" quotePrefix="0" xfId="0">
      <alignment horizontal="center"/>
    </xf>
    <xf numFmtId="0" fontId="0" fillId="6" borderId="0" pivotButton="0" quotePrefix="0" xfId="0"/>
    <xf numFmtId="0" fontId="20" fillId="7" borderId="33" applyAlignment="1" pivotButton="0" quotePrefix="0" xfId="0">
      <alignment horizontal="center" vertical="center" wrapText="1"/>
    </xf>
    <xf numFmtId="0" fontId="22" fillId="0" borderId="33" pivotButton="0" quotePrefix="0" xfId="0"/>
    <xf numFmtId="0" fontId="23" fillId="0" borderId="0" pivotButton="0" quotePrefix="0" xfId="0"/>
    <xf numFmtId="0" fontId="0" fillId="0" borderId="33" applyAlignment="1" pivotButton="0" quotePrefix="0" xfId="0">
      <alignment vertical="top" wrapText="1"/>
    </xf>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 width="16" customWidth="1" style="92" min="6" max="6"/>
    <col width="70" customWidth="1" style="92" min="10" max="10"/>
  </cols>
  <sheetData>
    <row r="1">
      <c r="A1" s="134" t="inlineStr">
        <is>
          <t>선택명 (분류&gt;공종 (작업조건))</t>
        </is>
      </c>
      <c r="B1" s="134" t="inlineStr">
        <is>
          <t>수량 단위</t>
        </is>
      </c>
      <c r="C1" s="134" t="inlineStr">
        <is>
          <t>1일 작업량 (수량/일)</t>
        </is>
      </c>
      <c r="D1" s="134" t="inlineStr">
        <is>
          <t>원문 표기 (부록 4)</t>
        </is>
      </c>
      <c r="E1" s="134" t="inlineStr">
        <is>
          <t>기본 기상세트</t>
        </is>
      </c>
      <c r="F1" s="134" t="inlineStr">
        <is>
          <t>분류 필터</t>
        </is>
      </c>
      <c r="G1" s="134" t="inlineStr">
        <is>
          <t>시작 위치</t>
        </is>
      </c>
      <c r="H1" s="134" t="inlineStr">
        <is>
          <t>개수</t>
        </is>
      </c>
      <c r="J1" s="134" t="inlineStr">
        <is>
          <t>필터된 공종 목록 (자동, 공종 칸 드롭다운의 원본)</t>
        </is>
      </c>
    </row>
    <row r="2">
      <c r="A2" t="inlineStr">
        <is>
          <t>공통가설공사&gt;가설사무실</t>
        </is>
      </c>
      <c r="B2" t="inlineStr">
        <is>
          <t>개소</t>
        </is>
      </c>
      <c r="C2" s="135" t="n">
        <v>0.01298701298701299</v>
      </c>
      <c r="D2" t="inlineStr">
        <is>
          <t>77일/개소</t>
        </is>
      </c>
      <c r="E2" t="inlineStr">
        <is>
          <t>세트2</t>
        </is>
      </c>
      <c r="F2" t="inlineStr">
        <is>
          <t>전체</t>
        </is>
      </c>
      <c r="G2" t="n">
        <v>1</v>
      </c>
      <c r="H2" t="n">
        <v>114</v>
      </c>
      <c r="J2">
        <f>IF(ROWS($J$2:J2)&lt;=INDEX($H$2:$H$9,MATCH('공기산정(1일작업량)'!$B$32,$F$2:$F$9,0)),INDEX($A$2:$A$115,INDEX($G$2:$G$9,MATCH('공기산정(1일작업량)'!$B$32,$F$2:$F$9,0))+ROWS($J$2:J2)-1),"")</f>
        <v/>
      </c>
    </row>
    <row r="3">
      <c r="A3" t="inlineStr">
        <is>
          <t>공통가설공사&gt;가설울타리 (H형강지주 4m 이하)</t>
        </is>
      </c>
      <c r="B3" t="inlineStr">
        <is>
          <t>m</t>
        </is>
      </c>
      <c r="C3" s="135" t="n">
        <v>30</v>
      </c>
      <c r="D3" t="inlineStr">
        <is>
          <t>30m/일</t>
        </is>
      </c>
      <c r="E3" t="inlineStr">
        <is>
          <t>세트2</t>
        </is>
      </c>
      <c r="F3" t="inlineStr">
        <is>
          <t>공통가설공사</t>
        </is>
      </c>
      <c r="G3" t="n">
        <v>1</v>
      </c>
      <c r="H3" t="n">
        <v>10</v>
      </c>
      <c r="J3">
        <f>IF(ROWS($J$2:J3)&lt;=INDEX($H$2:$H$9,MATCH('공기산정(1일작업량)'!$B$32,$F$2:$F$9,0)),INDEX($A$2:$A$115,INDEX($G$2:$G$9,MATCH('공기산정(1일작업량)'!$B$32,$F$2:$F$9,0))+ROWS($J$2:J3)-1),"")</f>
        <v/>
      </c>
    </row>
    <row r="4">
      <c r="A4" t="inlineStr">
        <is>
          <t>공통가설공사&gt;가설방음벽 (H형강지주 4m 이하)</t>
        </is>
      </c>
      <c r="B4" t="inlineStr">
        <is>
          <t>m</t>
        </is>
      </c>
      <c r="C4" s="135" t="n">
        <v>30</v>
      </c>
      <c r="D4" t="inlineStr">
        <is>
          <t>30m/일</t>
        </is>
      </c>
      <c r="E4" t="inlineStr">
        <is>
          <t>세트2</t>
        </is>
      </c>
      <c r="F4" t="inlineStr">
        <is>
          <t>토공사</t>
        </is>
      </c>
      <c r="G4" t="n">
        <v>11</v>
      </c>
      <c r="H4" t="n">
        <v>25</v>
      </c>
      <c r="J4">
        <f>IF(ROWS($J$2:J4)&lt;=INDEX($H$2:$H$9,MATCH('공기산정(1일작업량)'!$B$32,$F$2:$F$9,0)),INDEX($A$2:$A$115,INDEX($G$2:$G$9,MATCH('공기산정(1일작업량)'!$B$32,$F$2:$F$9,0))+ROWS($J$2:J4)-1),"")</f>
        <v/>
      </c>
    </row>
    <row r="5">
      <c r="A5" t="inlineStr">
        <is>
          <t>공통가설공사&gt;구조물 동바리 (시스템 동바리 30m 이하)</t>
        </is>
      </c>
      <c r="B5" t="inlineStr">
        <is>
          <t>㎥</t>
        </is>
      </c>
      <c r="C5" s="135" t="n">
        <v>82</v>
      </c>
      <c r="D5" t="inlineStr">
        <is>
          <t>82㎥/일</t>
        </is>
      </c>
      <c r="E5" t="inlineStr">
        <is>
          <t>세트2</t>
        </is>
      </c>
      <c r="F5" t="inlineStr">
        <is>
          <t>배수공사</t>
        </is>
      </c>
      <c r="G5" t="n">
        <v>36</v>
      </c>
      <c r="H5" t="n">
        <v>12</v>
      </c>
      <c r="J5">
        <f>IF(ROWS($J$2:J5)&lt;=INDEX($H$2:$H$9,MATCH('공기산정(1일작업량)'!$B$32,$F$2:$F$9,0)),INDEX($A$2:$A$115,INDEX($G$2:$G$9,MATCH('공기산정(1일작업량)'!$B$32,$F$2:$F$9,0))+ROWS($J$2:J5)-1),"")</f>
        <v/>
      </c>
    </row>
    <row r="6">
      <c r="A6" t="inlineStr">
        <is>
          <t>공통가설공사&gt;구조물 비계 (강관비계 30m 이하)</t>
        </is>
      </c>
      <c r="B6" t="inlineStr">
        <is>
          <t>㎡</t>
        </is>
      </c>
      <c r="C6" s="135" t="n">
        <v>102</v>
      </c>
      <c r="D6" t="inlineStr">
        <is>
          <t>102㎡/일</t>
        </is>
      </c>
      <c r="E6" t="inlineStr">
        <is>
          <t>세트2</t>
        </is>
      </c>
      <c r="F6" t="inlineStr">
        <is>
          <t>포장공사</t>
        </is>
      </c>
      <c r="G6" t="n">
        <v>48</v>
      </c>
      <c r="H6" t="n">
        <v>26</v>
      </c>
      <c r="J6">
        <f>IF(ROWS($J$2:J6)&lt;=INDEX($H$2:$H$9,MATCH('공기산정(1일작업량)'!$B$32,$F$2:$F$9,0)),INDEX($A$2:$A$115,INDEX($G$2:$G$9,MATCH('공기산정(1일작업량)'!$B$32,$F$2:$F$9,0))+ROWS($J$2:J6)-1),"")</f>
        <v/>
      </c>
    </row>
    <row r="7">
      <c r="A7" t="inlineStr">
        <is>
          <t>공통가설공사&gt;가설흙막이(진동파일해머-H파일) (파일 근입장 20m)</t>
        </is>
      </c>
      <c r="B7" t="inlineStr">
        <is>
          <t>본</t>
        </is>
      </c>
      <c r="C7" s="135" t="n">
        <v>8</v>
      </c>
      <c r="D7" t="inlineStr">
        <is>
          <t>8본/일</t>
        </is>
      </c>
      <c r="E7" t="inlineStr">
        <is>
          <t>세트2</t>
        </is>
      </c>
      <c r="F7" t="inlineStr">
        <is>
          <t>교량공사</t>
        </is>
      </c>
      <c r="G7" t="n">
        <v>74</v>
      </c>
      <c r="H7" t="n">
        <v>12</v>
      </c>
      <c r="J7">
        <f>IF(ROWS($J$2:J7)&lt;=INDEX($H$2:$H$9,MATCH('공기산정(1일작업량)'!$B$32,$F$2:$F$9,0)),INDEX($A$2:$A$115,INDEX($G$2:$G$9,MATCH('공기산정(1일작업량)'!$B$32,$F$2:$F$9,0))+ROWS($J$2:J7)-1),"")</f>
        <v/>
      </c>
    </row>
    <row r="8">
      <c r="A8" t="inlineStr">
        <is>
          <t>공통가설공사&gt;가설흙막이(진동파일해머-강널말뚝) (파일 근입장 20m)</t>
        </is>
      </c>
      <c r="B8" t="inlineStr">
        <is>
          <t>본</t>
        </is>
      </c>
      <c r="C8" s="135" t="n">
        <v>10</v>
      </c>
      <c r="D8" t="inlineStr">
        <is>
          <t>10본/일</t>
        </is>
      </c>
      <c r="E8" t="inlineStr">
        <is>
          <t>세트2</t>
        </is>
      </c>
      <c r="F8" t="inlineStr">
        <is>
          <t>터널공사</t>
        </is>
      </c>
      <c r="G8" t="n">
        <v>86</v>
      </c>
      <c r="H8" t="n">
        <v>17</v>
      </c>
      <c r="J8">
        <f>IF(ROWS($J$2:J8)&lt;=INDEX($H$2:$H$9,MATCH('공기산정(1일작업량)'!$B$32,$F$2:$F$9,0)),INDEX($A$2:$A$115,INDEX($G$2:$G$9,MATCH('공기산정(1일작업량)'!$B$32,$F$2:$F$9,0))+ROWS($J$2:J8)-1),"")</f>
        <v/>
      </c>
    </row>
    <row r="9">
      <c r="A9" t="inlineStr">
        <is>
          <t>공통가설공사&gt;가설흙막이(워터제트 병용-강널말뚝) (파일 근입장 20m)</t>
        </is>
      </c>
      <c r="B9" t="inlineStr">
        <is>
          <t>본</t>
        </is>
      </c>
      <c r="C9" s="135" t="n">
        <v>6</v>
      </c>
      <c r="D9" t="inlineStr">
        <is>
          <t>6본/일</t>
        </is>
      </c>
      <c r="E9" t="inlineStr">
        <is>
          <t>세트2</t>
        </is>
      </c>
      <c r="F9" t="inlineStr">
        <is>
          <t>부대공사</t>
        </is>
      </c>
      <c r="G9" t="n">
        <v>103</v>
      </c>
      <c r="H9" t="n">
        <v>12</v>
      </c>
      <c r="J9">
        <f>IF(ROWS($J$2:J9)&lt;=INDEX($H$2:$H$9,MATCH('공기산정(1일작업량)'!$B$32,$F$2:$F$9,0)),INDEX($A$2:$A$115,INDEX($G$2:$G$9,MATCH('공기산정(1일작업량)'!$B$32,$F$2:$F$9,0))+ROWS($J$2:J9)-1),"")</f>
        <v/>
      </c>
    </row>
    <row r="10">
      <c r="A10" t="inlineStr">
        <is>
          <t>공통가설공사&gt;가설흙막이(유압식 압입 인발기-강널말뚝) (파일 근입장 20m)</t>
        </is>
      </c>
      <c r="B10" t="inlineStr">
        <is>
          <t>본</t>
        </is>
      </c>
      <c r="C10" s="135" t="n">
        <v>8</v>
      </c>
      <c r="D10" t="inlineStr">
        <is>
          <t>8본/일</t>
        </is>
      </c>
      <c r="E10" t="inlineStr">
        <is>
          <t>세트2</t>
        </is>
      </c>
      <c r="J10">
        <f>IF(ROWS($J$2:J10)&lt;=INDEX($H$2:$H$9,MATCH('공기산정(1일작업량)'!$B$32,$F$2:$F$9,0)),INDEX($A$2:$A$115,INDEX($G$2:$G$9,MATCH('공기산정(1일작업량)'!$B$32,$F$2:$F$9,0))+ROWS($J$2:J10)-1),"")</f>
        <v/>
      </c>
    </row>
    <row r="11">
      <c r="A11" t="inlineStr">
        <is>
          <t>공통가설공사&gt;가설흙막이(말뚝박기용 천공/근입) (파일 근입장 20m)</t>
        </is>
      </c>
      <c r="B11" t="inlineStr">
        <is>
          <t>본</t>
        </is>
      </c>
      <c r="C11" s="135" t="n">
        <v>8</v>
      </c>
      <c r="D11" t="inlineStr">
        <is>
          <t>8본/일</t>
        </is>
      </c>
      <c r="E11" t="inlineStr">
        <is>
          <t>세트2</t>
        </is>
      </c>
      <c r="J11">
        <f>IF(ROWS($J$2:J11)&lt;=INDEX($H$2:$H$9,MATCH('공기산정(1일작업량)'!$B$32,$F$2:$F$9,0)),INDEX($A$2:$A$115,INDEX($G$2:$G$9,MATCH('공기산정(1일작업량)'!$B$32,$F$2:$F$9,0))+ROWS($J$2:J11)-1),"")</f>
        <v/>
      </c>
    </row>
    <row r="12">
      <c r="A12" t="inlineStr">
        <is>
          <t>토공사&gt;기존시설물 깨기 (아스콘 t=30㎝ 이상)</t>
        </is>
      </c>
      <c r="B12" t="inlineStr">
        <is>
          <t>㎥</t>
        </is>
      </c>
      <c r="C12" s="135" t="n">
        <v>54</v>
      </c>
      <c r="D12" t="inlineStr">
        <is>
          <t>54㎥/일</t>
        </is>
      </c>
      <c r="E12" t="inlineStr">
        <is>
          <t>세트2</t>
        </is>
      </c>
      <c r="J12">
        <f>IF(ROWS($J$2:J12)&lt;=INDEX($H$2:$H$9,MATCH('공기산정(1일작업량)'!$B$32,$F$2:$F$9,0)),INDEX($A$2:$A$115,INDEX($G$2:$G$9,MATCH('공기산정(1일작업량)'!$B$32,$F$2:$F$9,0))+ROWS($J$2:J12)-1),"")</f>
        <v/>
      </c>
    </row>
    <row r="13">
      <c r="A13" t="inlineStr">
        <is>
          <t>토공사&gt;벌목 (벌목 8m 이상)</t>
        </is>
      </c>
      <c r="B13" t="inlineStr">
        <is>
          <t>㎡</t>
        </is>
      </c>
      <c r="C13" s="135" t="n">
        <v>1375</v>
      </c>
      <c r="D13" t="inlineStr">
        <is>
          <t>1,375㎡/일</t>
        </is>
      </c>
      <c r="E13" t="inlineStr">
        <is>
          <t>세트2</t>
        </is>
      </c>
      <c r="J13">
        <f>IF(ROWS($J$2:J13)&lt;=INDEX($H$2:$H$9,MATCH('공기산정(1일작업량)'!$B$32,$F$2:$F$9,0)),INDEX($A$2:$A$115,INDEX($G$2:$G$9,MATCH('공기산정(1일작업량)'!$B$32,$F$2:$F$9,0))+ROWS($J$2:J13)-1),"")</f>
        <v/>
      </c>
    </row>
    <row r="14">
      <c r="A14" t="inlineStr">
        <is>
          <t>토공사&gt;벌개제근</t>
        </is>
      </c>
      <c r="B14" t="inlineStr">
        <is>
          <t>㎡</t>
        </is>
      </c>
      <c r="C14" s="135" t="n">
        <v>1110</v>
      </c>
      <c r="D14" t="inlineStr">
        <is>
          <t>1,110㎡/일</t>
        </is>
      </c>
      <c r="E14" t="inlineStr">
        <is>
          <t>세트2</t>
        </is>
      </c>
      <c r="J14">
        <f>IF(ROWS($J$2:J14)&lt;=INDEX($H$2:$H$9,MATCH('공기산정(1일작업량)'!$B$32,$F$2:$F$9,0)),INDEX($A$2:$A$115,INDEX($G$2:$G$9,MATCH('공기산정(1일작업량)'!$B$32,$F$2:$F$9,0))+ROWS($J$2:J14)-1),"")</f>
        <v/>
      </c>
    </row>
    <row r="15">
      <c r="A15" t="inlineStr">
        <is>
          <t>토공사&gt;표토제거 (답구간)</t>
        </is>
      </c>
      <c r="B15" t="inlineStr">
        <is>
          <t>㎡</t>
        </is>
      </c>
      <c r="C15" s="135" t="n">
        <v>1915</v>
      </c>
      <c r="D15" t="inlineStr">
        <is>
          <t>1,915㎡/일</t>
        </is>
      </c>
      <c r="E15" t="inlineStr">
        <is>
          <t>세트2</t>
        </is>
      </c>
      <c r="J15">
        <f>IF(ROWS($J$2:J15)&lt;=INDEX($H$2:$H$9,MATCH('공기산정(1일작업량)'!$B$32,$F$2:$F$9,0)),INDEX($A$2:$A$115,INDEX($G$2:$G$9,MATCH('공기산정(1일작업량)'!$B$32,$F$2:$F$9,0))+ROWS($J$2:J15)-1),"")</f>
        <v/>
      </c>
    </row>
    <row r="16">
      <c r="A16" t="inlineStr">
        <is>
          <t>토공사&gt;흙깎기-토사 (굴삭기 1.0㎥)</t>
        </is>
      </c>
      <c r="B16" t="inlineStr">
        <is>
          <t>㎥</t>
        </is>
      </c>
      <c r="C16" s="135" t="n">
        <v>520</v>
      </c>
      <c r="D16" t="inlineStr">
        <is>
          <t>520㎥/일</t>
        </is>
      </c>
      <c r="E16" t="inlineStr">
        <is>
          <t>세트2</t>
        </is>
      </c>
      <c r="J16">
        <f>IF(ROWS($J$2:J16)&lt;=INDEX($H$2:$H$9,MATCH('공기산정(1일작업량)'!$B$32,$F$2:$F$9,0)),INDEX($A$2:$A$115,INDEX($G$2:$G$9,MATCH('공기산정(1일작업량)'!$B$32,$F$2:$F$9,0))+ROWS($J$2:J16)-1),"")</f>
        <v/>
      </c>
    </row>
    <row r="17">
      <c r="A17" t="inlineStr">
        <is>
          <t>토공사&gt;흙깎기-리핑암 (리퍼 2본+불도저 32톤)</t>
        </is>
      </c>
      <c r="B17" t="inlineStr">
        <is>
          <t>㎥</t>
        </is>
      </c>
      <c r="C17" s="135" t="n">
        <v>367</v>
      </c>
      <c r="D17" t="inlineStr">
        <is>
          <t>367㎥/일</t>
        </is>
      </c>
      <c r="E17" t="inlineStr">
        <is>
          <t>세트2</t>
        </is>
      </c>
      <c r="J17">
        <f>IF(ROWS($J$2:J17)&lt;=INDEX($H$2:$H$9,MATCH('공기산정(1일작업량)'!$B$32,$F$2:$F$9,0)),INDEX($A$2:$A$115,INDEX($G$2:$G$9,MATCH('공기산정(1일작업량)'!$B$32,$F$2:$F$9,0))+ROWS($J$2:J17)-1),"")</f>
        <v/>
      </c>
    </row>
    <row r="18">
      <c r="A18" t="inlineStr">
        <is>
          <t>토공사&gt;흙깎기-발파암(브레이커) (연암, 보통암, 경암 평균)</t>
        </is>
      </c>
      <c r="B18" t="inlineStr">
        <is>
          <t>㎥</t>
        </is>
      </c>
      <c r="C18" s="135" t="n">
        <v>27</v>
      </c>
      <c r="D18" t="inlineStr">
        <is>
          <t>27㎥/일</t>
        </is>
      </c>
      <c r="E18" t="inlineStr">
        <is>
          <t>세트2</t>
        </is>
      </c>
      <c r="J18">
        <f>IF(ROWS($J$2:J18)&lt;=INDEX($H$2:$H$9,MATCH('공기산정(1일작업량)'!$B$32,$F$2:$F$9,0)),INDEX($A$2:$A$115,INDEX($G$2:$G$9,MATCH('공기산정(1일작업량)'!$B$32,$F$2:$F$9,0))+ROWS($J$2:J18)-1),"")</f>
        <v/>
      </c>
    </row>
    <row r="19">
      <c r="A19" t="inlineStr">
        <is>
          <t>토공사&gt;흙깎기-발파암(발파) (진동제어발파(소규모))</t>
        </is>
      </c>
      <c r="B19" t="inlineStr">
        <is>
          <t>㎥</t>
        </is>
      </c>
      <c r="C19" s="135" t="n">
        <v>83</v>
      </c>
      <c r="D19" t="inlineStr">
        <is>
          <t>83㎥/일</t>
        </is>
      </c>
      <c r="E19" t="inlineStr">
        <is>
          <t>세트2</t>
        </is>
      </c>
      <c r="J19">
        <f>IF(ROWS($J$2:J19)&lt;=INDEX($H$2:$H$9,MATCH('공기산정(1일작업량)'!$B$32,$F$2:$F$9,0)),INDEX($A$2:$A$115,INDEX($G$2:$G$9,MATCH('공기산정(1일작업량)'!$B$32,$F$2:$F$9,0))+ROWS($J$2:J19)-1),"")</f>
        <v/>
      </c>
    </row>
    <row r="20">
      <c r="A20" t="inlineStr">
        <is>
          <t>토공사&gt;터파기-토사 (굴삭기 0.7㎥, 자연터파기)</t>
        </is>
      </c>
      <c r="B20" t="inlineStr">
        <is>
          <t>㎥</t>
        </is>
      </c>
      <c r="C20" s="135" t="n">
        <v>349</v>
      </c>
      <c r="D20" t="inlineStr">
        <is>
          <t>349㎥/일</t>
        </is>
      </c>
      <c r="E20" t="inlineStr">
        <is>
          <t>세트2</t>
        </is>
      </c>
      <c r="J20">
        <f>IF(ROWS($J$2:J20)&lt;=INDEX($H$2:$H$9,MATCH('공기산정(1일작업량)'!$B$32,$F$2:$F$9,0)),INDEX($A$2:$A$115,INDEX($G$2:$G$9,MATCH('공기산정(1일작업량)'!$B$32,$F$2:$F$9,0))+ROWS($J$2:J20)-1),"")</f>
        <v/>
      </c>
    </row>
    <row r="21">
      <c r="A21" t="inlineStr">
        <is>
          <t>토공사&gt;터파기-리핑암 (브레이커 0.7㎥, 자연터파기)</t>
        </is>
      </c>
      <c r="B21" t="inlineStr">
        <is>
          <t>㎥</t>
        </is>
      </c>
      <c r="C21" s="135" t="n">
        <v>25</v>
      </c>
      <c r="D21" t="inlineStr">
        <is>
          <t>25㎥/일</t>
        </is>
      </c>
      <c r="E21" t="inlineStr">
        <is>
          <t>세트2</t>
        </is>
      </c>
      <c r="J21">
        <f>IF(ROWS($J$2:J21)&lt;=INDEX($H$2:$H$9,MATCH('공기산정(1일작업량)'!$B$32,$F$2:$F$9,0)),INDEX($A$2:$A$115,INDEX($G$2:$G$9,MATCH('공기산정(1일작업량)'!$B$32,$F$2:$F$9,0))+ROWS($J$2:J21)-1),"")</f>
        <v/>
      </c>
    </row>
    <row r="22">
      <c r="A22" t="inlineStr">
        <is>
          <t>토공사&gt;터파기-발파암 (브레이커 0.7㎥, 자연터파기)</t>
        </is>
      </c>
      <c r="B22" t="inlineStr">
        <is>
          <t>㎥</t>
        </is>
      </c>
      <c r="C22" s="135" t="n">
        <v>18</v>
      </c>
      <c r="D22" t="inlineStr">
        <is>
          <t>18㎥/일</t>
        </is>
      </c>
      <c r="E22" t="inlineStr">
        <is>
          <t>세트2</t>
        </is>
      </c>
      <c r="J22">
        <f>IF(ROWS($J$2:J22)&lt;=INDEX($H$2:$H$9,MATCH('공기산정(1일작업량)'!$B$32,$F$2:$F$9,0)),INDEX($A$2:$A$115,INDEX($G$2:$G$9,MATCH('공기산정(1일작업량)'!$B$32,$F$2:$F$9,0))+ROWS($J$2:J22)-1),"")</f>
        <v/>
      </c>
    </row>
    <row r="23">
      <c r="A23" t="inlineStr">
        <is>
          <t>토공사&gt;흙쌓기-노상 (모터그레이더 3.6㎥)</t>
        </is>
      </c>
      <c r="B23" t="inlineStr">
        <is>
          <t>㎥</t>
        </is>
      </c>
      <c r="C23" s="135" t="n">
        <v>745</v>
      </c>
      <c r="D23" t="inlineStr">
        <is>
          <t>745㎥/일</t>
        </is>
      </c>
      <c r="E23" t="inlineStr">
        <is>
          <t>세트2</t>
        </is>
      </c>
      <c r="J23">
        <f>IF(ROWS($J$2:J23)&lt;=INDEX($H$2:$H$9,MATCH('공기산정(1일작업량)'!$B$32,$F$2:$F$9,0)),INDEX($A$2:$A$115,INDEX($G$2:$G$9,MATCH('공기산정(1일작업량)'!$B$32,$F$2:$F$9,0))+ROWS($J$2:J23)-1),"")</f>
        <v/>
      </c>
    </row>
    <row r="24">
      <c r="A24" t="inlineStr">
        <is>
          <t>토공사&gt;흙쌓기-노체 (모터그레이더 3.6㎥)</t>
        </is>
      </c>
      <c r="B24" t="inlineStr">
        <is>
          <t>㎥</t>
        </is>
      </c>
      <c r="C24" s="135" t="n">
        <v>1118</v>
      </c>
      <c r="D24" t="inlineStr">
        <is>
          <t>1,118㎥/일</t>
        </is>
      </c>
      <c r="E24" t="inlineStr">
        <is>
          <t>세트2</t>
        </is>
      </c>
      <c r="J24">
        <f>IF(ROWS($J$2:J24)&lt;=INDEX($H$2:$H$9,MATCH('공기산정(1일작업량)'!$B$32,$F$2:$F$9,0)),INDEX($A$2:$A$115,INDEX($G$2:$G$9,MATCH('공기산정(1일작업량)'!$B$32,$F$2:$F$9,0))+ROWS($J$2:J24)-1),"")</f>
        <v/>
      </c>
    </row>
    <row r="25">
      <c r="A25" t="inlineStr">
        <is>
          <t>토공사&gt;흙쌓기-암쌓기 (불도저 32톤)</t>
        </is>
      </c>
      <c r="B25" t="inlineStr">
        <is>
          <t>㎥</t>
        </is>
      </c>
      <c r="C25" s="135" t="n">
        <v>647</v>
      </c>
      <c r="D25" t="inlineStr">
        <is>
          <t>647㎥/일</t>
        </is>
      </c>
      <c r="E25" t="inlineStr">
        <is>
          <t>세트2</t>
        </is>
      </c>
      <c r="J25">
        <f>IF(ROWS($J$2:J25)&lt;=INDEX($H$2:$H$9,MATCH('공기산정(1일작업량)'!$B$32,$F$2:$F$9,0)),INDEX($A$2:$A$115,INDEX($G$2:$G$9,MATCH('공기산정(1일작업량)'!$B$32,$F$2:$F$9,0))+ROWS($J$2:J25)-1),"")</f>
        <v/>
      </c>
    </row>
    <row r="26">
      <c r="A26" t="inlineStr">
        <is>
          <t>토공사&gt;흙쌓기-녹지대 (불도저 32톤)</t>
        </is>
      </c>
      <c r="B26" t="inlineStr">
        <is>
          <t>㎥</t>
        </is>
      </c>
      <c r="C26" s="135" t="n">
        <v>1231</v>
      </c>
      <c r="D26" t="inlineStr">
        <is>
          <t>1,231㎥/일</t>
        </is>
      </c>
      <c r="E26" t="inlineStr">
        <is>
          <t>세트2</t>
        </is>
      </c>
      <c r="J26">
        <f>IF(ROWS($J$2:J26)&lt;=INDEX($H$2:$H$9,MATCH('공기산정(1일작업량)'!$B$32,$F$2:$F$9,0)),INDEX($A$2:$A$115,INDEX($G$2:$G$9,MATCH('공기산정(1일작업량)'!$B$32,$F$2:$F$9,0))+ROWS($J$2:J26)-1),"")</f>
        <v/>
      </c>
    </row>
    <row r="27">
      <c r="A27" t="inlineStr">
        <is>
          <t>토공사&gt;흙쌓기-되메우기 (램머(80kg) 다짐)</t>
        </is>
      </c>
      <c r="B27" t="inlineStr">
        <is>
          <t>㎥</t>
        </is>
      </c>
      <c r="C27" s="135" t="n">
        <v>42</v>
      </c>
      <c r="D27" t="inlineStr">
        <is>
          <t>42㎥/일</t>
        </is>
      </c>
      <c r="E27" t="inlineStr">
        <is>
          <t>세트2</t>
        </is>
      </c>
      <c r="J27">
        <f>IF(ROWS($J$2:J27)&lt;=INDEX($H$2:$H$9,MATCH('공기산정(1일작업량)'!$B$32,$F$2:$F$9,0)),INDEX($A$2:$A$115,INDEX($G$2:$G$9,MATCH('공기산정(1일작업량)'!$B$32,$F$2:$F$9,0))+ROWS($J$2:J27)-1),"")</f>
        <v/>
      </c>
    </row>
    <row r="28">
      <c r="A28" t="inlineStr">
        <is>
          <t>토공사&gt;연약지반-매트부설(PP, PET)</t>
        </is>
      </c>
      <c r="B28" t="inlineStr">
        <is>
          <t>㎡</t>
        </is>
      </c>
      <c r="C28" s="135" t="n">
        <v>3571</v>
      </c>
      <c r="D28" t="inlineStr">
        <is>
          <t>3,571㎡/일</t>
        </is>
      </c>
      <c r="E28" t="inlineStr">
        <is>
          <t>세트2</t>
        </is>
      </c>
      <c r="J28">
        <f>IF(ROWS($J$2:J28)&lt;=INDEX($H$2:$H$9,MATCH('공기산정(1일작업량)'!$B$32,$F$2:$F$9,0)),INDEX($A$2:$A$115,INDEX($G$2:$G$9,MATCH('공기산정(1일작업량)'!$B$32,$F$2:$F$9,0))+ROWS($J$2:J28)-1),"")</f>
        <v/>
      </c>
    </row>
    <row r="29">
      <c r="A29" t="inlineStr">
        <is>
          <t>토공사&gt;연약지반-샌드매트 포설 (불도저(습지) 13톤)</t>
        </is>
      </c>
      <c r="B29" t="inlineStr">
        <is>
          <t>㎥</t>
        </is>
      </c>
      <c r="C29" s="135" t="n">
        <v>421</v>
      </c>
      <c r="D29" t="inlineStr">
        <is>
          <t>421㎥/일</t>
        </is>
      </c>
      <c r="E29" t="inlineStr">
        <is>
          <t>세트2</t>
        </is>
      </c>
      <c r="J29">
        <f>IF(ROWS($J$2:J29)&lt;=INDEX($H$2:$H$9,MATCH('공기산정(1일작업량)'!$B$32,$F$2:$F$9,0)),INDEX($A$2:$A$115,INDEX($G$2:$G$9,MATCH('공기산정(1일작업량)'!$B$32,$F$2:$F$9,0))+ROWS($J$2:J29)-1),"")</f>
        <v/>
      </c>
    </row>
    <row r="30">
      <c r="A30" t="inlineStr">
        <is>
          <t>토공사&gt;연약지반-플라스틱 보드 드레인(PBD) (PBD L=25m 이하)</t>
        </is>
      </c>
      <c r="B30" t="inlineStr">
        <is>
          <t>m</t>
        </is>
      </c>
      <c r="C30" s="135" t="n">
        <v>9396</v>
      </c>
      <c r="D30" t="inlineStr">
        <is>
          <t>9,396m/일</t>
        </is>
      </c>
      <c r="E30" t="inlineStr">
        <is>
          <t>세트2</t>
        </is>
      </c>
      <c r="J30">
        <f>IF(ROWS($J$2:J30)&lt;=INDEX($H$2:$H$9,MATCH('공기산정(1일작업량)'!$B$32,$F$2:$F$9,0)),INDEX($A$2:$A$115,INDEX($G$2:$G$9,MATCH('공기산정(1일작업량)'!$B$32,$F$2:$F$9,0))+ROWS($J$2:J30)-1),"")</f>
        <v/>
      </c>
    </row>
    <row r="31">
      <c r="A31" t="inlineStr">
        <is>
          <t>토공사&gt;연약지반-침하토, 과재쌓기 (과재쌓기, 모터그레이더)</t>
        </is>
      </c>
      <c r="B31" t="inlineStr">
        <is>
          <t>㎥</t>
        </is>
      </c>
      <c r="C31" s="135" t="n">
        <v>1597</v>
      </c>
      <c r="D31" t="inlineStr">
        <is>
          <t>1,597㎥/일</t>
        </is>
      </c>
      <c r="E31" t="inlineStr">
        <is>
          <t>세트2</t>
        </is>
      </c>
      <c r="J31">
        <f>IF(ROWS($J$2:J31)&lt;=INDEX($H$2:$H$9,MATCH('공기산정(1일작업량)'!$B$32,$F$2:$F$9,0)),INDEX($A$2:$A$115,INDEX($G$2:$G$9,MATCH('공기산정(1일작업량)'!$B$32,$F$2:$F$9,0))+ROWS($J$2:J31)-1),"")</f>
        <v/>
      </c>
    </row>
    <row r="32">
      <c r="A32" t="inlineStr">
        <is>
          <t>토공사&gt;연약지반-과재쌓기 제거 (불도저 19톤)</t>
        </is>
      </c>
      <c r="B32" t="inlineStr">
        <is>
          <t>㎥</t>
        </is>
      </c>
      <c r="C32" s="135" t="n">
        <v>383</v>
      </c>
      <c r="D32" t="inlineStr">
        <is>
          <t>383㎥/일</t>
        </is>
      </c>
      <c r="E32" t="inlineStr">
        <is>
          <t>세트2</t>
        </is>
      </c>
      <c r="J32">
        <f>IF(ROWS($J$2:J32)&lt;=INDEX($H$2:$H$9,MATCH('공기산정(1일작업량)'!$B$32,$F$2:$F$9,0)),INDEX($A$2:$A$115,INDEX($G$2:$G$9,MATCH('공기산정(1일작업량)'!$B$32,$F$2:$F$9,0))+ROWS($J$2:J32)-1),"")</f>
        <v/>
      </c>
    </row>
    <row r="33">
      <c r="A33" t="inlineStr">
        <is>
          <t>토공사&gt;연약지반-활동방지공(S.C.P) (모래다짐말뚝 L=25m (원문 표기: 모대다짐말뚝))</t>
        </is>
      </c>
      <c r="B33" t="inlineStr">
        <is>
          <t>본</t>
        </is>
      </c>
      <c r="C33" s="135" t="n">
        <v>14</v>
      </c>
      <c r="D33" t="inlineStr">
        <is>
          <t>14본/일</t>
        </is>
      </c>
      <c r="E33" t="inlineStr">
        <is>
          <t>세트2</t>
        </is>
      </c>
      <c r="J33">
        <f>IF(ROWS($J$2:J33)&lt;=INDEX($H$2:$H$9,MATCH('공기산정(1일작업량)'!$B$32,$F$2:$F$9,0)),INDEX($A$2:$A$115,INDEX($G$2:$G$9,MATCH('공기산정(1일작업량)'!$B$32,$F$2:$F$9,0))+ROWS($J$2:J33)-1),"")</f>
        <v/>
      </c>
    </row>
    <row r="34">
      <c r="A34" t="inlineStr">
        <is>
          <t>토공사&gt;연약지반-지반보강(고압분사주입공법) (직경 800mm, L=25m)</t>
        </is>
      </c>
      <c r="B34" t="inlineStr">
        <is>
          <t>본</t>
        </is>
      </c>
      <c r="C34" s="135" t="n">
        <v>2.2</v>
      </c>
      <c r="D34" t="inlineStr">
        <is>
          <t>2.2본/일</t>
        </is>
      </c>
      <c r="E34" t="inlineStr">
        <is>
          <t>세트2</t>
        </is>
      </c>
      <c r="J34">
        <f>IF(ROWS($J$2:J34)&lt;=INDEX($H$2:$H$9,MATCH('공기산정(1일작업량)'!$B$32,$F$2:$F$9,0)),INDEX($A$2:$A$115,INDEX($G$2:$G$9,MATCH('공기산정(1일작업량)'!$B$32,$F$2:$F$9,0))+ROWS($J$2:J34)-1),"")</f>
        <v/>
      </c>
    </row>
    <row r="35">
      <c r="A35" t="inlineStr">
        <is>
          <t>토공사&gt;비탈면 보호공 (평떼)</t>
        </is>
      </c>
      <c r="B35" t="inlineStr">
        <is>
          <t>㎡</t>
        </is>
      </c>
      <c r="C35" s="135" t="n">
        <v>505</v>
      </c>
      <c r="D35" t="inlineStr">
        <is>
          <t>505㎡/일</t>
        </is>
      </c>
      <c r="E35" t="inlineStr">
        <is>
          <t>세트2</t>
        </is>
      </c>
      <c r="J35">
        <f>IF(ROWS($J$2:J35)&lt;=INDEX($H$2:$H$9,MATCH('공기산정(1일작업량)'!$B$32,$F$2:$F$9,0)),INDEX($A$2:$A$115,INDEX($G$2:$G$9,MATCH('공기산정(1일작업량)'!$B$32,$F$2:$F$9,0))+ROWS($J$2:J35)-1),"")</f>
        <v/>
      </c>
    </row>
    <row r="36">
      <c r="A36" t="inlineStr">
        <is>
          <t>토공사&gt;비탈면 보강공 (천공/보강재-연암)</t>
        </is>
      </c>
      <c r="B36" t="inlineStr">
        <is>
          <t>m</t>
        </is>
      </c>
      <c r="C36" s="135" t="n">
        <v>64</v>
      </c>
      <c r="D36" t="inlineStr">
        <is>
          <t>64m/일</t>
        </is>
      </c>
      <c r="E36" t="inlineStr">
        <is>
          <t>세트2</t>
        </is>
      </c>
      <c r="J36">
        <f>IF(ROWS($J$2:J36)&lt;=INDEX($H$2:$H$9,MATCH('공기산정(1일작업량)'!$B$32,$F$2:$F$9,0)),INDEX($A$2:$A$115,INDEX($G$2:$G$9,MATCH('공기산정(1일작업량)'!$B$32,$F$2:$F$9,0))+ROWS($J$2:J36)-1),"")</f>
        <v/>
      </c>
    </row>
    <row r="37">
      <c r="A37" t="inlineStr">
        <is>
          <t>배수공사&gt;암거공-지중강판 (B=5m, L=15m)</t>
        </is>
      </c>
      <c r="B37" t="inlineStr">
        <is>
          <t>15m/1span</t>
        </is>
      </c>
      <c r="C37" s="135" t="n">
        <v>0.02380952380952381</v>
      </c>
      <c r="D37" t="inlineStr">
        <is>
          <t>42일/15m/1span</t>
        </is>
      </c>
      <c r="E37" t="inlineStr">
        <is>
          <t>세트1</t>
        </is>
      </c>
      <c r="J37">
        <f>IF(ROWS($J$2:J37)&lt;=INDEX($H$2:$H$9,MATCH('공기산정(1일작업량)'!$B$32,$F$2:$F$9,0)),INDEX($A$2:$A$115,INDEX($G$2:$G$9,MATCH('공기산정(1일작업량)'!$B$32,$F$2:$F$9,0))+ROWS($J$2:J37)-1),"")</f>
        <v/>
      </c>
    </row>
    <row r="38">
      <c r="A38" t="inlineStr">
        <is>
          <t>배수공사&gt;암거공-철근콘크리트 (B=3m, H=1.8m, L=15m)</t>
        </is>
      </c>
      <c r="B38" t="inlineStr">
        <is>
          <t>15m/1span</t>
        </is>
      </c>
      <c r="C38" s="135" t="n">
        <v>0.03703703703703703</v>
      </c>
      <c r="D38" t="inlineStr">
        <is>
          <t>27일/15m/1span</t>
        </is>
      </c>
      <c r="E38" t="inlineStr">
        <is>
          <t>세트1</t>
        </is>
      </c>
      <c r="J38">
        <f>IF(ROWS($J$2:J38)&lt;=INDEX($H$2:$H$9,MATCH('공기산정(1일작업량)'!$B$32,$F$2:$F$9,0)),INDEX($A$2:$A$115,INDEX($G$2:$G$9,MATCH('공기산정(1일작업량)'!$B$32,$F$2:$F$9,0))+ROWS($J$2:J38)-1),"")</f>
        <v/>
      </c>
    </row>
    <row r="39">
      <c r="A39" t="inlineStr">
        <is>
          <t>배수공사&gt;암거공-날개벽 (B=2.5m, H=2.4m, L=5m (옹벽식))</t>
        </is>
      </c>
      <c r="B39" t="inlineStr">
        <is>
          <t>개소</t>
        </is>
      </c>
      <c r="C39" s="135" t="n">
        <v>0.07692307692307693</v>
      </c>
      <c r="D39" t="inlineStr">
        <is>
          <t>13일/개소</t>
        </is>
      </c>
      <c r="E39" t="inlineStr">
        <is>
          <t>세트1</t>
        </is>
      </c>
      <c r="J39">
        <f>IF(ROWS($J$2:J39)&lt;=INDEX($H$2:$H$9,MATCH('공기산정(1일작업량)'!$B$32,$F$2:$F$9,0)),INDEX($A$2:$A$115,INDEX($G$2:$G$9,MATCH('공기산정(1일작업량)'!$B$32,$F$2:$F$9,0))+ROWS($J$2:J39)-1),"")</f>
        <v/>
      </c>
    </row>
    <row r="40">
      <c r="A40" t="inlineStr">
        <is>
          <t>배수공사&gt;배수관-흄관, V.R관 (직경 600mm, 고무링접합)</t>
        </is>
      </c>
      <c r="B40" t="inlineStr">
        <is>
          <t>m</t>
        </is>
      </c>
      <c r="C40" s="135" t="n">
        <v>43</v>
      </c>
      <c r="D40" t="inlineStr">
        <is>
          <t>43m/일</t>
        </is>
      </c>
      <c r="E40" t="inlineStr">
        <is>
          <t>세트1</t>
        </is>
      </c>
      <c r="J40">
        <f>IF(ROWS($J$2:J40)&lt;=INDEX($H$2:$H$9,MATCH('공기산정(1일작업량)'!$B$32,$F$2:$F$9,0)),INDEX($A$2:$A$115,INDEX($G$2:$G$9,MATCH('공기산정(1일작업량)'!$B$32,$F$2:$F$9,0))+ROWS($J$2:J40)-1),"")</f>
        <v/>
      </c>
    </row>
    <row r="41">
      <c r="A41" t="inlineStr">
        <is>
          <t>배수공사&gt;배수관-강관 (직경 800mm, 접합제외)</t>
        </is>
      </c>
      <c r="B41" t="inlineStr">
        <is>
          <t>m</t>
        </is>
      </c>
      <c r="C41" s="135" t="n">
        <v>38</v>
      </c>
      <c r="D41" t="inlineStr">
        <is>
          <t>38m/일</t>
        </is>
      </c>
      <c r="E41" t="inlineStr">
        <is>
          <t>세트1</t>
        </is>
      </c>
      <c r="J41">
        <f>IF(ROWS($J$2:J41)&lt;=INDEX($H$2:$H$9,MATCH('공기산정(1일작업량)'!$B$32,$F$2:$F$9,0)),INDEX($A$2:$A$115,INDEX($G$2:$G$9,MATCH('공기산정(1일작업량)'!$B$32,$F$2:$F$9,0))+ROWS($J$2:J41)-1),"")</f>
        <v/>
      </c>
    </row>
    <row r="42">
      <c r="A42" t="inlineStr">
        <is>
          <t>배수공사&gt;배수관-강관압입추진 (직경 800mm, 접합제외)</t>
        </is>
      </c>
      <c r="B42" t="inlineStr">
        <is>
          <t>m</t>
        </is>
      </c>
      <c r="C42" s="135" t="n">
        <v>3</v>
      </c>
      <c r="D42" t="inlineStr">
        <is>
          <t>3m/일</t>
        </is>
      </c>
      <c r="E42" t="inlineStr">
        <is>
          <t>세트1</t>
        </is>
      </c>
      <c r="J42">
        <f>IF(ROWS($J$2:J42)&lt;=INDEX($H$2:$H$9,MATCH('공기산정(1일작업량)'!$B$32,$F$2:$F$9,0)),INDEX($A$2:$A$115,INDEX($G$2:$G$9,MATCH('공기산정(1일작업량)'!$B$32,$F$2:$F$9,0))+ROWS($J$2:J42)-1),"")</f>
        <v/>
      </c>
    </row>
    <row r="43">
      <c r="A43" t="inlineStr">
        <is>
          <t>배수공사&gt;옹벽-콘크리트옹벽 (B=4m, H=5m, L=15m)</t>
        </is>
      </c>
      <c r="B43" t="inlineStr">
        <is>
          <t>15m/1span</t>
        </is>
      </c>
      <c r="C43" s="135" t="n">
        <v>0.04</v>
      </c>
      <c r="D43" t="inlineStr">
        <is>
          <t>25일/15m/1span</t>
        </is>
      </c>
      <c r="E43" t="inlineStr">
        <is>
          <t>세트1</t>
        </is>
      </c>
      <c r="J43">
        <f>IF(ROWS($J$2:J43)&lt;=INDEX($H$2:$H$9,MATCH('공기산정(1일작업량)'!$B$32,$F$2:$F$9,0)),INDEX($A$2:$A$115,INDEX($G$2:$G$9,MATCH('공기산정(1일작업량)'!$B$32,$F$2:$F$9,0))+ROWS($J$2:J43)-1),"")</f>
        <v/>
      </c>
    </row>
    <row r="44">
      <c r="A44" t="inlineStr">
        <is>
          <t>배수공사&gt;옹벽-보강토옹벽 (블록식, 뒤채움 제외)</t>
        </is>
      </c>
      <c r="B44" t="inlineStr">
        <is>
          <t>㎡</t>
        </is>
      </c>
      <c r="C44" s="135" t="n">
        <v>14</v>
      </c>
      <c r="D44" t="inlineStr">
        <is>
          <t>14㎡/일</t>
        </is>
      </c>
      <c r="E44" t="inlineStr">
        <is>
          <t>세트1</t>
        </is>
      </c>
      <c r="J44">
        <f>IF(ROWS($J$2:J44)&lt;=INDEX($H$2:$H$9,MATCH('공기산정(1일작업량)'!$B$32,$F$2:$F$9,0)),INDEX($A$2:$A$115,INDEX($G$2:$G$9,MATCH('공기산정(1일작업량)'!$B$32,$F$2:$F$9,0))+ROWS($J$2:J44)-1),"")</f>
        <v/>
      </c>
    </row>
    <row r="45">
      <c r="A45" t="inlineStr">
        <is>
          <t>배수공사&gt;측구공-L형측구 (B=0.9m, H=2.3m, L=20m)</t>
        </is>
      </c>
      <c r="B45" t="inlineStr">
        <is>
          <t>20m/1span</t>
        </is>
      </c>
      <c r="C45" s="135" t="n">
        <v>0.125</v>
      </c>
      <c r="D45" t="inlineStr">
        <is>
          <t>8일/20m/1span</t>
        </is>
      </c>
      <c r="E45" t="inlineStr">
        <is>
          <t>세트1</t>
        </is>
      </c>
      <c r="J45">
        <f>IF(ROWS($J$2:J45)&lt;=INDEX($H$2:$H$9,MATCH('공기산정(1일작업량)'!$B$32,$F$2:$F$9,0)),INDEX($A$2:$A$115,INDEX($G$2:$G$9,MATCH('공기산정(1일작업량)'!$B$32,$F$2:$F$9,0))+ROWS($J$2:J45)-1),"")</f>
        <v/>
      </c>
    </row>
    <row r="46">
      <c r="A46" t="inlineStr">
        <is>
          <t>배수공사&gt;측구공-U형측구 (B=1.08m, H=1.0m, L=20m)</t>
        </is>
      </c>
      <c r="B46" t="inlineStr">
        <is>
          <t>20m/1span</t>
        </is>
      </c>
      <c r="C46" s="135" t="n">
        <v>0.1111111111111111</v>
      </c>
      <c r="D46" t="inlineStr">
        <is>
          <t>9일/20m/1span</t>
        </is>
      </c>
      <c r="E46" t="inlineStr">
        <is>
          <t>세트1</t>
        </is>
      </c>
      <c r="J46">
        <f>IF(ROWS($J$2:J46)&lt;=INDEX($H$2:$H$9,MATCH('공기산정(1일작업량)'!$B$32,$F$2:$F$9,0)),INDEX($A$2:$A$115,INDEX($G$2:$G$9,MATCH('공기산정(1일작업량)'!$B$32,$F$2:$F$9,0))+ROWS($J$2:J46)-1),"")</f>
        <v/>
      </c>
    </row>
    <row r="47">
      <c r="A47" t="inlineStr">
        <is>
          <t>배수공사&gt;측구공-V형측구 (B=1.46m, H=0.8m, L=20m)</t>
        </is>
      </c>
      <c r="B47" t="inlineStr">
        <is>
          <t>20m/1span</t>
        </is>
      </c>
      <c r="C47" s="135" t="n">
        <v>0.125</v>
      </c>
      <c r="D47" t="inlineStr">
        <is>
          <t>8일/20m/1span</t>
        </is>
      </c>
      <c r="E47" t="inlineStr">
        <is>
          <t>세트1</t>
        </is>
      </c>
      <c r="J47">
        <f>IF(ROWS($J$2:J47)&lt;=INDEX($H$2:$H$9,MATCH('공기산정(1일작업량)'!$B$32,$F$2:$F$9,0)),INDEX($A$2:$A$115,INDEX($G$2:$G$9,MATCH('공기산정(1일작업량)'!$B$32,$F$2:$F$9,0))+ROWS($J$2:J47)-1),"")</f>
        <v/>
      </c>
    </row>
    <row r="48">
      <c r="A48" t="inlineStr">
        <is>
          <t>배수공사&gt;측구공-산마루 측구 (B=1.34m, H=1.15m, L=20m)</t>
        </is>
      </c>
      <c r="B48" t="inlineStr">
        <is>
          <t>20m/1span</t>
        </is>
      </c>
      <c r="C48" s="135" t="n">
        <v>0.125</v>
      </c>
      <c r="D48" t="inlineStr">
        <is>
          <t>8일/20m/1span</t>
        </is>
      </c>
      <c r="E48" t="inlineStr">
        <is>
          <t>세트1</t>
        </is>
      </c>
      <c r="J48">
        <f>IF(ROWS($J$2:J48)&lt;=INDEX($H$2:$H$9,MATCH('공기산정(1일작업량)'!$B$32,$F$2:$F$9,0)),INDEX($A$2:$A$115,INDEX($G$2:$G$9,MATCH('공기산정(1일작업량)'!$B$32,$F$2:$F$9,0))+ROWS($J$2:J48)-1),"")</f>
        <v/>
      </c>
    </row>
    <row r="49">
      <c r="A49" t="inlineStr">
        <is>
          <t>포장공사&gt;아스팔트포장 1단계-작업준비 (스틱 설치간격 10m)</t>
        </is>
      </c>
      <c r="B49" t="inlineStr">
        <is>
          <t>m</t>
        </is>
      </c>
      <c r="C49" s="135" t="n">
        <v>1900</v>
      </c>
      <c r="D49" t="inlineStr">
        <is>
          <t>1,900m/일</t>
        </is>
      </c>
      <c r="E49" t="inlineStr">
        <is>
          <t>세트3</t>
        </is>
      </c>
      <c r="J49">
        <f>IF(ROWS($J$2:J49)&lt;=INDEX($H$2:$H$9,MATCH('공기산정(1일작업량)'!$B$32,$F$2:$F$9,0)),INDEX($A$2:$A$115,INDEX($G$2:$G$9,MATCH('공기산정(1일작업량)'!$B$32,$F$2:$F$9,0))+ROWS($J$2:J49)-1),"")</f>
        <v/>
      </c>
    </row>
    <row r="50">
      <c r="A50" t="inlineStr">
        <is>
          <t>포장공사&gt;아스팔트포장 1단계-작업준비 (스틱 설치간격 6m)</t>
        </is>
      </c>
      <c r="B50" t="inlineStr">
        <is>
          <t>m</t>
        </is>
      </c>
      <c r="C50" s="135" t="n">
        <v>1600</v>
      </c>
      <c r="D50" t="inlineStr">
        <is>
          <t>1,600m/일</t>
        </is>
      </c>
      <c r="E50" t="inlineStr">
        <is>
          <t>세트3</t>
        </is>
      </c>
      <c r="J50">
        <f>IF(ROWS($J$2:J50)&lt;=INDEX($H$2:$H$9,MATCH('공기산정(1일작업량)'!$B$32,$F$2:$F$9,0)),INDEX($A$2:$A$115,INDEX($G$2:$G$9,MATCH('공기산정(1일작업량)'!$B$32,$F$2:$F$9,0))+ROWS($J$2:J50)-1),"")</f>
        <v/>
      </c>
    </row>
    <row r="51">
      <c r="A51" t="inlineStr">
        <is>
          <t>포장공사&gt;아스팔트포장 1단계-작업준비 인수인계/위치측량 (고정 5일)</t>
        </is>
      </c>
      <c r="B51" t="inlineStr">
        <is>
          <t>식</t>
        </is>
      </c>
      <c r="C51" s="135" t="n">
        <v>0.2</v>
      </c>
      <c r="D51" t="inlineStr">
        <is>
          <t>5일</t>
        </is>
      </c>
      <c r="E51" t="inlineStr">
        <is>
          <t>세트3</t>
        </is>
      </c>
      <c r="J51">
        <f>IF(ROWS($J$2:J51)&lt;=INDEX($H$2:$H$9,MATCH('공기산정(1일작업량)'!$B$32,$F$2:$F$9,0)),INDEX($A$2:$A$115,INDEX($G$2:$G$9,MATCH('공기산정(1일작업량)'!$B$32,$F$2:$F$9,0))+ROWS($J$2:J51)-1),"")</f>
        <v/>
      </c>
    </row>
    <row r="52">
      <c r="A52" t="inlineStr">
        <is>
          <t>포장공사&gt;아스팔트포장 1단계-동상방지층(선택) (대형 다짐장비, 본선 포설)</t>
        </is>
      </c>
      <c r="B52" t="inlineStr">
        <is>
          <t>㎥</t>
        </is>
      </c>
      <c r="C52" s="135" t="n">
        <v>600</v>
      </c>
      <c r="D52" t="inlineStr">
        <is>
          <t>600㎥/일</t>
        </is>
      </c>
      <c r="E52" t="inlineStr">
        <is>
          <t>세트3</t>
        </is>
      </c>
      <c r="J52">
        <f>IF(ROWS($J$2:J52)&lt;=INDEX($H$2:$H$9,MATCH('공기산정(1일작업량)'!$B$32,$F$2:$F$9,0)),INDEX($A$2:$A$115,INDEX($G$2:$G$9,MATCH('공기산정(1일작업량)'!$B$32,$F$2:$F$9,0))+ROWS($J$2:J52)-1),"")</f>
        <v/>
      </c>
    </row>
    <row r="53">
      <c r="A53" t="inlineStr">
        <is>
          <t>포장공사&gt;아스팔트포장 1단계-보조기층 (대형 다짐장비, 본선 포설)</t>
        </is>
      </c>
      <c r="B53" t="inlineStr">
        <is>
          <t>㎥</t>
        </is>
      </c>
      <c r="C53" s="135" t="n">
        <v>550</v>
      </c>
      <c r="D53" t="inlineStr">
        <is>
          <t>550㎥/일</t>
        </is>
      </c>
      <c r="E53" t="inlineStr">
        <is>
          <t>세트3</t>
        </is>
      </c>
      <c r="J53">
        <f>IF(ROWS($J$2:J53)&lt;=INDEX($H$2:$H$9,MATCH('공기산정(1일작업량)'!$B$32,$F$2:$F$9,0)),INDEX($A$2:$A$115,INDEX($G$2:$G$9,MATCH('공기산정(1일작업량)'!$B$32,$F$2:$F$9,0))+ROWS($J$2:J53)-1),"")</f>
        <v/>
      </c>
    </row>
    <row r="54">
      <c r="A54" t="inlineStr">
        <is>
          <t>포장공사&gt;아스팔트포장 2단계-작업준비 (스틱 설치간격 10m)</t>
        </is>
      </c>
      <c r="B54" t="inlineStr">
        <is>
          <t>m</t>
        </is>
      </c>
      <c r="C54" s="135" t="n">
        <v>1900</v>
      </c>
      <c r="D54" t="inlineStr">
        <is>
          <t>1,900m/일</t>
        </is>
      </c>
      <c r="E54" t="inlineStr">
        <is>
          <t>세트3</t>
        </is>
      </c>
      <c r="J54">
        <f>IF(ROWS($J$2:J54)&lt;=INDEX($H$2:$H$9,MATCH('공기산정(1일작업량)'!$B$32,$F$2:$F$9,0)),INDEX($A$2:$A$115,INDEX($G$2:$G$9,MATCH('공기산정(1일작업량)'!$B$32,$F$2:$F$9,0))+ROWS($J$2:J54)-1),"")</f>
        <v/>
      </c>
    </row>
    <row r="55">
      <c r="A55" t="inlineStr">
        <is>
          <t>포장공사&gt;아스팔트포장 2단계-작업준비 (스틱 설치간격 6m)</t>
        </is>
      </c>
      <c r="B55" t="inlineStr">
        <is>
          <t>m</t>
        </is>
      </c>
      <c r="C55" s="135" t="n">
        <v>1600</v>
      </c>
      <c r="D55" t="inlineStr">
        <is>
          <t>1,600m/일</t>
        </is>
      </c>
      <c r="E55" t="inlineStr">
        <is>
          <t>세트3</t>
        </is>
      </c>
      <c r="J55">
        <f>IF(ROWS($J$2:J55)&lt;=INDEX($H$2:$H$9,MATCH('공기산정(1일작업량)'!$B$32,$F$2:$F$9,0)),INDEX($A$2:$A$115,INDEX($G$2:$G$9,MATCH('공기산정(1일작업량)'!$B$32,$F$2:$F$9,0))+ROWS($J$2:J55)-1),"")</f>
        <v/>
      </c>
    </row>
    <row r="56">
      <c r="A56" t="inlineStr">
        <is>
          <t>포장공사&gt;아스팔트포장 2단계-작업준비 자재발주/유도선 (고정 3일)</t>
        </is>
      </c>
      <c r="B56" t="inlineStr">
        <is>
          <t>식</t>
        </is>
      </c>
      <c r="C56" s="135" t="n">
        <v>0.3333333333333333</v>
      </c>
      <c r="D56" t="inlineStr">
        <is>
          <t>3일</t>
        </is>
      </c>
      <c r="E56" t="inlineStr">
        <is>
          <t>세트3</t>
        </is>
      </c>
      <c r="J56">
        <f>IF(ROWS($J$2:J56)&lt;=INDEX($H$2:$H$9,MATCH('공기산정(1일작업량)'!$B$32,$F$2:$F$9,0)),INDEX($A$2:$A$115,INDEX($G$2:$G$9,MATCH('공기산정(1일작업량)'!$B$32,$F$2:$F$9,0))+ROWS($J$2:J56)-1),"")</f>
        <v/>
      </c>
    </row>
    <row r="57">
      <c r="A57" t="inlineStr">
        <is>
          <t>포장공사&gt;아스팔트포장 2단계-택코팅 (역청재 살포)</t>
        </is>
      </c>
      <c r="B57" t="inlineStr">
        <is>
          <t>㎡</t>
        </is>
      </c>
      <c r="C57" s="135" t="n">
        <v>20000</v>
      </c>
      <c r="D57" t="inlineStr">
        <is>
          <t>20,000㎡/일</t>
        </is>
      </c>
      <c r="E57" t="inlineStr">
        <is>
          <t>세트3</t>
        </is>
      </c>
      <c r="J57">
        <f>IF(ROWS($J$2:J57)&lt;=INDEX($H$2:$H$9,MATCH('공기산정(1일작업량)'!$B$32,$F$2:$F$9,0)),INDEX($A$2:$A$115,INDEX($G$2:$G$9,MATCH('공기산정(1일작업량)'!$B$32,$F$2:$F$9,0))+ROWS($J$2:J57)-1),"")</f>
        <v/>
      </c>
    </row>
    <row r="58">
      <c r="A58" t="inlineStr">
        <is>
          <t>포장공사&gt;아스팔트포장 2단계-프라임코팅 (역청재 살포 (양생 2일 별도 계상))</t>
        </is>
      </c>
      <c r="B58" t="inlineStr">
        <is>
          <t>㎡</t>
        </is>
      </c>
      <c r="C58" s="135" t="n">
        <v>20000</v>
      </c>
      <c r="D58" t="inlineStr">
        <is>
          <t>20,000㎡/일</t>
        </is>
      </c>
      <c r="E58" t="inlineStr">
        <is>
          <t>세트3</t>
        </is>
      </c>
      <c r="J58">
        <f>IF(ROWS($J$2:J58)&lt;=INDEX($H$2:$H$9,MATCH('공기산정(1일작업량)'!$B$32,$F$2:$F$9,0)),INDEX($A$2:$A$115,INDEX($G$2:$G$9,MATCH('공기산정(1일작업량)'!$B$32,$F$2:$F$9,0))+ROWS($J$2:J58)-1),"")</f>
        <v/>
      </c>
    </row>
    <row r="59">
      <c r="A59" t="inlineStr">
        <is>
          <t>포장공사&gt;아스팔트포장 2단계-기층 (시공폭 3m 이상, 두께 5-7㎝)</t>
        </is>
      </c>
      <c r="B59" t="inlineStr">
        <is>
          <t>㎡</t>
        </is>
      </c>
      <c r="C59" s="135" t="n">
        <v>4900</v>
      </c>
      <c r="D59" t="inlineStr">
        <is>
          <t>4,900㎡/일</t>
        </is>
      </c>
      <c r="E59" t="inlineStr">
        <is>
          <t>세트3</t>
        </is>
      </c>
      <c r="J59">
        <f>IF(ROWS($J$2:J59)&lt;=INDEX($H$2:$H$9,MATCH('공기산정(1일작업량)'!$B$32,$F$2:$F$9,0)),INDEX($A$2:$A$115,INDEX($G$2:$G$9,MATCH('공기산정(1일작업량)'!$B$32,$F$2:$F$9,0))+ROWS($J$2:J59)-1),"")</f>
        <v/>
      </c>
    </row>
    <row r="60">
      <c r="A60" t="inlineStr">
        <is>
          <t>포장공사&gt;아스팔트포장 2단계-기층 (시공폭 3m 이상, 두께 8-10㎝)</t>
        </is>
      </c>
      <c r="B60" t="inlineStr">
        <is>
          <t>㎡</t>
        </is>
      </c>
      <c r="C60" s="135" t="n">
        <v>4500</v>
      </c>
      <c r="D60" t="inlineStr">
        <is>
          <t>4,500㎡/일</t>
        </is>
      </c>
      <c r="E60" t="inlineStr">
        <is>
          <t>세트3</t>
        </is>
      </c>
      <c r="J60">
        <f>IF(ROWS($J$2:J60)&lt;=INDEX($H$2:$H$9,MATCH('공기산정(1일작업량)'!$B$32,$F$2:$F$9,0)),INDEX($A$2:$A$115,INDEX($G$2:$G$9,MATCH('공기산정(1일작업량)'!$B$32,$F$2:$F$9,0))+ROWS($J$2:J60)-1),"")</f>
        <v/>
      </c>
    </row>
    <row r="61">
      <c r="A61" t="inlineStr">
        <is>
          <t>포장공사&gt;아스팔트포장 2단계-중간층/표층 (시공폭 3m 이상, 5-7㎝)</t>
        </is>
      </c>
      <c r="B61" t="inlineStr">
        <is>
          <t>㎡</t>
        </is>
      </c>
      <c r="C61" s="135" t="n">
        <v>4800</v>
      </c>
      <c r="D61" t="inlineStr">
        <is>
          <t>4,800㎡/일</t>
        </is>
      </c>
      <c r="E61" t="inlineStr">
        <is>
          <t>세트3</t>
        </is>
      </c>
      <c r="J61">
        <f>IF(ROWS($J$2:J61)&lt;=INDEX($H$2:$H$9,MATCH('공기산정(1일작업량)'!$B$32,$F$2:$F$9,0)),INDEX($A$2:$A$115,INDEX($G$2:$G$9,MATCH('공기산정(1일작업량)'!$B$32,$F$2:$F$9,0))+ROWS($J$2:J61)-1),"")</f>
        <v/>
      </c>
    </row>
    <row r="62">
      <c r="A62" t="inlineStr">
        <is>
          <t>포장공사&gt;아스팔트포장-부대공사 (차선도색, 안전시설 (준공 전))</t>
        </is>
      </c>
      <c r="B62" t="inlineStr">
        <is>
          <t>km</t>
        </is>
      </c>
      <c r="C62" s="135" t="n">
        <v>0.3333333333333333</v>
      </c>
      <c r="D62" t="inlineStr">
        <is>
          <t>3일/km</t>
        </is>
      </c>
      <c r="E62" t="inlineStr">
        <is>
          <t>세트3</t>
        </is>
      </c>
      <c r="J62">
        <f>IF(ROWS($J$2:J62)&lt;=INDEX($H$2:$H$9,MATCH('공기산정(1일작업량)'!$B$32,$F$2:$F$9,0)),INDEX($A$2:$A$115,INDEX($G$2:$G$9,MATCH('공기산정(1일작업량)'!$B$32,$F$2:$F$9,0))+ROWS($J$2:J62)-1),"")</f>
        <v/>
      </c>
    </row>
    <row r="63">
      <c r="A63" t="inlineStr">
        <is>
          <t>포장공사&gt;콘크리트포장 1단계-작업준비 (스틱 설치간격 10m)</t>
        </is>
      </c>
      <c r="B63" t="inlineStr">
        <is>
          <t>m</t>
        </is>
      </c>
      <c r="C63" s="135" t="n">
        <v>1900</v>
      </c>
      <c r="D63" t="inlineStr">
        <is>
          <t>1,900m/일</t>
        </is>
      </c>
      <c r="E63" t="inlineStr">
        <is>
          <t>세트3</t>
        </is>
      </c>
      <c r="J63">
        <f>IF(ROWS($J$2:J63)&lt;=INDEX($H$2:$H$9,MATCH('공기산정(1일작업량)'!$B$32,$F$2:$F$9,0)),INDEX($A$2:$A$115,INDEX($G$2:$G$9,MATCH('공기산정(1일작업량)'!$B$32,$F$2:$F$9,0))+ROWS($J$2:J63)-1),"")</f>
        <v/>
      </c>
    </row>
    <row r="64">
      <c r="A64" t="inlineStr">
        <is>
          <t>포장공사&gt;콘크리트포장 1단계-작업준비 (스틱 설치간격 6m)</t>
        </is>
      </c>
      <c r="B64" t="inlineStr">
        <is>
          <t>m</t>
        </is>
      </c>
      <c r="C64" s="135" t="n">
        <v>1600</v>
      </c>
      <c r="D64" t="inlineStr">
        <is>
          <t>1,600m/일</t>
        </is>
      </c>
      <c r="E64" t="inlineStr">
        <is>
          <t>세트3</t>
        </is>
      </c>
      <c r="J64">
        <f>IF(ROWS($J$2:J64)&lt;=INDEX($H$2:$H$9,MATCH('공기산정(1일작업량)'!$B$32,$F$2:$F$9,0)),INDEX($A$2:$A$115,INDEX($G$2:$G$9,MATCH('공기산정(1일작업량)'!$B$32,$F$2:$F$9,0))+ROWS($J$2:J64)-1),"")</f>
        <v/>
      </c>
    </row>
    <row r="65">
      <c r="A65" t="inlineStr">
        <is>
          <t>포장공사&gt;콘크리트포장 1단계-작업준비 인수인계/위치측량 (고정 5일)</t>
        </is>
      </c>
      <c r="B65" t="inlineStr">
        <is>
          <t>식</t>
        </is>
      </c>
      <c r="C65" s="135" t="n">
        <v>0.2</v>
      </c>
      <c r="D65" t="inlineStr">
        <is>
          <t>5일</t>
        </is>
      </c>
      <c r="E65" t="inlineStr">
        <is>
          <t>세트3</t>
        </is>
      </c>
      <c r="J65">
        <f>IF(ROWS($J$2:J65)&lt;=INDEX($H$2:$H$9,MATCH('공기산정(1일작업량)'!$B$32,$F$2:$F$9,0)),INDEX($A$2:$A$115,INDEX($G$2:$G$9,MATCH('공기산정(1일작업량)'!$B$32,$F$2:$F$9,0))+ROWS($J$2:J65)-1),"")</f>
        <v/>
      </c>
    </row>
    <row r="66">
      <c r="A66" t="inlineStr">
        <is>
          <t>포장공사&gt;콘크리트포장 1단계-동상방지층(선택) (대형 다짐장비, 본선 포설)</t>
        </is>
      </c>
      <c r="B66" t="inlineStr">
        <is>
          <t>㎥</t>
        </is>
      </c>
      <c r="C66" s="135" t="n">
        <v>600</v>
      </c>
      <c r="D66" t="inlineStr">
        <is>
          <t>600㎥/일</t>
        </is>
      </c>
      <c r="E66" t="inlineStr">
        <is>
          <t>세트3</t>
        </is>
      </c>
      <c r="J66">
        <f>IF(ROWS($J$2:J66)&lt;=INDEX($H$2:$H$9,MATCH('공기산정(1일작업량)'!$B$32,$F$2:$F$9,0)),INDEX($A$2:$A$115,INDEX($G$2:$G$9,MATCH('공기산정(1일작업량)'!$B$32,$F$2:$F$9,0))+ROWS($J$2:J66)-1),"")</f>
        <v/>
      </c>
    </row>
    <row r="67">
      <c r="A67" t="inlineStr">
        <is>
          <t>포장공사&gt;콘크리트포장 1단계-린콘크리트 (린 콘크리트 기층 포설)</t>
        </is>
      </c>
      <c r="B67" t="inlineStr">
        <is>
          <t>㎥</t>
        </is>
      </c>
      <c r="C67" s="135" t="n">
        <v>550</v>
      </c>
      <c r="D67" t="inlineStr">
        <is>
          <t>550㎥/일</t>
        </is>
      </c>
      <c r="E67" t="inlineStr">
        <is>
          <t>세트3</t>
        </is>
      </c>
      <c r="J67">
        <f>IF(ROWS($J$2:J67)&lt;=INDEX($H$2:$H$9,MATCH('공기산정(1일작업량)'!$B$32,$F$2:$F$9,0)),INDEX($A$2:$A$115,INDEX($G$2:$G$9,MATCH('공기산정(1일작업량)'!$B$32,$F$2:$F$9,0))+ROWS($J$2:J67)-1),"")</f>
        <v/>
      </c>
    </row>
    <row r="68">
      <c r="A68" t="inlineStr">
        <is>
          <t>포장공사&gt;콘크리트포장 2단계-작업준비 (스틱 설치간격 10m)</t>
        </is>
      </c>
      <c r="B68" t="inlineStr">
        <is>
          <t>m</t>
        </is>
      </c>
      <c r="C68" s="135" t="n">
        <v>1900</v>
      </c>
      <c r="D68" t="inlineStr">
        <is>
          <t>1,900m/일</t>
        </is>
      </c>
      <c r="E68" t="inlineStr">
        <is>
          <t>세트3</t>
        </is>
      </c>
      <c r="J68">
        <f>IF(ROWS($J$2:J68)&lt;=INDEX($H$2:$H$9,MATCH('공기산정(1일작업량)'!$B$32,$F$2:$F$9,0)),INDEX($A$2:$A$115,INDEX($G$2:$G$9,MATCH('공기산정(1일작업량)'!$B$32,$F$2:$F$9,0))+ROWS($J$2:J68)-1),"")</f>
        <v/>
      </c>
    </row>
    <row r="69">
      <c r="A69" t="inlineStr">
        <is>
          <t>포장공사&gt;콘크리트포장 2단계-작업준비 (스틱 설치간격 6m)</t>
        </is>
      </c>
      <c r="B69" t="inlineStr">
        <is>
          <t>m</t>
        </is>
      </c>
      <c r="C69" s="135" t="n">
        <v>1600</v>
      </c>
      <c r="D69" t="inlineStr">
        <is>
          <t>1,600m/일</t>
        </is>
      </c>
      <c r="E69" t="inlineStr">
        <is>
          <t>세트3</t>
        </is>
      </c>
      <c r="J69">
        <f>IF(ROWS($J$2:J69)&lt;=INDEX($H$2:$H$9,MATCH('공기산정(1일작업량)'!$B$32,$F$2:$F$9,0)),INDEX($A$2:$A$115,INDEX($G$2:$G$9,MATCH('공기산정(1일작업량)'!$B$32,$F$2:$F$9,0))+ROWS($J$2:J69)-1),"")</f>
        <v/>
      </c>
    </row>
    <row r="70">
      <c r="A70" t="inlineStr">
        <is>
          <t>포장공사&gt;콘크리트포장 2단계-작업준비 자재발주/유도선 (고정 3일)</t>
        </is>
      </c>
      <c r="B70" t="inlineStr">
        <is>
          <t>식</t>
        </is>
      </c>
      <c r="C70" s="135" t="n">
        <v>0.3333333333333333</v>
      </c>
      <c r="D70" t="inlineStr">
        <is>
          <t>3일</t>
        </is>
      </c>
      <c r="E70" t="inlineStr">
        <is>
          <t>세트3</t>
        </is>
      </c>
      <c r="J70">
        <f>IF(ROWS($J$2:J70)&lt;=INDEX($H$2:$H$9,MATCH('공기산정(1일작업량)'!$B$32,$F$2:$F$9,0)),INDEX($A$2:$A$115,INDEX($G$2:$G$9,MATCH('공기산정(1일작업량)'!$B$32,$F$2:$F$9,0))+ROWS($J$2:J70)-1),"")</f>
        <v/>
      </c>
    </row>
    <row r="71">
      <c r="A71" t="inlineStr">
        <is>
          <t>포장공사&gt;콘크리트포장 2단계-콘크리트표층 (일반구간 1차로 (교량구간 별도))</t>
        </is>
      </c>
      <c r="B71" t="inlineStr">
        <is>
          <t>㎥</t>
        </is>
      </c>
      <c r="C71" s="135" t="n">
        <v>300</v>
      </c>
      <c r="D71" t="inlineStr">
        <is>
          <t>300㎥/일</t>
        </is>
      </c>
      <c r="E71" t="inlineStr">
        <is>
          <t>세트3</t>
        </is>
      </c>
      <c r="J71">
        <f>IF(ROWS($J$2:J71)&lt;=INDEX($H$2:$H$9,MATCH('공기산정(1일작업량)'!$B$32,$F$2:$F$9,0)),INDEX($A$2:$A$115,INDEX($G$2:$G$9,MATCH('공기산정(1일작업량)'!$B$32,$F$2:$F$9,0))+ROWS($J$2:J71)-1),"")</f>
        <v/>
      </c>
    </row>
    <row r="72">
      <c r="A72" t="inlineStr">
        <is>
          <t>포장공사&gt;콘크리트포장 2단계-콘크리트표층 (일반구간 2차로 (교량구간 별도))</t>
        </is>
      </c>
      <c r="B72" t="inlineStr">
        <is>
          <t>㎥</t>
        </is>
      </c>
      <c r="C72" s="135" t="n">
        <v>700</v>
      </c>
      <c r="D72" t="inlineStr">
        <is>
          <t>700㎥/일</t>
        </is>
      </c>
      <c r="E72" t="inlineStr">
        <is>
          <t>세트3</t>
        </is>
      </c>
      <c r="J72">
        <f>IF(ROWS($J$2:J72)&lt;=INDEX($H$2:$H$9,MATCH('공기산정(1일작업량)'!$B$32,$F$2:$F$9,0)),INDEX($A$2:$A$115,INDEX($G$2:$G$9,MATCH('공기산정(1일작업량)'!$B$32,$F$2:$F$9,0))+ROWS($J$2:J72)-1),"")</f>
        <v/>
      </c>
    </row>
    <row r="73">
      <c r="A73" t="inlineStr">
        <is>
          <t>포장공사&gt;콘크리트포장 2단계-포장절단 및 줄눈설치 (표층 포설기간에 추가)</t>
        </is>
      </c>
      <c r="B73" t="inlineStr">
        <is>
          <t>식</t>
        </is>
      </c>
      <c r="C73" s="135" t="n">
        <v>0.3333333333333333</v>
      </c>
      <c r="D73" t="inlineStr">
        <is>
          <t>3일</t>
        </is>
      </c>
      <c r="E73" t="inlineStr">
        <is>
          <t>세트3</t>
        </is>
      </c>
      <c r="J73">
        <f>IF(ROWS($J$2:J73)&lt;=INDEX($H$2:$H$9,MATCH('공기산정(1일작업량)'!$B$32,$F$2:$F$9,0)),INDEX($A$2:$A$115,INDEX($G$2:$G$9,MATCH('공기산정(1일작업량)'!$B$32,$F$2:$F$9,0))+ROWS($J$2:J73)-1),"")</f>
        <v/>
      </c>
    </row>
    <row r="74">
      <c r="A74" t="inlineStr">
        <is>
          <t>포장공사&gt;콘크리트포장-부대공사 (차선도색, 안전시설 (준공 전))</t>
        </is>
      </c>
      <c r="B74" t="inlineStr">
        <is>
          <t>km</t>
        </is>
      </c>
      <c r="C74" s="135" t="n">
        <v>0.3333333333333333</v>
      </c>
      <c r="D74" t="inlineStr">
        <is>
          <t>3일/km</t>
        </is>
      </c>
      <c r="E74" t="inlineStr">
        <is>
          <t>세트3</t>
        </is>
      </c>
      <c r="J74">
        <f>IF(ROWS($J$2:J74)&lt;=INDEX($H$2:$H$9,MATCH('공기산정(1일작업량)'!$B$32,$F$2:$F$9,0)),INDEX($A$2:$A$115,INDEX($G$2:$G$9,MATCH('공기산정(1일작업량)'!$B$32,$F$2:$F$9,0))+ROWS($J$2:J74)-1),"")</f>
        <v/>
      </c>
    </row>
    <row r="75">
      <c r="A75" t="inlineStr">
        <is>
          <t>교량공사&gt;기초공-직접기초</t>
        </is>
      </c>
      <c r="B75" t="inlineStr">
        <is>
          <t>개소</t>
        </is>
      </c>
      <c r="C75" s="135" t="n">
        <v>0.05555555555555555</v>
      </c>
      <c r="D75" t="inlineStr">
        <is>
          <t>18일/개소</t>
        </is>
      </c>
      <c r="E75" t="inlineStr">
        <is>
          <t>세트1</t>
        </is>
      </c>
      <c r="J75">
        <f>IF(ROWS($J$2:J75)&lt;=INDEX($H$2:$H$9,MATCH('공기산정(1일작업량)'!$B$32,$F$2:$F$9,0)),INDEX($A$2:$A$115,INDEX($G$2:$G$9,MATCH('공기산정(1일작업량)'!$B$32,$F$2:$F$9,0))+ROWS($J$2:J75)-1),"")</f>
        <v/>
      </c>
    </row>
    <row r="76">
      <c r="A76" t="inlineStr">
        <is>
          <t>교량공사&gt;기초공-말뚝기초 (SDA)</t>
        </is>
      </c>
      <c r="B76" t="inlineStr">
        <is>
          <t>본</t>
        </is>
      </c>
      <c r="C76" s="135" t="n">
        <v>10</v>
      </c>
      <c r="D76" t="inlineStr">
        <is>
          <t>10본/일</t>
        </is>
      </c>
      <c r="E76" t="inlineStr">
        <is>
          <t>세트1</t>
        </is>
      </c>
      <c r="J76">
        <f>IF(ROWS($J$2:J76)&lt;=INDEX($H$2:$H$9,MATCH('공기산정(1일작업량)'!$B$32,$F$2:$F$9,0)),INDEX($A$2:$A$115,INDEX($G$2:$G$9,MATCH('공기산정(1일작업량)'!$B$32,$F$2:$F$9,0))+ROWS($J$2:J76)-1),"")</f>
        <v/>
      </c>
    </row>
    <row r="77">
      <c r="A77" t="inlineStr">
        <is>
          <t>교량공사&gt;하부공-교대 벽체 (1Lot=2.5m)</t>
        </is>
      </c>
      <c r="B77" t="inlineStr">
        <is>
          <t>Lot</t>
        </is>
      </c>
      <c r="C77" s="135" t="n">
        <v>0.1</v>
      </c>
      <c r="D77" t="inlineStr">
        <is>
          <t>10일/1Lot</t>
        </is>
      </c>
      <c r="E77" t="inlineStr">
        <is>
          <t>세트1</t>
        </is>
      </c>
      <c r="J77">
        <f>IF(ROWS($J$2:J77)&lt;=INDEX($H$2:$H$9,MATCH('공기산정(1일작업량)'!$B$32,$F$2:$F$9,0)),INDEX($A$2:$A$115,INDEX($G$2:$G$9,MATCH('공기산정(1일작업량)'!$B$32,$F$2:$F$9,0))+ROWS($J$2:J77)-1),"")</f>
        <v/>
      </c>
    </row>
    <row r="78">
      <c r="A78" t="inlineStr">
        <is>
          <t>교량공사&gt;하부공-교각 기둥 (1Lot=3.0m)</t>
        </is>
      </c>
      <c r="B78" t="inlineStr">
        <is>
          <t>Lot</t>
        </is>
      </c>
      <c r="C78" s="135" t="n">
        <v>0.1428571428571428</v>
      </c>
      <c r="D78" t="inlineStr">
        <is>
          <t>7일/1Lot</t>
        </is>
      </c>
      <c r="E78" t="inlineStr">
        <is>
          <t>세트1</t>
        </is>
      </c>
      <c r="J78">
        <f>IF(ROWS($J$2:J78)&lt;=INDEX($H$2:$H$9,MATCH('공기산정(1일작업량)'!$B$32,$F$2:$F$9,0)),INDEX($A$2:$A$115,INDEX($G$2:$G$9,MATCH('공기산정(1일작업량)'!$B$32,$F$2:$F$9,0))+ROWS($J$2:J78)-1),"")</f>
        <v/>
      </c>
    </row>
    <row r="79">
      <c r="A79" t="inlineStr">
        <is>
          <t>교량공사&gt;하부공-교각 코핑</t>
        </is>
      </c>
      <c r="B79" t="inlineStr">
        <is>
          <t>개소</t>
        </is>
      </c>
      <c r="C79" s="135" t="n">
        <v>0.05</v>
      </c>
      <c r="D79" t="inlineStr">
        <is>
          <t>20일/개소</t>
        </is>
      </c>
      <c r="E79" t="inlineStr">
        <is>
          <t>세트1</t>
        </is>
      </c>
      <c r="J79">
        <f>IF(ROWS($J$2:J79)&lt;=INDEX($H$2:$H$9,MATCH('공기산정(1일작업량)'!$B$32,$F$2:$F$9,0)),INDEX($A$2:$A$115,INDEX($G$2:$G$9,MATCH('공기산정(1일작업량)'!$B$32,$F$2:$F$9,0))+ROWS($J$2:J79)-1),"")</f>
        <v/>
      </c>
    </row>
    <row r="80">
      <c r="A80" t="inlineStr">
        <is>
          <t>교량공사&gt;하부공-부지조성 (토공사(부지 조성 및 평탄화))</t>
        </is>
      </c>
      <c r="B80" t="inlineStr">
        <is>
          <t>식</t>
        </is>
      </c>
      <c r="C80" s="135" t="n">
        <v>0.1</v>
      </c>
      <c r="D80" t="inlineStr">
        <is>
          <t>10일</t>
        </is>
      </c>
      <c r="E80" t="inlineStr">
        <is>
          <t>세트1</t>
        </is>
      </c>
      <c r="J80">
        <f>IF(ROWS($J$2:J80)&lt;=INDEX($H$2:$H$9,MATCH('공기산정(1일작업량)'!$B$32,$F$2:$F$9,0)),INDEX($A$2:$A$115,INDEX($G$2:$G$9,MATCH('공기산정(1일작업량)'!$B$32,$F$2:$F$9,0))+ROWS($J$2:J80)-1),"")</f>
        <v/>
      </c>
    </row>
    <row r="81">
      <c r="A81" t="inlineStr">
        <is>
          <t>교량공사&gt;상부공-거더 제작</t>
        </is>
      </c>
      <c r="B81" t="inlineStr">
        <is>
          <t>본</t>
        </is>
      </c>
      <c r="C81" s="135" t="n">
        <v>0.05555555555555555</v>
      </c>
      <c r="D81" t="inlineStr">
        <is>
          <t>18일/본</t>
        </is>
      </c>
      <c r="E81" t="inlineStr">
        <is>
          <t>세트1</t>
        </is>
      </c>
      <c r="J81">
        <f>IF(ROWS($J$2:J81)&lt;=INDEX($H$2:$H$9,MATCH('공기산정(1일작업량)'!$B$32,$F$2:$F$9,0)),INDEX($A$2:$A$115,INDEX($G$2:$G$9,MATCH('공기산정(1일작업량)'!$B$32,$F$2:$F$9,0))+ROWS($J$2:J81)-1),"")</f>
        <v/>
      </c>
    </row>
    <row r="82">
      <c r="A82" t="inlineStr">
        <is>
          <t>교량공사&gt;상부공-거더 운반 및 거치</t>
        </is>
      </c>
      <c r="B82" t="inlineStr">
        <is>
          <t>본</t>
        </is>
      </c>
      <c r="C82" s="135" t="n">
        <v>2</v>
      </c>
      <c r="D82" t="inlineStr">
        <is>
          <t>2본/일</t>
        </is>
      </c>
      <c r="E82" t="inlineStr">
        <is>
          <t>세트1</t>
        </is>
      </c>
      <c r="J82">
        <f>IF(ROWS($J$2:J82)&lt;=INDEX($H$2:$H$9,MATCH('공기산정(1일작업량)'!$B$32,$F$2:$F$9,0)),INDEX($A$2:$A$115,INDEX($G$2:$G$9,MATCH('공기산정(1일작업량)'!$B$32,$F$2:$F$9,0))+ROWS($J$2:J82)-1),"")</f>
        <v/>
      </c>
    </row>
    <row r="83">
      <c r="A83" t="inlineStr">
        <is>
          <t>교량공사&gt;상부공-상부슬래브 (1경간 기준 (2경간이면 40일))</t>
        </is>
      </c>
      <c r="B83" t="inlineStr">
        <is>
          <t>경간</t>
        </is>
      </c>
      <c r="C83" s="135" t="n">
        <v>0.04</v>
      </c>
      <c r="D83" t="inlineStr">
        <is>
          <t>25일/1경간</t>
        </is>
      </c>
      <c r="E83" t="inlineStr">
        <is>
          <t>세트1</t>
        </is>
      </c>
      <c r="J83">
        <f>IF(ROWS($J$2:J83)&lt;=INDEX($H$2:$H$9,MATCH('공기산정(1일작업량)'!$B$32,$F$2:$F$9,0)),INDEX($A$2:$A$115,INDEX($G$2:$G$9,MATCH('공기산정(1일작업량)'!$B$32,$F$2:$F$9,0))+ROWS($J$2:J83)-1),"")</f>
        <v/>
      </c>
    </row>
    <row r="84">
      <c r="A84" t="inlineStr">
        <is>
          <t>교량공사&gt;상부공-교면포장(LMC) 포설</t>
        </is>
      </c>
      <c r="B84" t="inlineStr">
        <is>
          <t>㎡</t>
        </is>
      </c>
      <c r="C84" s="135" t="n">
        <v>200</v>
      </c>
      <c r="D84" t="inlineStr">
        <is>
          <t>200㎡/일</t>
        </is>
      </c>
      <c r="E84" t="inlineStr">
        <is>
          <t>세트1</t>
        </is>
      </c>
      <c r="J84">
        <f>IF(ROWS($J$2:J84)&lt;=INDEX($H$2:$H$9,MATCH('공기산정(1일작업량)'!$B$32,$F$2:$F$9,0)),INDEX($A$2:$A$115,INDEX($G$2:$G$9,MATCH('공기산정(1일작업량)'!$B$32,$F$2:$F$9,0))+ROWS($J$2:J84)-1),"")</f>
        <v/>
      </c>
    </row>
    <row r="85">
      <c r="A85" t="inlineStr">
        <is>
          <t>교량공사&gt;상부공-교면포장(LMC) 마무리</t>
        </is>
      </c>
      <c r="B85" t="inlineStr">
        <is>
          <t>경간</t>
        </is>
      </c>
      <c r="C85" s="135" t="n">
        <v>0.125</v>
      </c>
      <c r="D85" t="inlineStr">
        <is>
          <t>8일/경간</t>
        </is>
      </c>
      <c r="E85" t="inlineStr">
        <is>
          <t>세트1</t>
        </is>
      </c>
      <c r="J85">
        <f>IF(ROWS($J$2:J85)&lt;=INDEX($H$2:$H$9,MATCH('공기산정(1일작업량)'!$B$32,$F$2:$F$9,0)),INDEX($A$2:$A$115,INDEX($G$2:$G$9,MATCH('공기산정(1일작업량)'!$B$32,$F$2:$F$9,0))+ROWS($J$2:J85)-1),"")</f>
        <v/>
      </c>
    </row>
    <row r="86">
      <c r="A86" t="inlineStr">
        <is>
          <t>교량공사&gt;교량부대공사 (교량난간+배수시설+방음벽 등)</t>
        </is>
      </c>
      <c r="B86" t="inlineStr">
        <is>
          <t>교량</t>
        </is>
      </c>
      <c r="C86" s="135" t="n">
        <v>0.06666666666666667</v>
      </c>
      <c r="D86" t="inlineStr">
        <is>
          <t>15일/교량</t>
        </is>
      </c>
      <c r="E86" t="inlineStr">
        <is>
          <t>세트1</t>
        </is>
      </c>
      <c r="J86">
        <f>IF(ROWS($J$2:J86)&lt;=INDEX($H$2:$H$9,MATCH('공기산정(1일작업량)'!$B$32,$F$2:$F$9,0)),INDEX($A$2:$A$115,INDEX($G$2:$G$9,MATCH('공기산정(1일작업량)'!$B$32,$F$2:$F$9,0))+ROWS($J$2:J86)-1),"")</f>
        <v/>
      </c>
    </row>
    <row r="87">
      <c r="A87" t="inlineStr">
        <is>
          <t>터널공사&gt;갱구부 보강-시점부</t>
        </is>
      </c>
      <c r="B87" t="inlineStr">
        <is>
          <t>개소</t>
        </is>
      </c>
      <c r="C87" s="135" t="n">
        <v>0.04</v>
      </c>
      <c r="D87" t="inlineStr">
        <is>
          <t>25일/개소</t>
        </is>
      </c>
      <c r="E87" t="inlineStr">
        <is>
          <t>세트4</t>
        </is>
      </c>
      <c r="J87">
        <f>IF(ROWS($J$2:J87)&lt;=INDEX($H$2:$H$9,MATCH('공기산정(1일작업량)'!$B$32,$F$2:$F$9,0)),INDEX($A$2:$A$115,INDEX($G$2:$G$9,MATCH('공기산정(1일작업량)'!$B$32,$F$2:$F$9,0))+ROWS($J$2:J87)-1),"")</f>
        <v/>
      </c>
    </row>
    <row r="88">
      <c r="A88" t="inlineStr">
        <is>
          <t>터널공사&gt;갱구부 보강-종점부</t>
        </is>
      </c>
      <c r="B88" t="inlineStr">
        <is>
          <t>개소</t>
        </is>
      </c>
      <c r="C88" s="135" t="n">
        <v>0.04</v>
      </c>
      <c r="D88" t="inlineStr">
        <is>
          <t>25일/개소</t>
        </is>
      </c>
      <c r="E88" t="inlineStr">
        <is>
          <t>세트4</t>
        </is>
      </c>
      <c r="J88">
        <f>IF(ROWS($J$2:J88)&lt;=INDEX($H$2:$H$9,MATCH('공기산정(1일작업량)'!$B$32,$F$2:$F$9,0)),INDEX($A$2:$A$115,INDEX($G$2:$G$9,MATCH('공기산정(1일작업량)'!$B$32,$F$2:$F$9,0))+ROWS($J$2:J88)-1),"")</f>
        <v/>
      </c>
    </row>
    <row r="89">
      <c r="A89" t="inlineStr">
        <is>
          <t>터널공사&gt;굴착 및 보강-P-1</t>
        </is>
      </c>
      <c r="B89" t="inlineStr">
        <is>
          <t>m</t>
        </is>
      </c>
      <c r="C89" s="135" t="n">
        <v>4.3</v>
      </c>
      <c r="D89" t="inlineStr">
        <is>
          <t>4.3m/일</t>
        </is>
      </c>
      <c r="E89" t="inlineStr">
        <is>
          <t>세트4</t>
        </is>
      </c>
      <c r="J89">
        <f>IF(ROWS($J$2:J89)&lt;=INDEX($H$2:$H$9,MATCH('공기산정(1일작업량)'!$B$32,$F$2:$F$9,0)),INDEX($A$2:$A$115,INDEX($G$2:$G$9,MATCH('공기산정(1일작업량)'!$B$32,$F$2:$F$9,0))+ROWS($J$2:J89)-1),"")</f>
        <v/>
      </c>
    </row>
    <row r="90">
      <c r="A90" t="inlineStr">
        <is>
          <t>터널공사&gt;굴착 및 보강-P-2</t>
        </is>
      </c>
      <c r="B90" t="inlineStr">
        <is>
          <t>m</t>
        </is>
      </c>
      <c r="C90" s="135" t="n">
        <v>4.1</v>
      </c>
      <c r="D90" t="inlineStr">
        <is>
          <t>4.1m/일</t>
        </is>
      </c>
      <c r="E90" t="inlineStr">
        <is>
          <t>세트4</t>
        </is>
      </c>
      <c r="J90">
        <f>IF(ROWS($J$2:J90)&lt;=INDEX($H$2:$H$9,MATCH('공기산정(1일작업량)'!$B$32,$F$2:$F$9,0)),INDEX($A$2:$A$115,INDEX($G$2:$G$9,MATCH('공기산정(1일작업량)'!$B$32,$F$2:$F$9,0))+ROWS($J$2:J90)-1),"")</f>
        <v/>
      </c>
    </row>
    <row r="91">
      <c r="A91" t="inlineStr">
        <is>
          <t>터널공사&gt;굴착 및 보강-P-3</t>
        </is>
      </c>
      <c r="B91" t="inlineStr">
        <is>
          <t>m</t>
        </is>
      </c>
      <c r="C91" s="135" t="n">
        <v>2.9</v>
      </c>
      <c r="D91" t="inlineStr">
        <is>
          <t>2.9m/일</t>
        </is>
      </c>
      <c r="E91" t="inlineStr">
        <is>
          <t>세트4</t>
        </is>
      </c>
      <c r="J91">
        <f>IF(ROWS($J$2:J91)&lt;=INDEX($H$2:$H$9,MATCH('공기산정(1일작업량)'!$B$32,$F$2:$F$9,0)),INDEX($A$2:$A$115,INDEX($G$2:$G$9,MATCH('공기산정(1일작업량)'!$B$32,$F$2:$F$9,0))+ROWS($J$2:J91)-1),"")</f>
        <v/>
      </c>
    </row>
    <row r="92">
      <c r="A92" t="inlineStr">
        <is>
          <t>터널공사&gt;굴착 및 보강-P-4 상반</t>
        </is>
      </c>
      <c r="B92" t="inlineStr">
        <is>
          <t>m</t>
        </is>
      </c>
      <c r="C92" s="135" t="n">
        <v>2.6</v>
      </c>
      <c r="D92" t="inlineStr">
        <is>
          <t>2.6m/일</t>
        </is>
      </c>
      <c r="E92" t="inlineStr">
        <is>
          <t>세트4</t>
        </is>
      </c>
      <c r="J92">
        <f>IF(ROWS($J$2:J92)&lt;=INDEX($H$2:$H$9,MATCH('공기산정(1일작업량)'!$B$32,$F$2:$F$9,0)),INDEX($A$2:$A$115,INDEX($G$2:$G$9,MATCH('공기산정(1일작업량)'!$B$32,$F$2:$F$9,0))+ROWS($J$2:J92)-1),"")</f>
        <v/>
      </c>
    </row>
    <row r="93">
      <c r="A93" t="inlineStr">
        <is>
          <t>터널공사&gt;굴착 및 보강-P-4 하반</t>
        </is>
      </c>
      <c r="B93" t="inlineStr">
        <is>
          <t>m</t>
        </is>
      </c>
      <c r="C93" s="135" t="n">
        <v>7.1</v>
      </c>
      <c r="D93" t="inlineStr">
        <is>
          <t>7.1m/일</t>
        </is>
      </c>
      <c r="E93" t="inlineStr">
        <is>
          <t>세트4</t>
        </is>
      </c>
      <c r="J93">
        <f>IF(ROWS($J$2:J93)&lt;=INDEX($H$2:$H$9,MATCH('공기산정(1일작업량)'!$B$32,$F$2:$F$9,0)),INDEX($A$2:$A$115,INDEX($G$2:$G$9,MATCH('공기산정(1일작업량)'!$B$32,$F$2:$F$9,0))+ROWS($J$2:J93)-1),"")</f>
        <v/>
      </c>
    </row>
    <row r="94">
      <c r="A94" t="inlineStr">
        <is>
          <t>터널공사&gt;굴착 및 보강-P-5 상반</t>
        </is>
      </c>
      <c r="B94" t="inlineStr">
        <is>
          <t>m</t>
        </is>
      </c>
      <c r="C94" s="135" t="n">
        <v>2.2</v>
      </c>
      <c r="D94" t="inlineStr">
        <is>
          <t>2.2m/일</t>
        </is>
      </c>
      <c r="E94" t="inlineStr">
        <is>
          <t>세트4</t>
        </is>
      </c>
      <c r="J94">
        <f>IF(ROWS($J$2:J94)&lt;=INDEX($H$2:$H$9,MATCH('공기산정(1일작업량)'!$B$32,$F$2:$F$9,0)),INDEX($A$2:$A$115,INDEX($G$2:$G$9,MATCH('공기산정(1일작업량)'!$B$32,$F$2:$F$9,0))+ROWS($J$2:J94)-1),"")</f>
        <v/>
      </c>
    </row>
    <row r="95">
      <c r="A95" t="inlineStr">
        <is>
          <t>터널공사&gt;굴착 및 보강-P-5 하반</t>
        </is>
      </c>
      <c r="B95" t="inlineStr">
        <is>
          <t>m</t>
        </is>
      </c>
      <c r="C95" s="135" t="n">
        <v>3.6</v>
      </c>
      <c r="D95" t="inlineStr">
        <is>
          <t>3.6m/일</t>
        </is>
      </c>
      <c r="E95" t="inlineStr">
        <is>
          <t>세트4</t>
        </is>
      </c>
      <c r="J95">
        <f>IF(ROWS($J$2:J95)&lt;=INDEX($H$2:$H$9,MATCH('공기산정(1일작업량)'!$B$32,$F$2:$F$9,0)),INDEX($A$2:$A$115,INDEX($G$2:$G$9,MATCH('공기산정(1일작업량)'!$B$32,$F$2:$F$9,0))+ROWS($J$2:J95)-1),"")</f>
        <v/>
      </c>
    </row>
    <row r="96">
      <c r="A96" t="inlineStr">
        <is>
          <t>터널공사&gt;굴착 및 보강-P-6 상반</t>
        </is>
      </c>
      <c r="B96" t="inlineStr">
        <is>
          <t>m</t>
        </is>
      </c>
      <c r="C96" s="135" t="n">
        <v>2.2</v>
      </c>
      <c r="D96" t="inlineStr">
        <is>
          <t>2.2m/일</t>
        </is>
      </c>
      <c r="E96" t="inlineStr">
        <is>
          <t>세트4</t>
        </is>
      </c>
      <c r="J96">
        <f>IF(ROWS($J$2:J96)&lt;=INDEX($H$2:$H$9,MATCH('공기산정(1일작업량)'!$B$32,$F$2:$F$9,0)),INDEX($A$2:$A$115,INDEX($G$2:$G$9,MATCH('공기산정(1일작업량)'!$B$32,$F$2:$F$9,0))+ROWS($J$2:J96)-1),"")</f>
        <v/>
      </c>
    </row>
    <row r="97">
      <c r="A97" t="inlineStr">
        <is>
          <t>터널공사&gt;굴착 및 보강-P-6 하반</t>
        </is>
      </c>
      <c r="B97" t="inlineStr">
        <is>
          <t>m</t>
        </is>
      </c>
      <c r="C97" s="135" t="n">
        <v>2.9</v>
      </c>
      <c r="D97" t="inlineStr">
        <is>
          <t>2.9m/일</t>
        </is>
      </c>
      <c r="E97" t="inlineStr">
        <is>
          <t>세트4</t>
        </is>
      </c>
      <c r="J97">
        <f>IF(ROWS($J$2:J97)&lt;=INDEX($H$2:$H$9,MATCH('공기산정(1일작업량)'!$B$32,$F$2:$F$9,0)),INDEX($A$2:$A$115,INDEX($G$2:$G$9,MATCH('공기산정(1일작업량)'!$B$32,$F$2:$F$9,0))+ROWS($J$2:J97)-1),"")</f>
        <v/>
      </c>
    </row>
    <row r="98">
      <c r="A98" t="inlineStr">
        <is>
          <t>터널공사&gt;보조공법-강관보강 그라우팅</t>
        </is>
      </c>
      <c r="B98" t="inlineStr">
        <is>
          <t>개소</t>
        </is>
      </c>
      <c r="C98" s="135" t="n">
        <v>0.3333333333333333</v>
      </c>
      <c r="D98" t="inlineStr">
        <is>
          <t>3일/개소</t>
        </is>
      </c>
      <c r="E98" t="inlineStr">
        <is>
          <t>세트4</t>
        </is>
      </c>
      <c r="J98">
        <f>IF(ROWS($J$2:J98)&lt;=INDEX($H$2:$H$9,MATCH('공기산정(1일작업량)'!$B$32,$F$2:$F$9,0)),INDEX($A$2:$A$115,INDEX($G$2:$G$9,MATCH('공기산정(1일작업량)'!$B$32,$F$2:$F$9,0))+ROWS($J$2:J98)-1),"")</f>
        <v/>
      </c>
    </row>
    <row r="99">
      <c r="A99" t="inlineStr">
        <is>
          <t>터널공사&gt;보조공법-차수 그라우팅</t>
        </is>
      </c>
      <c r="B99" t="inlineStr">
        <is>
          <t>개소</t>
        </is>
      </c>
      <c r="C99" s="135" t="n">
        <v>0.2</v>
      </c>
      <c r="D99" t="inlineStr">
        <is>
          <t>5일/개소</t>
        </is>
      </c>
      <c r="E99" t="inlineStr">
        <is>
          <t>세트4</t>
        </is>
      </c>
      <c r="J99">
        <f>IF(ROWS($J$2:J99)&lt;=INDEX($H$2:$H$9,MATCH('공기산정(1일작업량)'!$B$32,$F$2:$F$9,0)),INDEX($A$2:$A$115,INDEX($G$2:$G$9,MATCH('공기산정(1일작업량)'!$B$32,$F$2:$F$9,0))+ROWS($J$2:J99)-1),"")</f>
        <v/>
      </c>
    </row>
    <row r="100">
      <c r="A100" t="inlineStr">
        <is>
          <t>터널공사&gt;후속공종-방수</t>
        </is>
      </c>
      <c r="B100" t="inlineStr">
        <is>
          <t>m</t>
        </is>
      </c>
      <c r="C100" s="135" t="n">
        <v>50</v>
      </c>
      <c r="D100" t="inlineStr">
        <is>
          <t>50m/일</t>
        </is>
      </c>
      <c r="E100" t="inlineStr">
        <is>
          <t>세트4</t>
        </is>
      </c>
      <c r="J100">
        <f>IF(ROWS($J$2:J100)&lt;=INDEX($H$2:$H$9,MATCH('공기산정(1일작업량)'!$B$32,$F$2:$F$9,0)),INDEX($A$2:$A$115,INDEX($G$2:$G$9,MATCH('공기산정(1일작업량)'!$B$32,$F$2:$F$9,0))+ROWS($J$2:J100)-1),"")</f>
        <v/>
      </c>
    </row>
    <row r="101">
      <c r="A101" t="inlineStr">
        <is>
          <t>터널공사&gt;후속공종-배수공동구</t>
        </is>
      </c>
      <c r="B101" t="inlineStr">
        <is>
          <t>m</t>
        </is>
      </c>
      <c r="C101" s="135" t="n">
        <v>8.333333333333334</v>
      </c>
      <c r="D101" t="inlineStr">
        <is>
          <t>25m/3일</t>
        </is>
      </c>
      <c r="E101" t="inlineStr">
        <is>
          <t>세트4</t>
        </is>
      </c>
      <c r="J101">
        <f>IF(ROWS($J$2:J101)&lt;=INDEX($H$2:$H$9,MATCH('공기산정(1일작업량)'!$B$32,$F$2:$F$9,0)),INDEX($A$2:$A$115,INDEX($G$2:$G$9,MATCH('공기산정(1일작업량)'!$B$32,$F$2:$F$9,0))+ROWS($J$2:J101)-1),"")</f>
        <v/>
      </c>
    </row>
    <row r="102">
      <c r="A102" t="inlineStr">
        <is>
          <t>터널공사&gt;후속공종-라이닝 콘크리트</t>
        </is>
      </c>
      <c r="B102" t="inlineStr">
        <is>
          <t>m</t>
        </is>
      </c>
      <c r="C102" s="135" t="n">
        <v>3.333333333333333</v>
      </c>
      <c r="D102" t="inlineStr">
        <is>
          <t>10m/3일</t>
        </is>
      </c>
      <c r="E102" t="inlineStr">
        <is>
          <t>세트4</t>
        </is>
      </c>
      <c r="J102">
        <f>IF(ROWS($J$2:J102)&lt;=INDEX($H$2:$H$9,MATCH('공기산정(1일작업량)'!$B$32,$F$2:$F$9,0)),INDEX($A$2:$A$115,INDEX($G$2:$G$9,MATCH('공기산정(1일작업량)'!$B$32,$F$2:$F$9,0))+ROWS($J$2:J102)-1),"")</f>
        <v/>
      </c>
    </row>
    <row r="103">
      <c r="A103" t="inlineStr">
        <is>
          <t>터널공사&gt;후속공종-갱문조성</t>
        </is>
      </c>
      <c r="B103" t="inlineStr">
        <is>
          <t>개소</t>
        </is>
      </c>
      <c r="C103" s="135" t="n">
        <v>0.04</v>
      </c>
      <c r="D103" t="inlineStr">
        <is>
          <t>25일/개소</t>
        </is>
      </c>
      <c r="E103" t="inlineStr">
        <is>
          <t>세트4</t>
        </is>
      </c>
      <c r="J103">
        <f>IF(ROWS($J$2:J103)&lt;=INDEX($H$2:$H$9,MATCH('공기산정(1일작업량)'!$B$32,$F$2:$F$9,0)),INDEX($A$2:$A$115,INDEX($G$2:$G$9,MATCH('공기산정(1일작업량)'!$B$32,$F$2:$F$9,0))+ROWS($J$2:J103)-1),"")</f>
        <v/>
      </c>
    </row>
    <row r="104">
      <c r="A104" t="inlineStr">
        <is>
          <t>부대공사&gt;중앙분리대 (H=1.27m)</t>
        </is>
      </c>
      <c r="B104" t="inlineStr">
        <is>
          <t>m</t>
        </is>
      </c>
      <c r="C104" s="135" t="n">
        <v>300</v>
      </c>
      <c r="D104" t="inlineStr">
        <is>
          <t>300m/일</t>
        </is>
      </c>
      <c r="E104" t="inlineStr">
        <is>
          <t>세트2</t>
        </is>
      </c>
      <c r="J104">
        <f>IF(ROWS($J$2:J104)&lt;=INDEX($H$2:$H$9,MATCH('공기산정(1일작업량)'!$B$32,$F$2:$F$9,0)),INDEX($A$2:$A$115,INDEX($G$2:$G$9,MATCH('공기산정(1일작업량)'!$B$32,$F$2:$F$9,0))+ROWS($J$2:J104)-1),"")</f>
        <v/>
      </c>
    </row>
    <row r="105">
      <c r="A105" t="inlineStr">
        <is>
          <t>부대공사&gt;가드레일 (판설치(2W), 지주간격 2m)</t>
        </is>
      </c>
      <c r="B105" t="inlineStr">
        <is>
          <t>개</t>
        </is>
      </c>
      <c r="C105" s="135" t="n">
        <v>130</v>
      </c>
      <c r="D105" t="inlineStr">
        <is>
          <t>130개/일</t>
        </is>
      </c>
      <c r="E105" t="inlineStr">
        <is>
          <t>세트2</t>
        </is>
      </c>
      <c r="J105">
        <f>IF(ROWS($J$2:J105)&lt;=INDEX($H$2:$H$9,MATCH('공기산정(1일작업량)'!$B$32,$F$2:$F$9,0)),INDEX($A$2:$A$115,INDEX($G$2:$G$9,MATCH('공기산정(1일작업량)'!$B$32,$F$2:$F$9,0))+ROWS($J$2:J105)-1),"")</f>
        <v/>
      </c>
    </row>
    <row r="106">
      <c r="A106" t="inlineStr">
        <is>
          <t>부대공사&gt;방음벽 (H=7.0m 이하)</t>
        </is>
      </c>
      <c r="B106" t="inlineStr">
        <is>
          <t>m</t>
        </is>
      </c>
      <c r="C106" s="135" t="n">
        <v>19</v>
      </c>
      <c r="D106" t="inlineStr">
        <is>
          <t>19m/일</t>
        </is>
      </c>
      <c r="E106" t="inlineStr">
        <is>
          <t>세트2</t>
        </is>
      </c>
      <c r="J106">
        <f>IF(ROWS($J$2:J106)&lt;=INDEX($H$2:$H$9,MATCH('공기산정(1일작업량)'!$B$32,$F$2:$F$9,0)),INDEX($A$2:$A$115,INDEX($G$2:$G$9,MATCH('공기산정(1일작업량)'!$B$32,$F$2:$F$9,0))+ROWS($J$2:J106)-1),"")</f>
        <v/>
      </c>
    </row>
    <row r="107">
      <c r="A107" t="inlineStr">
        <is>
          <t>부대공사&gt;표지판 (교통안전표지판)</t>
        </is>
      </c>
      <c r="B107" t="inlineStr">
        <is>
          <t>개소</t>
        </is>
      </c>
      <c r="C107" s="135" t="n">
        <v>5</v>
      </c>
      <c r="D107" t="inlineStr">
        <is>
          <t>5개소/일</t>
        </is>
      </c>
      <c r="E107" t="inlineStr">
        <is>
          <t>세트2</t>
        </is>
      </c>
      <c r="J107">
        <f>IF(ROWS($J$2:J107)&lt;=INDEX($H$2:$H$9,MATCH('공기산정(1일작업량)'!$B$32,$F$2:$F$9,0)),INDEX($A$2:$A$115,INDEX($G$2:$G$9,MATCH('공기산정(1일작업량)'!$B$32,$F$2:$F$9,0))+ROWS($J$2:J107)-1),"")</f>
        <v/>
      </c>
    </row>
    <row r="108">
      <c r="A108" t="inlineStr">
        <is>
          <t>부대공사&gt;VMS</t>
        </is>
      </c>
      <c r="B108" t="inlineStr">
        <is>
          <t>개소</t>
        </is>
      </c>
      <c r="C108" s="135" t="n">
        <v>1</v>
      </c>
      <c r="D108" t="inlineStr">
        <is>
          <t>1개소/일</t>
        </is>
      </c>
      <c r="E108" t="inlineStr">
        <is>
          <t>세트2</t>
        </is>
      </c>
      <c r="J108">
        <f>IF(ROWS($J$2:J108)&lt;=INDEX($H$2:$H$9,MATCH('공기산정(1일작업량)'!$B$32,$F$2:$F$9,0)),INDEX($A$2:$A$115,INDEX($G$2:$G$9,MATCH('공기산정(1일작업량)'!$B$32,$F$2:$F$9,0))+ROWS($J$2:J108)-1),"")</f>
        <v/>
      </c>
    </row>
    <row r="109">
      <c r="A109" t="inlineStr">
        <is>
          <t>부대공사&gt;낙석방지책 (L=300m, H=3m, 간격 3m)</t>
        </is>
      </c>
      <c r="B109" t="inlineStr">
        <is>
          <t>m</t>
        </is>
      </c>
      <c r="C109" s="135" t="n">
        <v>32</v>
      </c>
      <c r="D109" t="inlineStr">
        <is>
          <t>32m/일</t>
        </is>
      </c>
      <c r="E109" t="inlineStr">
        <is>
          <t>세트2</t>
        </is>
      </c>
      <c r="J109">
        <f>IF(ROWS($J$2:J109)&lt;=INDEX($H$2:$H$9,MATCH('공기산정(1일작업량)'!$B$32,$F$2:$F$9,0)),INDEX($A$2:$A$115,INDEX($G$2:$G$9,MATCH('공기산정(1일작업량)'!$B$32,$F$2:$F$9,0))+ROWS($J$2:J109)-1),"")</f>
        <v/>
      </c>
    </row>
    <row r="110">
      <c r="A110" t="inlineStr">
        <is>
          <t>부대공사&gt;낙석방지망 (기계작업)</t>
        </is>
      </c>
      <c r="B110" t="inlineStr">
        <is>
          <t>㎡</t>
        </is>
      </c>
      <c r="C110" s="135" t="n">
        <v>85</v>
      </c>
      <c r="D110" t="inlineStr">
        <is>
          <t>85㎡/일</t>
        </is>
      </c>
      <c r="E110" t="inlineStr">
        <is>
          <t>세트2</t>
        </is>
      </c>
      <c r="J110">
        <f>IF(ROWS($J$2:J110)&lt;=INDEX($H$2:$H$9,MATCH('공기산정(1일작업량)'!$B$32,$F$2:$F$9,0)),INDEX($A$2:$A$115,INDEX($G$2:$G$9,MATCH('공기산정(1일작업량)'!$B$32,$F$2:$F$9,0))+ROWS($J$2:J110)-1),"")</f>
        <v/>
      </c>
    </row>
    <row r="111">
      <c r="A111" t="inlineStr">
        <is>
          <t>부대공사&gt;시선유도표지 (가드레일용)</t>
        </is>
      </c>
      <c r="B111" t="inlineStr">
        <is>
          <t>개</t>
        </is>
      </c>
      <c r="C111" s="135" t="n">
        <v>150</v>
      </c>
      <c r="D111" t="inlineStr">
        <is>
          <t>150개/일</t>
        </is>
      </c>
      <c r="E111" t="inlineStr">
        <is>
          <t>세트2</t>
        </is>
      </c>
      <c r="J111">
        <f>IF(ROWS($J$2:J111)&lt;=INDEX($H$2:$H$9,MATCH('공기산정(1일작업량)'!$B$32,$F$2:$F$9,0)),INDEX($A$2:$A$115,INDEX($G$2:$G$9,MATCH('공기산정(1일작업량)'!$B$32,$F$2:$F$9,0))+ROWS($J$2:J111)-1),"")</f>
        <v/>
      </c>
    </row>
    <row r="112">
      <c r="A112" t="inlineStr">
        <is>
          <t>부대공사&gt;분리대병</t>
        </is>
      </c>
      <c r="B112" t="inlineStr">
        <is>
          <t>개</t>
        </is>
      </c>
      <c r="C112" s="135" t="n">
        <v>70</v>
      </c>
      <c r="D112" t="inlineStr">
        <is>
          <t>70개/일</t>
        </is>
      </c>
      <c r="E112" t="inlineStr">
        <is>
          <t>세트2</t>
        </is>
      </c>
      <c r="J112">
        <f>IF(ROWS($J$2:J112)&lt;=INDEX($H$2:$H$9,MATCH('공기산정(1일작업량)'!$B$32,$F$2:$F$9,0)),INDEX($A$2:$A$115,INDEX($G$2:$G$9,MATCH('공기산정(1일작업량)'!$B$32,$F$2:$F$9,0))+ROWS($J$2:J112)-1),"")</f>
        <v/>
      </c>
    </row>
    <row r="113">
      <c r="A113" t="inlineStr">
        <is>
          <t>부대공사&gt;방초매트</t>
        </is>
      </c>
      <c r="B113" t="inlineStr">
        <is>
          <t>m</t>
        </is>
      </c>
      <c r="C113" s="135" t="n">
        <v>600</v>
      </c>
      <c r="D113" t="inlineStr">
        <is>
          <t>600m/일</t>
        </is>
      </c>
      <c r="E113" t="inlineStr">
        <is>
          <t>세트2</t>
        </is>
      </c>
      <c r="J113">
        <f>IF(ROWS($J$2:J113)&lt;=INDEX($H$2:$H$9,MATCH('공기산정(1일작업량)'!$B$32,$F$2:$F$9,0)),INDEX($A$2:$A$115,INDEX($G$2:$G$9,MATCH('공기산정(1일작업량)'!$B$32,$F$2:$F$9,0))+ROWS($J$2:J113)-1),"")</f>
        <v/>
      </c>
    </row>
    <row r="114">
      <c r="A114" t="inlineStr">
        <is>
          <t>부대공사&gt;비점오염저감시설 (전처리조 5m×2m, 침투도랑 30m)</t>
        </is>
      </c>
      <c r="B114" t="inlineStr">
        <is>
          <t>개소</t>
        </is>
      </c>
      <c r="C114" s="135" t="n">
        <v>0.05</v>
      </c>
      <c r="D114" t="inlineStr">
        <is>
          <t>20일/개소</t>
        </is>
      </c>
      <c r="E114" t="inlineStr">
        <is>
          <t>세트2</t>
        </is>
      </c>
      <c r="J114">
        <f>IF(ROWS($J$2:J114)&lt;=INDEX($H$2:$H$9,MATCH('공기산정(1일작업량)'!$B$32,$F$2:$F$9,0)),INDEX($A$2:$A$115,INDEX($G$2:$G$9,MATCH('공기산정(1일작업량)'!$B$32,$F$2:$F$9,0))+ROWS($J$2:J114)-1),"")</f>
        <v/>
      </c>
    </row>
    <row r="115">
      <c r="A115" t="inlineStr">
        <is>
          <t>부대공사&gt;비탈면점검시설 (L=30m, B=1m, H=20m 이하)</t>
        </is>
      </c>
      <c r="B115" t="inlineStr">
        <is>
          <t>㎡</t>
        </is>
      </c>
      <c r="C115" s="135" t="n">
        <v>90</v>
      </c>
      <c r="D115" t="inlineStr">
        <is>
          <t>90㎡/일</t>
        </is>
      </c>
      <c r="E115" t="inlineStr">
        <is>
          <t>세트2</t>
        </is>
      </c>
      <c r="J115">
        <f>IF(ROWS($J$2:J115)&lt;=INDEX($H$2:$H$9,MATCH('공기산정(1일작업량)'!$B$32,$F$2:$F$9,0)),INDEX($A$2:$A$115,INDEX($G$2:$G$9,MATCH('공기산정(1일작업량)'!$B$32,$F$2:$F$9,0))+ROWS($J$2:J115)-1),"")</f>
        <v/>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6" t="inlineStr">
        <is>
          <t>하수도 관로공사</t>
        </is>
      </c>
      <c r="B1" s="136" t="inlineStr">
        <is>
          <t>도로 토공+아스팔트포장</t>
        </is>
      </c>
      <c r="C1" s="136" t="inlineStr">
        <is>
          <t>도로 콘크리트포장</t>
        </is>
      </c>
      <c r="D1" s="136" t="inlineStr">
        <is>
          <t>교량공사(PSC빔)</t>
        </is>
      </c>
      <c r="E1" s="136" t="inlineStr">
        <is>
          <t>터널공사</t>
        </is>
      </c>
      <c r="F1" s="136"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굴착부 아스팔트 복구포장 (폭 3m 미만) [1일 작업량 직접 입력]</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7" t="inlineStr">
        <is>
          <t>토목 시설물 공사기간 산정 (가이드라인 부록 5 산정공식)</t>
        </is>
      </c>
    </row>
    <row r="2" ht="45" customHeight="1" s="92">
      <c r="A2" s="138"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9" t="inlineStr">
        <is>
          <t>도로포장</t>
        </is>
      </c>
    </row>
    <row r="5">
      <c r="A5" s="131" t="inlineStr">
        <is>
          <t>총공사비 C (백만원)</t>
        </is>
      </c>
      <c r="B5" s="139" t="n"/>
      <c r="C5" t="inlineStr">
        <is>
          <t>추정금액(추정가격+부가가치세+관급자재비)</t>
        </is>
      </c>
    </row>
    <row r="6">
      <c r="A6" s="131" t="inlineStr">
        <is>
          <t>도로연장(m) L</t>
        </is>
      </c>
      <c r="B6" s="139" t="n"/>
      <c r="C6">
        <f>IF(INDEX(F25:F30,MATCH($B$4,$A$25:$A$30,0))=1,"← 필요","")</f>
        <v/>
      </c>
    </row>
    <row r="7">
      <c r="A7" s="131" t="inlineStr">
        <is>
          <t>도로폭원(m) W</t>
        </is>
      </c>
      <c r="B7" s="139" t="n"/>
      <c r="C7">
        <f>IF(INDEX(G25:G30,MATCH($B$4,$A$25:$A$30,0))=1,"← 필요","")</f>
        <v/>
      </c>
    </row>
    <row r="8">
      <c r="A8" s="131" t="inlineStr">
        <is>
          <t>교량연장(m) BL</t>
        </is>
      </c>
      <c r="B8" s="139" t="n"/>
      <c r="C8">
        <f>IF(INDEX(H25:H30,MATCH($B$4,$A$25:$A$30,0))=1,"← 필요","")</f>
        <v/>
      </c>
    </row>
    <row r="9">
      <c r="A9" s="131" t="inlineStr">
        <is>
          <t>관경(mm) D</t>
        </is>
      </c>
      <c r="B9" s="139" t="n"/>
      <c r="C9">
        <f>IF(INDEX(I25:I30,MATCH($B$4,$A$25:$A$30,0))=1,"← 필요","")</f>
        <v/>
      </c>
    </row>
    <row r="10">
      <c r="A10" s="131" t="inlineStr">
        <is>
          <t>양수장/배수장/가압장 개수 S</t>
        </is>
      </c>
      <c r="B10" s="139" t="n"/>
      <c r="C10">
        <f>IF(INDEX(J25:J30,MATCH($B$4,$A$25:$A$30,0))=1,"← 필요","")</f>
        <v/>
      </c>
    </row>
    <row r="11">
      <c r="A11" s="131" t="inlineStr">
        <is>
          <t>하수도 연장(m) SL</t>
        </is>
      </c>
      <c r="B11" s="139" t="n"/>
      <c r="C11">
        <f>IF(INDEX(K25:K30,MATCH($B$4,$A$25:$A$30,0))=1,"← 필요","")</f>
        <v/>
      </c>
    </row>
    <row r="12">
      <c r="A12" s="131" t="inlineStr">
        <is>
          <t>궤도연장(m) RL</t>
        </is>
      </c>
      <c r="B12" s="139" t="n"/>
      <c r="C12">
        <f>IF(INDEX(L25:L30,MATCH($B$4,$A$25:$A$30,0))=1,"← 필요","")</f>
        <v/>
      </c>
    </row>
    <row r="14">
      <c r="A14" s="131" t="inlineStr">
        <is>
          <t>준비기간 (일, 직접 입력)</t>
        </is>
      </c>
      <c r="B14" s="139" t="n">
        <v>0</v>
      </c>
    </row>
    <row r="15">
      <c r="A15" s="131" t="inlineStr">
        <is>
          <t>정리기간 (일, 직접 입력)</t>
        </is>
      </c>
      <c r="B15" s="139" t="n">
        <v>0</v>
      </c>
    </row>
    <row r="17">
      <c r="A17" s="131"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40">
        <f>IF(ISNUMBER(B18),B18+B14+B15,"-")</f>
        <v/>
      </c>
    </row>
    <row r="20">
      <c r="A20" s="131" t="inlineStr">
        <is>
          <t>환산 (개월)</t>
        </is>
      </c>
      <c r="B20" s="140">
        <f>IF(ISNUMBER(B19),ROUND(B19/30,1),"-")</f>
        <v/>
      </c>
    </row>
    <row r="21" ht="32" customHeight="1" s="92">
      <c r="A21" s="138"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1" t="inlineStr">
        <is>
          <t>도로포장</t>
        </is>
      </c>
      <c r="B25" s="141" t="inlineStr">
        <is>
          <t>Y = -637.009 + 173.198×ln(L) + 0.049×C</t>
        </is>
      </c>
      <c r="C25" s="141" t="n">
        <v>0</v>
      </c>
      <c r="D25" s="141" t="n">
        <v>35000</v>
      </c>
      <c r="E25" s="141" t="n"/>
      <c r="F25" s="141" t="n">
        <v>1</v>
      </c>
      <c r="G25" s="141" t="n">
        <v>0</v>
      </c>
      <c r="H25" s="141" t="n">
        <v>0</v>
      </c>
      <c r="I25" s="141" t="n">
        <v>0</v>
      </c>
      <c r="J25" s="141" t="n">
        <v>0</v>
      </c>
      <c r="K25" s="141" t="n">
        <v>0</v>
      </c>
      <c r="L25" s="141" t="n">
        <v>0</v>
      </c>
    </row>
    <row r="26">
      <c r="A26" s="141" t="inlineStr">
        <is>
          <t>도로(토공+교량)</t>
        </is>
      </c>
      <c r="B26" s="141" t="inlineStr">
        <is>
          <t>Y = -160.855 - 14.288×W + 164.473×ln(L) - 1.474×BL + 0.052×C</t>
        </is>
      </c>
      <c r="C26" s="141" t="n">
        <v>0</v>
      </c>
      <c r="D26" s="141" t="n">
        <v>35000</v>
      </c>
      <c r="E26" s="141" t="n"/>
      <c r="F26" s="141" t="n">
        <v>1</v>
      </c>
      <c r="G26" s="141" t="n">
        <v>1</v>
      </c>
      <c r="H26" s="141" t="n">
        <v>1</v>
      </c>
      <c r="I26" s="141" t="n">
        <v>0</v>
      </c>
      <c r="J26" s="141" t="n">
        <v>0</v>
      </c>
      <c r="K26" s="141" t="n">
        <v>0</v>
      </c>
      <c r="L26" s="141" t="n">
        <v>0</v>
      </c>
    </row>
    <row r="27">
      <c r="A27" s="141" t="inlineStr">
        <is>
          <t>농업용수</t>
        </is>
      </c>
      <c r="B27" s="141" t="inlineStr">
        <is>
          <t>Y = -2251.569 + 415.137×ln(C)</t>
        </is>
      </c>
      <c r="C27" s="141" t="n">
        <v>1000</v>
      </c>
      <c r="D27" s="141" t="n">
        <v>20000</v>
      </c>
      <c r="E27" s="141" t="n"/>
      <c r="F27" s="141" t="n">
        <v>0</v>
      </c>
      <c r="G27" s="141" t="n">
        <v>0</v>
      </c>
      <c r="H27" s="141" t="n">
        <v>0</v>
      </c>
      <c r="I27" s="141" t="n">
        <v>0</v>
      </c>
      <c r="J27" s="141" t="n">
        <v>0</v>
      </c>
      <c r="K27" s="141" t="n">
        <v>0</v>
      </c>
      <c r="L27" s="141" t="n">
        <v>0</v>
      </c>
    </row>
    <row r="28">
      <c r="A28" s="141" t="inlineStr">
        <is>
          <t>상수도</t>
        </is>
      </c>
      <c r="B28" s="141" t="inlineStr">
        <is>
          <t>Y = -1175.174 + 119.731×S - 0.273×D + 222.426×ln(C)</t>
        </is>
      </c>
      <c r="C28" s="141" t="n">
        <v>0</v>
      </c>
      <c r="D28" s="141" t="n">
        <v>8000</v>
      </c>
      <c r="E28" s="141" t="n"/>
      <c r="F28" s="141" t="n">
        <v>0</v>
      </c>
      <c r="G28" s="141" t="n">
        <v>0</v>
      </c>
      <c r="H28" s="141" t="n">
        <v>0</v>
      </c>
      <c r="I28" s="141" t="n">
        <v>1</v>
      </c>
      <c r="J28" s="141" t="n">
        <v>1</v>
      </c>
      <c r="K28" s="141" t="n">
        <v>0</v>
      </c>
      <c r="L28" s="141" t="n">
        <v>0</v>
      </c>
    </row>
    <row r="29">
      <c r="A29" s="141" t="inlineStr">
        <is>
          <t>하수도</t>
        </is>
      </c>
      <c r="B29" s="141" t="inlineStr">
        <is>
          <t>Y = -452.433 + 98.364×ln(SL) + 0.083×C</t>
        </is>
      </c>
      <c r="C29" s="141" t="n">
        <v>0</v>
      </c>
      <c r="D29" s="141" t="n">
        <v>15000</v>
      </c>
      <c r="E29" s="141" t="n"/>
      <c r="F29" s="141" t="n">
        <v>0</v>
      </c>
      <c r="G29" s="141" t="n">
        <v>0</v>
      </c>
      <c r="H29" s="141" t="n">
        <v>0</v>
      </c>
      <c r="I29" s="141" t="n">
        <v>0</v>
      </c>
      <c r="J29" s="141" t="n">
        <v>0</v>
      </c>
      <c r="K29" s="141" t="n">
        <v>1</v>
      </c>
      <c r="L29" s="141" t="n">
        <v>0</v>
      </c>
    </row>
    <row r="30">
      <c r="A30" s="141" t="inlineStr">
        <is>
          <t>철도(궤도)</t>
        </is>
      </c>
      <c r="B30" s="141" t="inlineStr">
        <is>
          <t>Y = -1723.316 - 74.260×ln(RL) + 372.266×ln(C)</t>
        </is>
      </c>
      <c r="C30" s="141" t="n">
        <v>0</v>
      </c>
      <c r="D30" s="141" t="n">
        <v>120000</v>
      </c>
      <c r="E30" s="141" t="n"/>
      <c r="F30" s="141" t="n">
        <v>0</v>
      </c>
      <c r="G30" s="141" t="n">
        <v>0</v>
      </c>
      <c r="H30" s="141" t="n">
        <v>0</v>
      </c>
      <c r="I30" s="141" t="n">
        <v>0</v>
      </c>
      <c r="J30" s="141" t="n">
        <v>0</v>
      </c>
      <c r="K30" s="141" t="n">
        <v>0</v>
      </c>
      <c r="L30" s="141"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124"/>
  <sheetViews>
    <sheetView workbookViewId="0">
      <selection activeCell="A1" sqref="A1"/>
    </sheetView>
  </sheetViews>
  <sheetFormatPr baseColWidth="8" defaultRowHeight="15"/>
  <cols>
    <col width="60" customWidth="1" style="92" min="1" max="1"/>
    <col width="22" customWidth="1" style="92" min="2" max="2"/>
    <col width="13" customWidth="1" style="92" min="3" max="3"/>
    <col width="13" customWidth="1" style="92" min="4" max="4"/>
    <col width="13" customWidth="1" style="92" min="5" max="5"/>
    <col width="13" customWidth="1" style="92" min="6" max="6"/>
    <col width="13" customWidth="1" style="92" min="7" max="7"/>
    <col width="13" customWidth="1" style="92" min="8" max="8"/>
    <col width="13" customWidth="1" style="92" min="9" max="9"/>
    <col width="13" customWidth="1" style="92" min="10" max="10"/>
    <col width="13" customWidth="1" style="92" min="11" max="11"/>
    <col width="18" customWidth="1" style="92" min="12" max="12"/>
    <col width="13" customWidth="1" style="92" min="13" max="13"/>
    <col width="13" customWidth="1" style="92" min="14" max="14"/>
    <col width="13" customWidth="1" style="92" min="15" max="15"/>
    <col width="13" customWidth="1" style="92" min="16" max="16"/>
    <col width="13" customWidth="1" style="92" min="17" max="17"/>
    <col width="13" customWidth="1" style="92" min="18" max="18"/>
    <col width="13" customWidth="1" style="92" min="19" max="19"/>
    <col width="13" customWidth="1" style="92" min="20" max="20"/>
    <col width="13" customWidth="1" style="92" min="21" max="21"/>
    <col width="13" customWidth="1" style="92" min="22" max="22"/>
    <col width="13" customWidth="1" style="92" min="23" max="23"/>
    <col width="13" customWidth="1" style="92" min="24" max="24"/>
    <col width="13" customWidth="1" style="92" min="25" max="25"/>
    <col width="13" customWidth="1" style="92" min="26" max="26"/>
  </cols>
  <sheetData>
    <row r="1">
      <c r="A1" s="137" t="inlineStr">
        <is>
          <t>1일 작업량에 의한 공사기간 산정 (가이드라인 제2장)</t>
        </is>
      </c>
    </row>
    <row r="2" ht="60" customHeight="1" s="92">
      <c r="A2" s="138" t="inlineStr">
        <is>
          <t>공사기간 = 준비기간 + 주공정(CP) 공종별 공사기간의 합 + 정리기간,  공종별 공사기간 = 작업일수 + 비작업일수.  월별 비작업일수 = A(기후)+B(공휴일)-C(A×B÷달력일수), 월 8일(주40시간) 미만이면 8일 적용.  공종마다 기상조건 세트를 골라 그 세트의 조건으로 비작업일수를 계산합니다. 공종은 입력 순서대로 이어서 시공하는 것으로 가정합니다. 준비·정리기간에는 비작업일수를 넣지 않습니다.</t>
        </is>
      </c>
    </row>
    <row r="4">
      <c r="A4" s="131" t="inlineStr">
        <is>
          <t>기상 지점</t>
        </is>
      </c>
      <c r="B4" s="139" t="inlineStr">
        <is>
          <t>서울</t>
        </is>
      </c>
      <c r="C4">
        <f>IFERROR("지점코드 "&amp;INDEX(지점목록!$C$2:$C$96,MATCH($B$4,지점목록!$A$2:$A$96,0)),"지점명을 확인하세요")</f>
        <v/>
      </c>
    </row>
    <row r="5">
      <c r="A5" s="131" t="inlineStr">
        <is>
          <t>본공사 착수 연도</t>
        </is>
      </c>
      <c r="B5" s="139" t="n">
        <v>2026</v>
      </c>
      <c r="C5" t="inlineStr">
        <is>
          <t>※ 본공사 착수 월의 1일부터 계산 (준비기간은 그 이전)</t>
        </is>
      </c>
    </row>
    <row r="6">
      <c r="A6" s="131" t="inlineStr">
        <is>
          <t>본공사 착수 월</t>
        </is>
      </c>
      <c r="B6" s="139" t="n">
        <v>7</v>
      </c>
    </row>
    <row r="7">
      <c r="A7" s="131" t="inlineStr">
        <is>
          <t>준비기간 (일)</t>
        </is>
      </c>
      <c r="B7" s="139">
        <f>'시설물별공기(토목)'!B14</f>
        <v/>
      </c>
    </row>
    <row r="8">
      <c r="A8" s="131" t="inlineStr">
        <is>
          <t>정리기간 (일)</t>
        </is>
      </c>
      <c r="B8" s="139">
        <f>'시설물별공기(토목)'!B15</f>
        <v/>
      </c>
    </row>
    <row r="9">
      <c r="A9" s="131" t="inlineStr">
        <is>
          <t>공사 유형 (공종 자동 구성)</t>
        </is>
      </c>
      <c r="B9" s="139" t="inlineStr">
        <is>
          <t>하수도 관로공사</t>
        </is>
      </c>
      <c r="C9" t="inlineStr">
        <is>
          <t>※ 유형을 바꾸면 아래 공종표가 그 유형의 대표 공종으로 바뀝니다. 수량은 다시 입력하세요.</t>
        </is>
      </c>
    </row>
    <row r="11">
      <c r="A11" s="131" t="inlineStr">
        <is>
          <t>▼ 기상조건 세트 — 공종마다 다른 조건을 쓰도록 세트 4개를 정의합니다 (O=적용, X=미적용). 값은 선택한 지점의 월별 비작업일수(2015~2024, 부록 3)</t>
        </is>
      </c>
    </row>
    <row r="12" ht="32" customHeight="1" s="92">
      <c r="A12" s="131" t="inlineStr">
        <is>
          <t>세트 이름 (수정 가능)</t>
        </is>
      </c>
      <c r="B12" t="inlineStr">
        <is>
          <t>※ 세트별 이름을 적어 두세요</t>
        </is>
      </c>
      <c r="C12" s="142" t="inlineStr">
        <is>
          <t>콘크리트·구조물</t>
        </is>
      </c>
      <c r="D12" s="142" t="inlineStr">
        <is>
          <t>토공·가설(옥외)</t>
        </is>
      </c>
      <c r="E12" s="142" t="inlineStr">
        <is>
          <t>포장(아스팔트)</t>
        </is>
      </c>
      <c r="F12" s="142" t="inlineStr">
        <is>
          <t>옥내·터널</t>
        </is>
      </c>
    </row>
    <row r="13">
      <c r="A13" s="134" t="inlineStr">
        <is>
          <t>번호</t>
        </is>
      </c>
      <c r="B13" s="134" t="inlineStr">
        <is>
          <t>기상조건</t>
        </is>
      </c>
      <c r="C13" s="134" t="inlineStr">
        <is>
          <t>세트1</t>
        </is>
      </c>
      <c r="D13" s="134" t="inlineStr">
        <is>
          <t>세트2</t>
        </is>
      </c>
      <c r="E13" s="134" t="inlineStr">
        <is>
          <t>세트3</t>
        </is>
      </c>
      <c r="F13" s="134" t="inlineStr">
        <is>
          <t>세트4</t>
        </is>
      </c>
      <c r="G13" s="134" t="inlineStr">
        <is>
          <t>1월</t>
        </is>
      </c>
      <c r="H13" s="134" t="inlineStr">
        <is>
          <t>2월</t>
        </is>
      </c>
      <c r="I13" s="134" t="inlineStr">
        <is>
          <t>3월</t>
        </is>
      </c>
      <c r="J13" s="134" t="inlineStr">
        <is>
          <t>4월</t>
        </is>
      </c>
      <c r="K13" s="134" t="inlineStr">
        <is>
          <t>5월</t>
        </is>
      </c>
      <c r="L13" s="134" t="inlineStr">
        <is>
          <t>6월</t>
        </is>
      </c>
      <c r="M13" s="134" t="inlineStr">
        <is>
          <t>7월</t>
        </is>
      </c>
      <c r="N13" s="134" t="inlineStr">
        <is>
          <t>8월</t>
        </is>
      </c>
      <c r="O13" s="134" t="inlineStr">
        <is>
          <t>9월</t>
        </is>
      </c>
      <c r="P13" s="134" t="inlineStr">
        <is>
          <t>10월</t>
        </is>
      </c>
      <c r="Q13" s="134" t="inlineStr">
        <is>
          <t>11월</t>
        </is>
      </c>
      <c r="R13" s="134" t="inlineStr">
        <is>
          <t>12월</t>
        </is>
      </c>
      <c r="S13" s="134" t="inlineStr">
        <is>
          <t>소계</t>
        </is>
      </c>
    </row>
    <row r="14">
      <c r="A14" s="141" t="n">
        <v>1</v>
      </c>
      <c r="B14" s="141" t="inlineStr">
        <is>
          <t>혹서기：체감온도 33°C 이상</t>
        </is>
      </c>
      <c r="C14" s="143" t="inlineStr">
        <is>
          <t>O</t>
        </is>
      </c>
      <c r="D14" s="143" t="inlineStr">
        <is>
          <t>O</t>
        </is>
      </c>
      <c r="E14" s="143" t="inlineStr">
        <is>
          <t>X</t>
        </is>
      </c>
      <c r="F14" s="143" t="inlineStr">
        <is>
          <t>O</t>
        </is>
      </c>
      <c r="G14" s="141">
        <f>SUMIFS(기상자료!$F$2:$F$1236,기상자료!$A$2:$A$1236,INDEX(지점목록!$C$2:$C$96,MATCH($B$4,지점목록!$A$2:$A$96,0)),기상자료!$D$2:$D$1236,$A14)</f>
        <v/>
      </c>
      <c r="H14" s="141">
        <f>SUMIFS(기상자료!$G$2:$G$1236,기상자료!$A$2:$A$1236,INDEX(지점목록!$C$2:$C$96,MATCH($B$4,지점목록!$A$2:$A$96,0)),기상자료!$D$2:$D$1236,$A14)</f>
        <v/>
      </c>
      <c r="I14" s="141">
        <f>SUMIFS(기상자료!$H$2:$H$1236,기상자료!$A$2:$A$1236,INDEX(지점목록!$C$2:$C$96,MATCH($B$4,지점목록!$A$2:$A$96,0)),기상자료!$D$2:$D$1236,$A14)</f>
        <v/>
      </c>
      <c r="J14" s="141">
        <f>SUMIFS(기상자료!$I$2:$I$1236,기상자료!$A$2:$A$1236,INDEX(지점목록!$C$2:$C$96,MATCH($B$4,지점목록!$A$2:$A$96,0)),기상자료!$D$2:$D$1236,$A14)</f>
        <v/>
      </c>
      <c r="K14" s="141">
        <f>SUMIFS(기상자료!$J$2:$J$1236,기상자료!$A$2:$A$1236,INDEX(지점목록!$C$2:$C$96,MATCH($B$4,지점목록!$A$2:$A$96,0)),기상자료!$D$2:$D$1236,$A14)</f>
        <v/>
      </c>
      <c r="L14" s="141">
        <f>SUMIFS(기상자료!$K$2:$K$1236,기상자료!$A$2:$A$1236,INDEX(지점목록!$C$2:$C$96,MATCH($B$4,지점목록!$A$2:$A$96,0)),기상자료!$D$2:$D$1236,$A14)</f>
        <v/>
      </c>
      <c r="M14" s="141">
        <f>SUMIFS(기상자료!$L$2:$L$1236,기상자료!$A$2:$A$1236,INDEX(지점목록!$C$2:$C$96,MATCH($B$4,지점목록!$A$2:$A$96,0)),기상자료!$D$2:$D$1236,$A14)</f>
        <v/>
      </c>
      <c r="N14" s="141">
        <f>SUMIFS(기상자료!$M$2:$M$1236,기상자료!$A$2:$A$1236,INDEX(지점목록!$C$2:$C$96,MATCH($B$4,지점목록!$A$2:$A$96,0)),기상자료!$D$2:$D$1236,$A14)</f>
        <v/>
      </c>
      <c r="O14" s="141">
        <f>SUMIFS(기상자료!$N$2:$N$1236,기상자료!$A$2:$A$1236,INDEX(지점목록!$C$2:$C$96,MATCH($B$4,지점목록!$A$2:$A$96,0)),기상자료!$D$2:$D$1236,$A14)</f>
        <v/>
      </c>
      <c r="P14" s="141">
        <f>SUMIFS(기상자료!$O$2:$O$1236,기상자료!$A$2:$A$1236,INDEX(지점목록!$C$2:$C$96,MATCH($B$4,지점목록!$A$2:$A$96,0)),기상자료!$D$2:$D$1236,$A14)</f>
        <v/>
      </c>
      <c r="Q14" s="141">
        <f>SUMIFS(기상자료!$P$2:$P$1236,기상자료!$A$2:$A$1236,INDEX(지점목록!$C$2:$C$96,MATCH($B$4,지점목록!$A$2:$A$96,0)),기상자료!$D$2:$D$1236,$A14)</f>
        <v/>
      </c>
      <c r="R14" s="141">
        <f>SUMIFS(기상자료!$Q$2:$Q$1236,기상자료!$A$2:$A$1236,INDEX(지점목록!$C$2:$C$96,MATCH($B$4,지점목록!$A$2:$A$96,0)),기상자료!$D$2:$D$1236,$A14)</f>
        <v/>
      </c>
      <c r="S14" s="141">
        <f>SUM(G14:R14)</f>
        <v/>
      </c>
    </row>
    <row r="15">
      <c r="A15" s="141" t="n">
        <v>2</v>
      </c>
      <c r="B15" s="141" t="inlineStr">
        <is>
          <t>혹서기：체감온도 35°C 이상</t>
        </is>
      </c>
      <c r="C15" s="143" t="inlineStr">
        <is>
          <t>X</t>
        </is>
      </c>
      <c r="D15" s="143" t="inlineStr">
        <is>
          <t>X</t>
        </is>
      </c>
      <c r="E15" s="143" t="inlineStr">
        <is>
          <t>X</t>
        </is>
      </c>
      <c r="F15" s="143" t="inlineStr">
        <is>
          <t>X</t>
        </is>
      </c>
      <c r="G15" s="141">
        <f>SUMIFS(기상자료!$F$2:$F$1236,기상자료!$A$2:$A$1236,INDEX(지점목록!$C$2:$C$96,MATCH($B$4,지점목록!$A$2:$A$96,0)),기상자료!$D$2:$D$1236,$A15)</f>
        <v/>
      </c>
      <c r="H15" s="141">
        <f>SUMIFS(기상자료!$G$2:$G$1236,기상자료!$A$2:$A$1236,INDEX(지점목록!$C$2:$C$96,MATCH($B$4,지점목록!$A$2:$A$96,0)),기상자료!$D$2:$D$1236,$A15)</f>
        <v/>
      </c>
      <c r="I15" s="141">
        <f>SUMIFS(기상자료!$H$2:$H$1236,기상자료!$A$2:$A$1236,INDEX(지점목록!$C$2:$C$96,MATCH($B$4,지점목록!$A$2:$A$96,0)),기상자료!$D$2:$D$1236,$A15)</f>
        <v/>
      </c>
      <c r="J15" s="141">
        <f>SUMIFS(기상자료!$I$2:$I$1236,기상자료!$A$2:$A$1236,INDEX(지점목록!$C$2:$C$96,MATCH($B$4,지점목록!$A$2:$A$96,0)),기상자료!$D$2:$D$1236,$A15)</f>
        <v/>
      </c>
      <c r="K15" s="141">
        <f>SUMIFS(기상자료!$J$2:$J$1236,기상자료!$A$2:$A$1236,INDEX(지점목록!$C$2:$C$96,MATCH($B$4,지점목록!$A$2:$A$96,0)),기상자료!$D$2:$D$1236,$A15)</f>
        <v/>
      </c>
      <c r="L15" s="141">
        <f>SUMIFS(기상자료!$K$2:$K$1236,기상자료!$A$2:$A$1236,INDEX(지점목록!$C$2:$C$96,MATCH($B$4,지점목록!$A$2:$A$96,0)),기상자료!$D$2:$D$1236,$A15)</f>
        <v/>
      </c>
      <c r="M15" s="141">
        <f>SUMIFS(기상자료!$L$2:$L$1236,기상자료!$A$2:$A$1236,INDEX(지점목록!$C$2:$C$96,MATCH($B$4,지점목록!$A$2:$A$96,0)),기상자료!$D$2:$D$1236,$A15)</f>
        <v/>
      </c>
      <c r="N15" s="141">
        <f>SUMIFS(기상자료!$M$2:$M$1236,기상자료!$A$2:$A$1236,INDEX(지점목록!$C$2:$C$96,MATCH($B$4,지점목록!$A$2:$A$96,0)),기상자료!$D$2:$D$1236,$A15)</f>
        <v/>
      </c>
      <c r="O15" s="141">
        <f>SUMIFS(기상자료!$N$2:$N$1236,기상자료!$A$2:$A$1236,INDEX(지점목록!$C$2:$C$96,MATCH($B$4,지점목록!$A$2:$A$96,0)),기상자료!$D$2:$D$1236,$A15)</f>
        <v/>
      </c>
      <c r="P15" s="141">
        <f>SUMIFS(기상자료!$O$2:$O$1236,기상자료!$A$2:$A$1236,INDEX(지점목록!$C$2:$C$96,MATCH($B$4,지점목록!$A$2:$A$96,0)),기상자료!$D$2:$D$1236,$A15)</f>
        <v/>
      </c>
      <c r="Q15" s="141">
        <f>SUMIFS(기상자료!$P$2:$P$1236,기상자료!$A$2:$A$1236,INDEX(지점목록!$C$2:$C$96,MATCH($B$4,지점목록!$A$2:$A$96,0)),기상자료!$D$2:$D$1236,$A15)</f>
        <v/>
      </c>
      <c r="R15" s="141">
        <f>SUMIFS(기상자료!$Q$2:$Q$1236,기상자료!$A$2:$A$1236,INDEX(지점목록!$C$2:$C$96,MATCH($B$4,지점목록!$A$2:$A$96,0)),기상자료!$D$2:$D$1236,$A15)</f>
        <v/>
      </c>
      <c r="S15" s="141">
        <f>SUM(G15:R15)</f>
        <v/>
      </c>
    </row>
    <row r="16">
      <c r="A16" s="141" t="n">
        <v>3</v>
      </c>
      <c r="B16" s="141" t="inlineStr">
        <is>
          <t>혹서기：일최고온도 33°C 이상</t>
        </is>
      </c>
      <c r="C16" s="143" t="inlineStr">
        <is>
          <t>X</t>
        </is>
      </c>
      <c r="D16" s="143" t="inlineStr">
        <is>
          <t>X</t>
        </is>
      </c>
      <c r="E16" s="143" t="inlineStr">
        <is>
          <t>X</t>
        </is>
      </c>
      <c r="F16" s="143" t="inlineStr">
        <is>
          <t>X</t>
        </is>
      </c>
      <c r="G16" s="141">
        <f>SUMIFS(기상자료!$F$2:$F$1236,기상자료!$A$2:$A$1236,INDEX(지점목록!$C$2:$C$96,MATCH($B$4,지점목록!$A$2:$A$96,0)),기상자료!$D$2:$D$1236,$A16)</f>
        <v/>
      </c>
      <c r="H16" s="141">
        <f>SUMIFS(기상자료!$G$2:$G$1236,기상자료!$A$2:$A$1236,INDEX(지점목록!$C$2:$C$96,MATCH($B$4,지점목록!$A$2:$A$96,0)),기상자료!$D$2:$D$1236,$A16)</f>
        <v/>
      </c>
      <c r="I16" s="141">
        <f>SUMIFS(기상자료!$H$2:$H$1236,기상자료!$A$2:$A$1236,INDEX(지점목록!$C$2:$C$96,MATCH($B$4,지점목록!$A$2:$A$96,0)),기상자료!$D$2:$D$1236,$A16)</f>
        <v/>
      </c>
      <c r="J16" s="141">
        <f>SUMIFS(기상자료!$I$2:$I$1236,기상자료!$A$2:$A$1236,INDEX(지점목록!$C$2:$C$96,MATCH($B$4,지점목록!$A$2:$A$96,0)),기상자료!$D$2:$D$1236,$A16)</f>
        <v/>
      </c>
      <c r="K16" s="141">
        <f>SUMIFS(기상자료!$J$2:$J$1236,기상자료!$A$2:$A$1236,INDEX(지점목록!$C$2:$C$96,MATCH($B$4,지점목록!$A$2:$A$96,0)),기상자료!$D$2:$D$1236,$A16)</f>
        <v/>
      </c>
      <c r="L16" s="141">
        <f>SUMIFS(기상자료!$K$2:$K$1236,기상자료!$A$2:$A$1236,INDEX(지점목록!$C$2:$C$96,MATCH($B$4,지점목록!$A$2:$A$96,0)),기상자료!$D$2:$D$1236,$A16)</f>
        <v/>
      </c>
      <c r="M16" s="141">
        <f>SUMIFS(기상자료!$L$2:$L$1236,기상자료!$A$2:$A$1236,INDEX(지점목록!$C$2:$C$96,MATCH($B$4,지점목록!$A$2:$A$96,0)),기상자료!$D$2:$D$1236,$A16)</f>
        <v/>
      </c>
      <c r="N16" s="141">
        <f>SUMIFS(기상자료!$M$2:$M$1236,기상자료!$A$2:$A$1236,INDEX(지점목록!$C$2:$C$96,MATCH($B$4,지점목록!$A$2:$A$96,0)),기상자료!$D$2:$D$1236,$A16)</f>
        <v/>
      </c>
      <c r="O16" s="141">
        <f>SUMIFS(기상자료!$N$2:$N$1236,기상자료!$A$2:$A$1236,INDEX(지점목록!$C$2:$C$96,MATCH($B$4,지점목록!$A$2:$A$96,0)),기상자료!$D$2:$D$1236,$A16)</f>
        <v/>
      </c>
      <c r="P16" s="141">
        <f>SUMIFS(기상자료!$O$2:$O$1236,기상자료!$A$2:$A$1236,INDEX(지점목록!$C$2:$C$96,MATCH($B$4,지점목록!$A$2:$A$96,0)),기상자료!$D$2:$D$1236,$A16)</f>
        <v/>
      </c>
      <c r="Q16" s="141">
        <f>SUMIFS(기상자료!$P$2:$P$1236,기상자료!$A$2:$A$1236,INDEX(지점목록!$C$2:$C$96,MATCH($B$4,지점목록!$A$2:$A$96,0)),기상자료!$D$2:$D$1236,$A16)</f>
        <v/>
      </c>
      <c r="R16" s="141">
        <f>SUMIFS(기상자료!$Q$2:$Q$1236,기상자료!$A$2:$A$1236,INDEX(지점목록!$C$2:$C$96,MATCH($B$4,지점목록!$A$2:$A$96,0)),기상자료!$D$2:$D$1236,$A16)</f>
        <v/>
      </c>
      <c r="S16" s="141">
        <f>SUM(G16:R16)</f>
        <v/>
      </c>
    </row>
    <row r="17">
      <c r="A17" s="141" t="n">
        <v>4</v>
      </c>
      <c r="B17" s="141" t="inlineStr">
        <is>
          <t>혹서기：일최고온도 35°C 이상</t>
        </is>
      </c>
      <c r="C17" s="143" t="inlineStr">
        <is>
          <t>X</t>
        </is>
      </c>
      <c r="D17" s="143" t="inlineStr">
        <is>
          <t>X</t>
        </is>
      </c>
      <c r="E17" s="143" t="inlineStr">
        <is>
          <t>X</t>
        </is>
      </c>
      <c r="F17" s="143" t="inlineStr">
        <is>
          <t>X</t>
        </is>
      </c>
      <c r="G17" s="141">
        <f>SUMIFS(기상자료!$F$2:$F$1236,기상자료!$A$2:$A$1236,INDEX(지점목록!$C$2:$C$96,MATCH($B$4,지점목록!$A$2:$A$96,0)),기상자료!$D$2:$D$1236,$A17)</f>
        <v/>
      </c>
      <c r="H17" s="141">
        <f>SUMIFS(기상자료!$G$2:$G$1236,기상자료!$A$2:$A$1236,INDEX(지점목록!$C$2:$C$96,MATCH($B$4,지점목록!$A$2:$A$96,0)),기상자료!$D$2:$D$1236,$A17)</f>
        <v/>
      </c>
      <c r="I17" s="141">
        <f>SUMIFS(기상자료!$H$2:$H$1236,기상자료!$A$2:$A$1236,INDEX(지점목록!$C$2:$C$96,MATCH($B$4,지점목록!$A$2:$A$96,0)),기상자료!$D$2:$D$1236,$A17)</f>
        <v/>
      </c>
      <c r="J17" s="141">
        <f>SUMIFS(기상자료!$I$2:$I$1236,기상자료!$A$2:$A$1236,INDEX(지점목록!$C$2:$C$96,MATCH($B$4,지점목록!$A$2:$A$96,0)),기상자료!$D$2:$D$1236,$A17)</f>
        <v/>
      </c>
      <c r="K17" s="141">
        <f>SUMIFS(기상자료!$J$2:$J$1236,기상자료!$A$2:$A$1236,INDEX(지점목록!$C$2:$C$96,MATCH($B$4,지점목록!$A$2:$A$96,0)),기상자료!$D$2:$D$1236,$A17)</f>
        <v/>
      </c>
      <c r="L17" s="141">
        <f>SUMIFS(기상자료!$K$2:$K$1236,기상자료!$A$2:$A$1236,INDEX(지점목록!$C$2:$C$96,MATCH($B$4,지점목록!$A$2:$A$96,0)),기상자료!$D$2:$D$1236,$A17)</f>
        <v/>
      </c>
      <c r="M17" s="141">
        <f>SUMIFS(기상자료!$L$2:$L$1236,기상자료!$A$2:$A$1236,INDEX(지점목록!$C$2:$C$96,MATCH($B$4,지점목록!$A$2:$A$96,0)),기상자료!$D$2:$D$1236,$A17)</f>
        <v/>
      </c>
      <c r="N17" s="141">
        <f>SUMIFS(기상자료!$M$2:$M$1236,기상자료!$A$2:$A$1236,INDEX(지점목록!$C$2:$C$96,MATCH($B$4,지점목록!$A$2:$A$96,0)),기상자료!$D$2:$D$1236,$A17)</f>
        <v/>
      </c>
      <c r="O17" s="141">
        <f>SUMIFS(기상자료!$N$2:$N$1236,기상자료!$A$2:$A$1236,INDEX(지점목록!$C$2:$C$96,MATCH($B$4,지점목록!$A$2:$A$96,0)),기상자료!$D$2:$D$1236,$A17)</f>
        <v/>
      </c>
      <c r="P17" s="141">
        <f>SUMIFS(기상자료!$O$2:$O$1236,기상자료!$A$2:$A$1236,INDEX(지점목록!$C$2:$C$96,MATCH($B$4,지점목록!$A$2:$A$96,0)),기상자료!$D$2:$D$1236,$A17)</f>
        <v/>
      </c>
      <c r="Q17" s="141">
        <f>SUMIFS(기상자료!$P$2:$P$1236,기상자료!$A$2:$A$1236,INDEX(지점목록!$C$2:$C$96,MATCH($B$4,지점목록!$A$2:$A$96,0)),기상자료!$D$2:$D$1236,$A17)</f>
        <v/>
      </c>
      <c r="R17" s="141">
        <f>SUMIFS(기상자료!$Q$2:$Q$1236,기상자료!$A$2:$A$1236,INDEX(지점목록!$C$2:$C$96,MATCH($B$4,지점목록!$A$2:$A$96,0)),기상자료!$D$2:$D$1236,$A17)</f>
        <v/>
      </c>
      <c r="S17" s="141">
        <f>SUM(G17:R17)</f>
        <v/>
      </c>
    </row>
    <row r="18">
      <c r="A18" s="141" t="n">
        <v>5</v>
      </c>
      <c r="B18" s="141" t="inlineStr">
        <is>
          <t>동절기：일최고기온 0°C 이하</t>
        </is>
      </c>
      <c r="C18" s="143" t="inlineStr">
        <is>
          <t>O</t>
        </is>
      </c>
      <c r="D18" s="143" t="inlineStr">
        <is>
          <t>O</t>
        </is>
      </c>
      <c r="E18" s="143" t="inlineStr">
        <is>
          <t>O</t>
        </is>
      </c>
      <c r="F18" s="143" t="inlineStr">
        <is>
          <t>O</t>
        </is>
      </c>
      <c r="G18" s="141">
        <f>SUMIFS(기상자료!$F$2:$F$1236,기상자료!$A$2:$A$1236,INDEX(지점목록!$C$2:$C$96,MATCH($B$4,지점목록!$A$2:$A$96,0)),기상자료!$D$2:$D$1236,$A18)</f>
        <v/>
      </c>
      <c r="H18" s="141">
        <f>SUMIFS(기상자료!$G$2:$G$1236,기상자료!$A$2:$A$1236,INDEX(지점목록!$C$2:$C$96,MATCH($B$4,지점목록!$A$2:$A$96,0)),기상자료!$D$2:$D$1236,$A18)</f>
        <v/>
      </c>
      <c r="I18" s="141">
        <f>SUMIFS(기상자료!$H$2:$H$1236,기상자료!$A$2:$A$1236,INDEX(지점목록!$C$2:$C$96,MATCH($B$4,지점목록!$A$2:$A$96,0)),기상자료!$D$2:$D$1236,$A18)</f>
        <v/>
      </c>
      <c r="J18" s="141">
        <f>SUMIFS(기상자료!$I$2:$I$1236,기상자료!$A$2:$A$1236,INDEX(지점목록!$C$2:$C$96,MATCH($B$4,지점목록!$A$2:$A$96,0)),기상자료!$D$2:$D$1236,$A18)</f>
        <v/>
      </c>
      <c r="K18" s="141">
        <f>SUMIFS(기상자료!$J$2:$J$1236,기상자료!$A$2:$A$1236,INDEX(지점목록!$C$2:$C$96,MATCH($B$4,지점목록!$A$2:$A$96,0)),기상자료!$D$2:$D$1236,$A18)</f>
        <v/>
      </c>
      <c r="L18" s="141">
        <f>SUMIFS(기상자료!$K$2:$K$1236,기상자료!$A$2:$A$1236,INDEX(지점목록!$C$2:$C$96,MATCH($B$4,지점목록!$A$2:$A$96,0)),기상자료!$D$2:$D$1236,$A18)</f>
        <v/>
      </c>
      <c r="M18" s="141">
        <f>SUMIFS(기상자료!$L$2:$L$1236,기상자료!$A$2:$A$1236,INDEX(지점목록!$C$2:$C$96,MATCH($B$4,지점목록!$A$2:$A$96,0)),기상자료!$D$2:$D$1236,$A18)</f>
        <v/>
      </c>
      <c r="N18" s="141">
        <f>SUMIFS(기상자료!$M$2:$M$1236,기상자료!$A$2:$A$1236,INDEX(지점목록!$C$2:$C$96,MATCH($B$4,지점목록!$A$2:$A$96,0)),기상자료!$D$2:$D$1236,$A18)</f>
        <v/>
      </c>
      <c r="O18" s="141">
        <f>SUMIFS(기상자료!$N$2:$N$1236,기상자료!$A$2:$A$1236,INDEX(지점목록!$C$2:$C$96,MATCH($B$4,지점목록!$A$2:$A$96,0)),기상자료!$D$2:$D$1236,$A18)</f>
        <v/>
      </c>
      <c r="P18" s="141">
        <f>SUMIFS(기상자료!$O$2:$O$1236,기상자료!$A$2:$A$1236,INDEX(지점목록!$C$2:$C$96,MATCH($B$4,지점목록!$A$2:$A$96,0)),기상자료!$D$2:$D$1236,$A18)</f>
        <v/>
      </c>
      <c r="Q18" s="141">
        <f>SUMIFS(기상자료!$P$2:$P$1236,기상자료!$A$2:$A$1236,INDEX(지점목록!$C$2:$C$96,MATCH($B$4,지점목록!$A$2:$A$96,0)),기상자료!$D$2:$D$1236,$A18)</f>
        <v/>
      </c>
      <c r="R18" s="141">
        <f>SUMIFS(기상자료!$Q$2:$Q$1236,기상자료!$A$2:$A$1236,INDEX(지점목록!$C$2:$C$96,MATCH($B$4,지점목록!$A$2:$A$96,0)),기상자료!$D$2:$D$1236,$A18)</f>
        <v/>
      </c>
      <c r="S18" s="141">
        <f>SUM(G18:R18)</f>
        <v/>
      </c>
    </row>
    <row r="19">
      <c r="A19" s="141" t="n">
        <v>6</v>
      </c>
      <c r="B19" s="141" t="inlineStr">
        <is>
          <t>동절기：일최심신적설 5㎝ 이상</t>
        </is>
      </c>
      <c r="C19" s="143" t="inlineStr">
        <is>
          <t>O</t>
        </is>
      </c>
      <c r="D19" s="143" t="inlineStr">
        <is>
          <t>O</t>
        </is>
      </c>
      <c r="E19" s="143" t="inlineStr">
        <is>
          <t>O</t>
        </is>
      </c>
      <c r="F19" s="143" t="inlineStr">
        <is>
          <t>X</t>
        </is>
      </c>
      <c r="G19" s="141">
        <f>SUMIFS(기상자료!$F$2:$F$1236,기상자료!$A$2:$A$1236,INDEX(지점목록!$C$2:$C$96,MATCH($B$4,지점목록!$A$2:$A$96,0)),기상자료!$D$2:$D$1236,$A19)</f>
        <v/>
      </c>
      <c r="H19" s="141">
        <f>SUMIFS(기상자료!$G$2:$G$1236,기상자료!$A$2:$A$1236,INDEX(지점목록!$C$2:$C$96,MATCH($B$4,지점목록!$A$2:$A$96,0)),기상자료!$D$2:$D$1236,$A19)</f>
        <v/>
      </c>
      <c r="I19" s="141">
        <f>SUMIFS(기상자료!$H$2:$H$1236,기상자료!$A$2:$A$1236,INDEX(지점목록!$C$2:$C$96,MATCH($B$4,지점목록!$A$2:$A$96,0)),기상자료!$D$2:$D$1236,$A19)</f>
        <v/>
      </c>
      <c r="J19" s="141">
        <f>SUMIFS(기상자료!$I$2:$I$1236,기상자료!$A$2:$A$1236,INDEX(지점목록!$C$2:$C$96,MATCH($B$4,지점목록!$A$2:$A$96,0)),기상자료!$D$2:$D$1236,$A19)</f>
        <v/>
      </c>
      <c r="K19" s="141">
        <f>SUMIFS(기상자료!$J$2:$J$1236,기상자료!$A$2:$A$1236,INDEX(지점목록!$C$2:$C$96,MATCH($B$4,지점목록!$A$2:$A$96,0)),기상자료!$D$2:$D$1236,$A19)</f>
        <v/>
      </c>
      <c r="L19" s="141">
        <f>SUMIFS(기상자료!$K$2:$K$1236,기상자료!$A$2:$A$1236,INDEX(지점목록!$C$2:$C$96,MATCH($B$4,지점목록!$A$2:$A$96,0)),기상자료!$D$2:$D$1236,$A19)</f>
        <v/>
      </c>
      <c r="M19" s="141">
        <f>SUMIFS(기상자료!$L$2:$L$1236,기상자료!$A$2:$A$1236,INDEX(지점목록!$C$2:$C$96,MATCH($B$4,지점목록!$A$2:$A$96,0)),기상자료!$D$2:$D$1236,$A19)</f>
        <v/>
      </c>
      <c r="N19" s="141">
        <f>SUMIFS(기상자료!$M$2:$M$1236,기상자료!$A$2:$A$1236,INDEX(지점목록!$C$2:$C$96,MATCH($B$4,지점목록!$A$2:$A$96,0)),기상자료!$D$2:$D$1236,$A19)</f>
        <v/>
      </c>
      <c r="O19" s="141">
        <f>SUMIFS(기상자료!$N$2:$N$1236,기상자료!$A$2:$A$1236,INDEX(지점목록!$C$2:$C$96,MATCH($B$4,지점목록!$A$2:$A$96,0)),기상자료!$D$2:$D$1236,$A19)</f>
        <v/>
      </c>
      <c r="P19" s="141">
        <f>SUMIFS(기상자료!$O$2:$O$1236,기상자료!$A$2:$A$1236,INDEX(지점목록!$C$2:$C$96,MATCH($B$4,지점목록!$A$2:$A$96,0)),기상자료!$D$2:$D$1236,$A19)</f>
        <v/>
      </c>
      <c r="Q19" s="141">
        <f>SUMIFS(기상자료!$P$2:$P$1236,기상자료!$A$2:$A$1236,INDEX(지점목록!$C$2:$C$96,MATCH($B$4,지점목록!$A$2:$A$96,0)),기상자료!$D$2:$D$1236,$A19)</f>
        <v/>
      </c>
      <c r="R19" s="141">
        <f>SUMIFS(기상자료!$Q$2:$Q$1236,기상자료!$A$2:$A$1236,INDEX(지점목록!$C$2:$C$96,MATCH($B$4,지점목록!$A$2:$A$96,0)),기상자료!$D$2:$D$1236,$A19)</f>
        <v/>
      </c>
      <c r="S19" s="141">
        <f>SUM(G19:R19)</f>
        <v/>
      </c>
    </row>
    <row r="20">
      <c r="A20" s="141" t="n">
        <v>7</v>
      </c>
      <c r="B20" s="141" t="inlineStr">
        <is>
          <t>동절기：일최고기온 0°C 이하 이거나 일최심신적설 5㎝ 이상</t>
        </is>
      </c>
      <c r="C20" s="143" t="inlineStr">
        <is>
          <t>X</t>
        </is>
      </c>
      <c r="D20" s="143" t="inlineStr">
        <is>
          <t>X</t>
        </is>
      </c>
      <c r="E20" s="143" t="inlineStr">
        <is>
          <t>X</t>
        </is>
      </c>
      <c r="F20" s="143" t="inlineStr">
        <is>
          <t>X</t>
        </is>
      </c>
      <c r="G20" s="141">
        <f>SUMIFS(기상자료!$F$2:$F$1236,기상자료!$A$2:$A$1236,INDEX(지점목록!$C$2:$C$96,MATCH($B$4,지점목록!$A$2:$A$96,0)),기상자료!$D$2:$D$1236,$A20)</f>
        <v/>
      </c>
      <c r="H20" s="141">
        <f>SUMIFS(기상자료!$G$2:$G$1236,기상자료!$A$2:$A$1236,INDEX(지점목록!$C$2:$C$96,MATCH($B$4,지점목록!$A$2:$A$96,0)),기상자료!$D$2:$D$1236,$A20)</f>
        <v/>
      </c>
      <c r="I20" s="141">
        <f>SUMIFS(기상자료!$H$2:$H$1236,기상자료!$A$2:$A$1236,INDEX(지점목록!$C$2:$C$96,MATCH($B$4,지점목록!$A$2:$A$96,0)),기상자료!$D$2:$D$1236,$A20)</f>
        <v/>
      </c>
      <c r="J20" s="141">
        <f>SUMIFS(기상자료!$I$2:$I$1236,기상자료!$A$2:$A$1236,INDEX(지점목록!$C$2:$C$96,MATCH($B$4,지점목록!$A$2:$A$96,0)),기상자료!$D$2:$D$1236,$A20)</f>
        <v/>
      </c>
      <c r="K20" s="141">
        <f>SUMIFS(기상자료!$J$2:$J$1236,기상자료!$A$2:$A$1236,INDEX(지점목록!$C$2:$C$96,MATCH($B$4,지점목록!$A$2:$A$96,0)),기상자료!$D$2:$D$1236,$A20)</f>
        <v/>
      </c>
      <c r="L20" s="141">
        <f>SUMIFS(기상자료!$K$2:$K$1236,기상자료!$A$2:$A$1236,INDEX(지점목록!$C$2:$C$96,MATCH($B$4,지점목록!$A$2:$A$96,0)),기상자료!$D$2:$D$1236,$A20)</f>
        <v/>
      </c>
      <c r="M20" s="141">
        <f>SUMIFS(기상자료!$L$2:$L$1236,기상자료!$A$2:$A$1236,INDEX(지점목록!$C$2:$C$96,MATCH($B$4,지점목록!$A$2:$A$96,0)),기상자료!$D$2:$D$1236,$A20)</f>
        <v/>
      </c>
      <c r="N20" s="141">
        <f>SUMIFS(기상자료!$M$2:$M$1236,기상자료!$A$2:$A$1236,INDEX(지점목록!$C$2:$C$96,MATCH($B$4,지점목록!$A$2:$A$96,0)),기상자료!$D$2:$D$1236,$A20)</f>
        <v/>
      </c>
      <c r="O20" s="141">
        <f>SUMIFS(기상자료!$N$2:$N$1236,기상자료!$A$2:$A$1236,INDEX(지점목록!$C$2:$C$96,MATCH($B$4,지점목록!$A$2:$A$96,0)),기상자료!$D$2:$D$1236,$A20)</f>
        <v/>
      </c>
      <c r="P20" s="141">
        <f>SUMIFS(기상자료!$O$2:$O$1236,기상자료!$A$2:$A$1236,INDEX(지점목록!$C$2:$C$96,MATCH($B$4,지점목록!$A$2:$A$96,0)),기상자료!$D$2:$D$1236,$A20)</f>
        <v/>
      </c>
      <c r="Q20" s="141">
        <f>SUMIFS(기상자료!$P$2:$P$1236,기상자료!$A$2:$A$1236,INDEX(지점목록!$C$2:$C$96,MATCH($B$4,지점목록!$A$2:$A$96,0)),기상자료!$D$2:$D$1236,$A20)</f>
        <v/>
      </c>
      <c r="R20" s="141">
        <f>SUMIFS(기상자료!$Q$2:$Q$1236,기상자료!$A$2:$A$1236,INDEX(지점목록!$C$2:$C$96,MATCH($B$4,지점목록!$A$2:$A$96,0)),기상자료!$D$2:$D$1236,$A20)</f>
        <v/>
      </c>
      <c r="S20" s="141">
        <f>SUM(G20:R20)</f>
        <v/>
      </c>
    </row>
    <row r="21">
      <c r="A21" s="141" t="n">
        <v>8</v>
      </c>
      <c r="B21" s="141" t="inlineStr">
        <is>
          <t>동절기：일최저기온 -12°C 이하</t>
        </is>
      </c>
      <c r="C21" s="143" t="inlineStr">
        <is>
          <t>X</t>
        </is>
      </c>
      <c r="D21" s="143" t="inlineStr">
        <is>
          <t>X</t>
        </is>
      </c>
      <c r="E21" s="143" t="inlineStr">
        <is>
          <t>X</t>
        </is>
      </c>
      <c r="F21" s="143" t="inlineStr">
        <is>
          <t>X</t>
        </is>
      </c>
      <c r="G21" s="141">
        <f>SUMIFS(기상자료!$F$2:$F$1236,기상자료!$A$2:$A$1236,INDEX(지점목록!$C$2:$C$96,MATCH($B$4,지점목록!$A$2:$A$96,0)),기상자료!$D$2:$D$1236,$A21)</f>
        <v/>
      </c>
      <c r="H21" s="141">
        <f>SUMIFS(기상자료!$G$2:$G$1236,기상자료!$A$2:$A$1236,INDEX(지점목록!$C$2:$C$96,MATCH($B$4,지점목록!$A$2:$A$96,0)),기상자료!$D$2:$D$1236,$A21)</f>
        <v/>
      </c>
      <c r="I21" s="141">
        <f>SUMIFS(기상자료!$H$2:$H$1236,기상자료!$A$2:$A$1236,INDEX(지점목록!$C$2:$C$96,MATCH($B$4,지점목록!$A$2:$A$96,0)),기상자료!$D$2:$D$1236,$A21)</f>
        <v/>
      </c>
      <c r="J21" s="141">
        <f>SUMIFS(기상자료!$I$2:$I$1236,기상자료!$A$2:$A$1236,INDEX(지점목록!$C$2:$C$96,MATCH($B$4,지점목록!$A$2:$A$96,0)),기상자료!$D$2:$D$1236,$A21)</f>
        <v/>
      </c>
      <c r="K21" s="141">
        <f>SUMIFS(기상자료!$J$2:$J$1236,기상자료!$A$2:$A$1236,INDEX(지점목록!$C$2:$C$96,MATCH($B$4,지점목록!$A$2:$A$96,0)),기상자료!$D$2:$D$1236,$A21)</f>
        <v/>
      </c>
      <c r="L21" s="141">
        <f>SUMIFS(기상자료!$K$2:$K$1236,기상자료!$A$2:$A$1236,INDEX(지점목록!$C$2:$C$96,MATCH($B$4,지점목록!$A$2:$A$96,0)),기상자료!$D$2:$D$1236,$A21)</f>
        <v/>
      </c>
      <c r="M21" s="141">
        <f>SUMIFS(기상자료!$L$2:$L$1236,기상자료!$A$2:$A$1236,INDEX(지점목록!$C$2:$C$96,MATCH($B$4,지점목록!$A$2:$A$96,0)),기상자료!$D$2:$D$1236,$A21)</f>
        <v/>
      </c>
      <c r="N21" s="141">
        <f>SUMIFS(기상자료!$M$2:$M$1236,기상자료!$A$2:$A$1236,INDEX(지점목록!$C$2:$C$96,MATCH($B$4,지점목록!$A$2:$A$96,0)),기상자료!$D$2:$D$1236,$A21)</f>
        <v/>
      </c>
      <c r="O21" s="141">
        <f>SUMIFS(기상자료!$N$2:$N$1236,기상자료!$A$2:$A$1236,INDEX(지점목록!$C$2:$C$96,MATCH($B$4,지점목록!$A$2:$A$96,0)),기상자료!$D$2:$D$1236,$A21)</f>
        <v/>
      </c>
      <c r="P21" s="141">
        <f>SUMIFS(기상자료!$O$2:$O$1236,기상자료!$A$2:$A$1236,INDEX(지점목록!$C$2:$C$96,MATCH($B$4,지점목록!$A$2:$A$96,0)),기상자료!$D$2:$D$1236,$A21)</f>
        <v/>
      </c>
      <c r="Q21" s="141">
        <f>SUMIFS(기상자료!$P$2:$P$1236,기상자료!$A$2:$A$1236,INDEX(지점목록!$C$2:$C$96,MATCH($B$4,지점목록!$A$2:$A$96,0)),기상자료!$D$2:$D$1236,$A21)</f>
        <v/>
      </c>
      <c r="R21" s="141">
        <f>SUMIFS(기상자료!$Q$2:$Q$1236,기상자료!$A$2:$A$1236,INDEX(지점목록!$C$2:$C$96,MATCH($B$4,지점목록!$A$2:$A$96,0)),기상자료!$D$2:$D$1236,$A21)</f>
        <v/>
      </c>
      <c r="S21" s="141">
        <f>SUM(G21:R21)</f>
        <v/>
      </c>
    </row>
    <row r="22">
      <c r="A22" s="141" t="n">
        <v>9</v>
      </c>
      <c r="B22" s="141" t="inlineStr">
        <is>
          <t>일강수량：3㎜ 이상</t>
        </is>
      </c>
      <c r="C22" s="143" t="inlineStr">
        <is>
          <t>O</t>
        </is>
      </c>
      <c r="D22" s="143" t="inlineStr">
        <is>
          <t>X</t>
        </is>
      </c>
      <c r="E22" s="143" t="inlineStr">
        <is>
          <t>O</t>
        </is>
      </c>
      <c r="F22" s="143" t="inlineStr">
        <is>
          <t>X</t>
        </is>
      </c>
      <c r="G22" s="141">
        <f>SUMIFS(기상자료!$F$2:$F$1236,기상자료!$A$2:$A$1236,INDEX(지점목록!$C$2:$C$96,MATCH($B$4,지점목록!$A$2:$A$96,0)),기상자료!$D$2:$D$1236,$A22)</f>
        <v/>
      </c>
      <c r="H22" s="141">
        <f>SUMIFS(기상자료!$G$2:$G$1236,기상자료!$A$2:$A$1236,INDEX(지점목록!$C$2:$C$96,MATCH($B$4,지점목록!$A$2:$A$96,0)),기상자료!$D$2:$D$1236,$A22)</f>
        <v/>
      </c>
      <c r="I22" s="141">
        <f>SUMIFS(기상자료!$H$2:$H$1236,기상자료!$A$2:$A$1236,INDEX(지점목록!$C$2:$C$96,MATCH($B$4,지점목록!$A$2:$A$96,0)),기상자료!$D$2:$D$1236,$A22)</f>
        <v/>
      </c>
      <c r="J22" s="141">
        <f>SUMIFS(기상자료!$I$2:$I$1236,기상자료!$A$2:$A$1236,INDEX(지점목록!$C$2:$C$96,MATCH($B$4,지점목록!$A$2:$A$96,0)),기상자료!$D$2:$D$1236,$A22)</f>
        <v/>
      </c>
      <c r="K22" s="141">
        <f>SUMIFS(기상자료!$J$2:$J$1236,기상자료!$A$2:$A$1236,INDEX(지점목록!$C$2:$C$96,MATCH($B$4,지점목록!$A$2:$A$96,0)),기상자료!$D$2:$D$1236,$A22)</f>
        <v/>
      </c>
      <c r="L22" s="141">
        <f>SUMIFS(기상자료!$K$2:$K$1236,기상자료!$A$2:$A$1236,INDEX(지점목록!$C$2:$C$96,MATCH($B$4,지점목록!$A$2:$A$96,0)),기상자료!$D$2:$D$1236,$A22)</f>
        <v/>
      </c>
      <c r="M22" s="141">
        <f>SUMIFS(기상자료!$L$2:$L$1236,기상자료!$A$2:$A$1236,INDEX(지점목록!$C$2:$C$96,MATCH($B$4,지점목록!$A$2:$A$96,0)),기상자료!$D$2:$D$1236,$A22)</f>
        <v/>
      </c>
      <c r="N22" s="141">
        <f>SUMIFS(기상자료!$M$2:$M$1236,기상자료!$A$2:$A$1236,INDEX(지점목록!$C$2:$C$96,MATCH($B$4,지점목록!$A$2:$A$96,0)),기상자료!$D$2:$D$1236,$A22)</f>
        <v/>
      </c>
      <c r="O22" s="141">
        <f>SUMIFS(기상자료!$N$2:$N$1236,기상자료!$A$2:$A$1236,INDEX(지점목록!$C$2:$C$96,MATCH($B$4,지점목록!$A$2:$A$96,0)),기상자료!$D$2:$D$1236,$A22)</f>
        <v/>
      </c>
      <c r="P22" s="141">
        <f>SUMIFS(기상자료!$O$2:$O$1236,기상자료!$A$2:$A$1236,INDEX(지점목록!$C$2:$C$96,MATCH($B$4,지점목록!$A$2:$A$96,0)),기상자료!$D$2:$D$1236,$A22)</f>
        <v/>
      </c>
      <c r="Q22" s="141">
        <f>SUMIFS(기상자료!$P$2:$P$1236,기상자료!$A$2:$A$1236,INDEX(지점목록!$C$2:$C$96,MATCH($B$4,지점목록!$A$2:$A$96,0)),기상자료!$D$2:$D$1236,$A22)</f>
        <v/>
      </c>
      <c r="R22" s="141">
        <f>SUMIFS(기상자료!$Q$2:$Q$1236,기상자료!$A$2:$A$1236,INDEX(지점목록!$C$2:$C$96,MATCH($B$4,지점목록!$A$2:$A$96,0)),기상자료!$D$2:$D$1236,$A22)</f>
        <v/>
      </c>
      <c r="S22" s="141">
        <f>SUM(G22:R22)</f>
        <v/>
      </c>
    </row>
    <row r="23">
      <c r="A23" s="141" t="n">
        <v>10</v>
      </c>
      <c r="B23" s="141" t="inlineStr">
        <is>
          <t>일강수량：5㎜ 이상</t>
        </is>
      </c>
      <c r="C23" s="143" t="inlineStr">
        <is>
          <t>X</t>
        </is>
      </c>
      <c r="D23" s="143" t="inlineStr">
        <is>
          <t>O</t>
        </is>
      </c>
      <c r="E23" s="143" t="inlineStr">
        <is>
          <t>X</t>
        </is>
      </c>
      <c r="F23" s="143" t="inlineStr">
        <is>
          <t>X</t>
        </is>
      </c>
      <c r="G23" s="141">
        <f>SUMIFS(기상자료!$F$2:$F$1236,기상자료!$A$2:$A$1236,INDEX(지점목록!$C$2:$C$96,MATCH($B$4,지점목록!$A$2:$A$96,0)),기상자료!$D$2:$D$1236,$A23)</f>
        <v/>
      </c>
      <c r="H23" s="141">
        <f>SUMIFS(기상자료!$G$2:$G$1236,기상자료!$A$2:$A$1236,INDEX(지점목록!$C$2:$C$96,MATCH($B$4,지점목록!$A$2:$A$96,0)),기상자료!$D$2:$D$1236,$A23)</f>
        <v/>
      </c>
      <c r="I23" s="141">
        <f>SUMIFS(기상자료!$H$2:$H$1236,기상자료!$A$2:$A$1236,INDEX(지점목록!$C$2:$C$96,MATCH($B$4,지점목록!$A$2:$A$96,0)),기상자료!$D$2:$D$1236,$A23)</f>
        <v/>
      </c>
      <c r="J23" s="141">
        <f>SUMIFS(기상자료!$I$2:$I$1236,기상자료!$A$2:$A$1236,INDEX(지점목록!$C$2:$C$96,MATCH($B$4,지점목록!$A$2:$A$96,0)),기상자료!$D$2:$D$1236,$A23)</f>
        <v/>
      </c>
      <c r="K23" s="141">
        <f>SUMIFS(기상자료!$J$2:$J$1236,기상자료!$A$2:$A$1236,INDEX(지점목록!$C$2:$C$96,MATCH($B$4,지점목록!$A$2:$A$96,0)),기상자료!$D$2:$D$1236,$A23)</f>
        <v/>
      </c>
      <c r="L23" s="141">
        <f>SUMIFS(기상자료!$K$2:$K$1236,기상자료!$A$2:$A$1236,INDEX(지점목록!$C$2:$C$96,MATCH($B$4,지점목록!$A$2:$A$96,0)),기상자료!$D$2:$D$1236,$A23)</f>
        <v/>
      </c>
      <c r="M23" s="141">
        <f>SUMIFS(기상자료!$L$2:$L$1236,기상자료!$A$2:$A$1236,INDEX(지점목록!$C$2:$C$96,MATCH($B$4,지점목록!$A$2:$A$96,0)),기상자료!$D$2:$D$1236,$A23)</f>
        <v/>
      </c>
      <c r="N23" s="141">
        <f>SUMIFS(기상자료!$M$2:$M$1236,기상자료!$A$2:$A$1236,INDEX(지점목록!$C$2:$C$96,MATCH($B$4,지점목록!$A$2:$A$96,0)),기상자료!$D$2:$D$1236,$A23)</f>
        <v/>
      </c>
      <c r="O23" s="141">
        <f>SUMIFS(기상자료!$N$2:$N$1236,기상자료!$A$2:$A$1236,INDEX(지점목록!$C$2:$C$96,MATCH($B$4,지점목록!$A$2:$A$96,0)),기상자료!$D$2:$D$1236,$A23)</f>
        <v/>
      </c>
      <c r="P23" s="141">
        <f>SUMIFS(기상자료!$O$2:$O$1236,기상자료!$A$2:$A$1236,INDEX(지점목록!$C$2:$C$96,MATCH($B$4,지점목록!$A$2:$A$96,0)),기상자료!$D$2:$D$1236,$A23)</f>
        <v/>
      </c>
      <c r="Q23" s="141">
        <f>SUMIFS(기상자료!$P$2:$P$1236,기상자료!$A$2:$A$1236,INDEX(지점목록!$C$2:$C$96,MATCH($B$4,지점목록!$A$2:$A$96,0)),기상자료!$D$2:$D$1236,$A23)</f>
        <v/>
      </c>
      <c r="R23" s="141">
        <f>SUMIFS(기상자료!$Q$2:$Q$1236,기상자료!$A$2:$A$1236,INDEX(지점목록!$C$2:$C$96,MATCH($B$4,지점목록!$A$2:$A$96,0)),기상자료!$D$2:$D$1236,$A23)</f>
        <v/>
      </c>
      <c r="S23" s="141">
        <f>SUM(G23:R23)</f>
        <v/>
      </c>
    </row>
    <row r="24">
      <c r="A24" s="141" t="n">
        <v>11</v>
      </c>
      <c r="B24" s="141" t="inlineStr">
        <is>
          <t>일강수량：10㎜ 이상</t>
        </is>
      </c>
      <c r="C24" s="143" t="inlineStr">
        <is>
          <t>X</t>
        </is>
      </c>
      <c r="D24" s="143" t="inlineStr">
        <is>
          <t>X</t>
        </is>
      </c>
      <c r="E24" s="143" t="inlineStr">
        <is>
          <t>X</t>
        </is>
      </c>
      <c r="F24" s="143" t="inlineStr">
        <is>
          <t>X</t>
        </is>
      </c>
      <c r="G24" s="141">
        <f>SUMIFS(기상자료!$F$2:$F$1236,기상자료!$A$2:$A$1236,INDEX(지점목록!$C$2:$C$96,MATCH($B$4,지점목록!$A$2:$A$96,0)),기상자료!$D$2:$D$1236,$A24)</f>
        <v/>
      </c>
      <c r="H24" s="141">
        <f>SUMIFS(기상자료!$G$2:$G$1236,기상자료!$A$2:$A$1236,INDEX(지점목록!$C$2:$C$96,MATCH($B$4,지점목록!$A$2:$A$96,0)),기상자료!$D$2:$D$1236,$A24)</f>
        <v/>
      </c>
      <c r="I24" s="141">
        <f>SUMIFS(기상자료!$H$2:$H$1236,기상자료!$A$2:$A$1236,INDEX(지점목록!$C$2:$C$96,MATCH($B$4,지점목록!$A$2:$A$96,0)),기상자료!$D$2:$D$1236,$A24)</f>
        <v/>
      </c>
      <c r="J24" s="141">
        <f>SUMIFS(기상자료!$I$2:$I$1236,기상자료!$A$2:$A$1236,INDEX(지점목록!$C$2:$C$96,MATCH($B$4,지점목록!$A$2:$A$96,0)),기상자료!$D$2:$D$1236,$A24)</f>
        <v/>
      </c>
      <c r="K24" s="141">
        <f>SUMIFS(기상자료!$J$2:$J$1236,기상자료!$A$2:$A$1236,INDEX(지점목록!$C$2:$C$96,MATCH($B$4,지점목록!$A$2:$A$96,0)),기상자료!$D$2:$D$1236,$A24)</f>
        <v/>
      </c>
      <c r="L24" s="141">
        <f>SUMIFS(기상자료!$K$2:$K$1236,기상자료!$A$2:$A$1236,INDEX(지점목록!$C$2:$C$96,MATCH($B$4,지점목록!$A$2:$A$96,0)),기상자료!$D$2:$D$1236,$A24)</f>
        <v/>
      </c>
      <c r="M24" s="141">
        <f>SUMIFS(기상자료!$L$2:$L$1236,기상자료!$A$2:$A$1236,INDEX(지점목록!$C$2:$C$96,MATCH($B$4,지점목록!$A$2:$A$96,0)),기상자료!$D$2:$D$1236,$A24)</f>
        <v/>
      </c>
      <c r="N24" s="141">
        <f>SUMIFS(기상자료!$M$2:$M$1236,기상자료!$A$2:$A$1236,INDEX(지점목록!$C$2:$C$96,MATCH($B$4,지점목록!$A$2:$A$96,0)),기상자료!$D$2:$D$1236,$A24)</f>
        <v/>
      </c>
      <c r="O24" s="141">
        <f>SUMIFS(기상자료!$N$2:$N$1236,기상자료!$A$2:$A$1236,INDEX(지점목록!$C$2:$C$96,MATCH($B$4,지점목록!$A$2:$A$96,0)),기상자료!$D$2:$D$1236,$A24)</f>
        <v/>
      </c>
      <c r="P24" s="141">
        <f>SUMIFS(기상자료!$O$2:$O$1236,기상자료!$A$2:$A$1236,INDEX(지점목록!$C$2:$C$96,MATCH($B$4,지점목록!$A$2:$A$96,0)),기상자료!$D$2:$D$1236,$A24)</f>
        <v/>
      </c>
      <c r="Q24" s="141">
        <f>SUMIFS(기상자료!$P$2:$P$1236,기상자료!$A$2:$A$1236,INDEX(지점목록!$C$2:$C$96,MATCH($B$4,지점목록!$A$2:$A$96,0)),기상자료!$D$2:$D$1236,$A24)</f>
        <v/>
      </c>
      <c r="R24" s="141">
        <f>SUMIFS(기상자료!$Q$2:$Q$1236,기상자료!$A$2:$A$1236,INDEX(지점목록!$C$2:$C$96,MATCH($B$4,지점목록!$A$2:$A$96,0)),기상자료!$D$2:$D$1236,$A24)</f>
        <v/>
      </c>
      <c r="S24" s="141">
        <f>SUM(G24:R24)</f>
        <v/>
      </c>
    </row>
    <row r="25">
      <c r="A25" s="141" t="n">
        <v>12</v>
      </c>
      <c r="B25" s="141" t="inlineStr">
        <is>
          <t>일강수량：20㎜ 이상</t>
        </is>
      </c>
      <c r="C25" s="143" t="inlineStr">
        <is>
          <t>X</t>
        </is>
      </c>
      <c r="D25" s="143" t="inlineStr">
        <is>
          <t>X</t>
        </is>
      </c>
      <c r="E25" s="143" t="inlineStr">
        <is>
          <t>X</t>
        </is>
      </c>
      <c r="F25" s="143" t="inlineStr">
        <is>
          <t>X</t>
        </is>
      </c>
      <c r="G25" s="141">
        <f>SUMIFS(기상자료!$F$2:$F$1236,기상자료!$A$2:$A$1236,INDEX(지점목록!$C$2:$C$96,MATCH($B$4,지점목록!$A$2:$A$96,0)),기상자료!$D$2:$D$1236,$A25)</f>
        <v/>
      </c>
      <c r="H25" s="141">
        <f>SUMIFS(기상자료!$G$2:$G$1236,기상자료!$A$2:$A$1236,INDEX(지점목록!$C$2:$C$96,MATCH($B$4,지점목록!$A$2:$A$96,0)),기상자료!$D$2:$D$1236,$A25)</f>
        <v/>
      </c>
      <c r="I25" s="141">
        <f>SUMIFS(기상자료!$H$2:$H$1236,기상자료!$A$2:$A$1236,INDEX(지점목록!$C$2:$C$96,MATCH($B$4,지점목록!$A$2:$A$96,0)),기상자료!$D$2:$D$1236,$A25)</f>
        <v/>
      </c>
      <c r="J25" s="141">
        <f>SUMIFS(기상자료!$I$2:$I$1236,기상자료!$A$2:$A$1236,INDEX(지점목록!$C$2:$C$96,MATCH($B$4,지점목록!$A$2:$A$96,0)),기상자료!$D$2:$D$1236,$A25)</f>
        <v/>
      </c>
      <c r="K25" s="141">
        <f>SUMIFS(기상자료!$J$2:$J$1236,기상자료!$A$2:$A$1236,INDEX(지점목록!$C$2:$C$96,MATCH($B$4,지점목록!$A$2:$A$96,0)),기상자료!$D$2:$D$1236,$A25)</f>
        <v/>
      </c>
      <c r="L25" s="141">
        <f>SUMIFS(기상자료!$K$2:$K$1236,기상자료!$A$2:$A$1236,INDEX(지점목록!$C$2:$C$96,MATCH($B$4,지점목록!$A$2:$A$96,0)),기상자료!$D$2:$D$1236,$A25)</f>
        <v/>
      </c>
      <c r="M25" s="141">
        <f>SUMIFS(기상자료!$L$2:$L$1236,기상자료!$A$2:$A$1236,INDEX(지점목록!$C$2:$C$96,MATCH($B$4,지점목록!$A$2:$A$96,0)),기상자료!$D$2:$D$1236,$A25)</f>
        <v/>
      </c>
      <c r="N25" s="141">
        <f>SUMIFS(기상자료!$M$2:$M$1236,기상자료!$A$2:$A$1236,INDEX(지점목록!$C$2:$C$96,MATCH($B$4,지점목록!$A$2:$A$96,0)),기상자료!$D$2:$D$1236,$A25)</f>
        <v/>
      </c>
      <c r="O25" s="141">
        <f>SUMIFS(기상자료!$N$2:$N$1236,기상자료!$A$2:$A$1236,INDEX(지점목록!$C$2:$C$96,MATCH($B$4,지점목록!$A$2:$A$96,0)),기상자료!$D$2:$D$1236,$A25)</f>
        <v/>
      </c>
      <c r="P25" s="141">
        <f>SUMIFS(기상자료!$O$2:$O$1236,기상자료!$A$2:$A$1236,INDEX(지점목록!$C$2:$C$96,MATCH($B$4,지점목록!$A$2:$A$96,0)),기상자료!$D$2:$D$1236,$A25)</f>
        <v/>
      </c>
      <c r="Q25" s="141">
        <f>SUMIFS(기상자료!$P$2:$P$1236,기상자료!$A$2:$A$1236,INDEX(지점목록!$C$2:$C$96,MATCH($B$4,지점목록!$A$2:$A$96,0)),기상자료!$D$2:$D$1236,$A25)</f>
        <v/>
      </c>
      <c r="R25" s="141">
        <f>SUMIFS(기상자료!$Q$2:$Q$1236,기상자료!$A$2:$A$1236,INDEX(지점목록!$C$2:$C$96,MATCH($B$4,지점목록!$A$2:$A$96,0)),기상자료!$D$2:$D$1236,$A25)</f>
        <v/>
      </c>
      <c r="S25" s="141">
        <f>SUM(G25:R25)</f>
        <v/>
      </c>
    </row>
    <row r="26">
      <c r="A26" s="141" t="n">
        <v>13</v>
      </c>
      <c r="B26" s="141" t="inlineStr">
        <is>
          <t>일최대순간풍속：15m/s 이상</t>
        </is>
      </c>
      <c r="C26" s="143" t="inlineStr">
        <is>
          <t>O</t>
        </is>
      </c>
      <c r="D26" s="143" t="inlineStr">
        <is>
          <t>O</t>
        </is>
      </c>
      <c r="E26" s="143" t="inlineStr">
        <is>
          <t>X</t>
        </is>
      </c>
      <c r="F26" s="143" t="inlineStr">
        <is>
          <t>X</t>
        </is>
      </c>
      <c r="G26" s="141">
        <f>SUMIFS(기상자료!$F$2:$F$1236,기상자료!$A$2:$A$1236,INDEX(지점목록!$C$2:$C$96,MATCH($B$4,지점목록!$A$2:$A$96,0)),기상자료!$D$2:$D$1236,$A26)</f>
        <v/>
      </c>
      <c r="H26" s="141">
        <f>SUMIFS(기상자료!$G$2:$G$1236,기상자료!$A$2:$A$1236,INDEX(지점목록!$C$2:$C$96,MATCH($B$4,지점목록!$A$2:$A$96,0)),기상자료!$D$2:$D$1236,$A26)</f>
        <v/>
      </c>
      <c r="I26" s="141">
        <f>SUMIFS(기상자료!$H$2:$H$1236,기상자료!$A$2:$A$1236,INDEX(지점목록!$C$2:$C$96,MATCH($B$4,지점목록!$A$2:$A$96,0)),기상자료!$D$2:$D$1236,$A26)</f>
        <v/>
      </c>
      <c r="J26" s="141">
        <f>SUMIFS(기상자료!$I$2:$I$1236,기상자료!$A$2:$A$1236,INDEX(지점목록!$C$2:$C$96,MATCH($B$4,지점목록!$A$2:$A$96,0)),기상자료!$D$2:$D$1236,$A26)</f>
        <v/>
      </c>
      <c r="K26" s="141">
        <f>SUMIFS(기상자료!$J$2:$J$1236,기상자료!$A$2:$A$1236,INDEX(지점목록!$C$2:$C$96,MATCH($B$4,지점목록!$A$2:$A$96,0)),기상자료!$D$2:$D$1236,$A26)</f>
        <v/>
      </c>
      <c r="L26" s="141">
        <f>SUMIFS(기상자료!$K$2:$K$1236,기상자료!$A$2:$A$1236,INDEX(지점목록!$C$2:$C$96,MATCH($B$4,지점목록!$A$2:$A$96,0)),기상자료!$D$2:$D$1236,$A26)</f>
        <v/>
      </c>
      <c r="M26" s="141">
        <f>SUMIFS(기상자료!$L$2:$L$1236,기상자료!$A$2:$A$1236,INDEX(지점목록!$C$2:$C$96,MATCH($B$4,지점목록!$A$2:$A$96,0)),기상자료!$D$2:$D$1236,$A26)</f>
        <v/>
      </c>
      <c r="N26" s="141">
        <f>SUMIFS(기상자료!$M$2:$M$1236,기상자료!$A$2:$A$1236,INDEX(지점목록!$C$2:$C$96,MATCH($B$4,지점목록!$A$2:$A$96,0)),기상자료!$D$2:$D$1236,$A26)</f>
        <v/>
      </c>
      <c r="O26" s="141">
        <f>SUMIFS(기상자료!$N$2:$N$1236,기상자료!$A$2:$A$1236,INDEX(지점목록!$C$2:$C$96,MATCH($B$4,지점목록!$A$2:$A$96,0)),기상자료!$D$2:$D$1236,$A26)</f>
        <v/>
      </c>
      <c r="P26" s="141">
        <f>SUMIFS(기상자료!$O$2:$O$1236,기상자료!$A$2:$A$1236,INDEX(지점목록!$C$2:$C$96,MATCH($B$4,지점목록!$A$2:$A$96,0)),기상자료!$D$2:$D$1236,$A26)</f>
        <v/>
      </c>
      <c r="Q26" s="141">
        <f>SUMIFS(기상자료!$P$2:$P$1236,기상자료!$A$2:$A$1236,INDEX(지점목록!$C$2:$C$96,MATCH($B$4,지점목록!$A$2:$A$96,0)),기상자료!$D$2:$D$1236,$A26)</f>
        <v/>
      </c>
      <c r="R26" s="141">
        <f>SUMIFS(기상자료!$Q$2:$Q$1236,기상자료!$A$2:$A$1236,INDEX(지점목록!$C$2:$C$96,MATCH($B$4,지점목록!$A$2:$A$96,0)),기상자료!$D$2:$D$1236,$A26)</f>
        <v/>
      </c>
      <c r="S26" s="141">
        <f>SUM(G26:R26)</f>
        <v/>
      </c>
    </row>
    <row r="27">
      <c r="B27" s="131" t="inlineStr">
        <is>
          <t>세트1 기후여건 A 합계</t>
        </is>
      </c>
      <c r="G27" s="144">
        <f>SUMPRODUCT((C$14:C$26="O")*G$14:G$26)</f>
        <v/>
      </c>
      <c r="H27" s="144">
        <f>SUMPRODUCT((C$14:C$26="O")*H$14:H$26)</f>
        <v/>
      </c>
      <c r="I27" s="144">
        <f>SUMPRODUCT((C$14:C$26="O")*I$14:I$26)</f>
        <v/>
      </c>
      <c r="J27" s="144">
        <f>SUMPRODUCT((C$14:C$26="O")*J$14:J$26)</f>
        <v/>
      </c>
      <c r="K27" s="144">
        <f>SUMPRODUCT((C$14:C$26="O")*K$14:K$26)</f>
        <v/>
      </c>
      <c r="L27" s="144">
        <f>SUMPRODUCT((C$14:C$26="O")*L$14:L$26)</f>
        <v/>
      </c>
      <c r="M27" s="144">
        <f>SUMPRODUCT((C$14:C$26="O")*M$14:M$26)</f>
        <v/>
      </c>
      <c r="N27" s="144">
        <f>SUMPRODUCT((C$14:C$26="O")*N$14:N$26)</f>
        <v/>
      </c>
      <c r="O27" s="144">
        <f>SUMPRODUCT((C$14:C$26="O")*O$14:O$26)</f>
        <v/>
      </c>
      <c r="P27" s="144">
        <f>SUMPRODUCT((C$14:C$26="O")*P$14:P$26)</f>
        <v/>
      </c>
      <c r="Q27" s="144">
        <f>SUMPRODUCT((C$14:C$26="O")*Q$14:Q$26)</f>
        <v/>
      </c>
      <c r="R27" s="144">
        <f>SUMPRODUCT((C$14:C$26="O")*R$14:R$26)</f>
        <v/>
      </c>
      <c r="S27">
        <f>SUM(G27:R27)</f>
        <v/>
      </c>
    </row>
    <row r="28">
      <c r="B28" s="131" t="inlineStr">
        <is>
          <t>세트2 기후여건 A 합계</t>
        </is>
      </c>
      <c r="G28" s="144">
        <f>SUMPRODUCT((D$14:D$26="O")*G$14:G$26)</f>
        <v/>
      </c>
      <c r="H28" s="144">
        <f>SUMPRODUCT((D$14:D$26="O")*H$14:H$26)</f>
        <v/>
      </c>
      <c r="I28" s="144">
        <f>SUMPRODUCT((D$14:D$26="O")*I$14:I$26)</f>
        <v/>
      </c>
      <c r="J28" s="144">
        <f>SUMPRODUCT((D$14:D$26="O")*J$14:J$26)</f>
        <v/>
      </c>
      <c r="K28" s="144">
        <f>SUMPRODUCT((D$14:D$26="O")*K$14:K$26)</f>
        <v/>
      </c>
      <c r="L28" s="144">
        <f>SUMPRODUCT((D$14:D$26="O")*L$14:L$26)</f>
        <v/>
      </c>
      <c r="M28" s="144">
        <f>SUMPRODUCT((D$14:D$26="O")*M$14:M$26)</f>
        <v/>
      </c>
      <c r="N28" s="144">
        <f>SUMPRODUCT((D$14:D$26="O")*N$14:N$26)</f>
        <v/>
      </c>
      <c r="O28" s="144">
        <f>SUMPRODUCT((D$14:D$26="O")*O$14:O$26)</f>
        <v/>
      </c>
      <c r="P28" s="144">
        <f>SUMPRODUCT((D$14:D$26="O")*P$14:P$26)</f>
        <v/>
      </c>
      <c r="Q28" s="144">
        <f>SUMPRODUCT((D$14:D$26="O")*Q$14:Q$26)</f>
        <v/>
      </c>
      <c r="R28" s="144">
        <f>SUMPRODUCT((D$14:D$26="O")*R$14:R$26)</f>
        <v/>
      </c>
      <c r="S28">
        <f>SUM(G28:R28)</f>
        <v/>
      </c>
    </row>
    <row r="29">
      <c r="B29" s="131" t="inlineStr">
        <is>
          <t>세트3 기후여건 A 합계</t>
        </is>
      </c>
      <c r="G29" s="144">
        <f>SUMPRODUCT((E$14:E$26="O")*G$14:G$26)</f>
        <v/>
      </c>
      <c r="H29" s="144">
        <f>SUMPRODUCT((E$14:E$26="O")*H$14:H$26)</f>
        <v/>
      </c>
      <c r="I29" s="144">
        <f>SUMPRODUCT((E$14:E$26="O")*I$14:I$26)</f>
        <v/>
      </c>
      <c r="J29" s="144">
        <f>SUMPRODUCT((E$14:E$26="O")*J$14:J$26)</f>
        <v/>
      </c>
      <c r="K29" s="144">
        <f>SUMPRODUCT((E$14:E$26="O")*K$14:K$26)</f>
        <v/>
      </c>
      <c r="L29" s="144">
        <f>SUMPRODUCT((E$14:E$26="O")*L$14:L$26)</f>
        <v/>
      </c>
      <c r="M29" s="144">
        <f>SUMPRODUCT((E$14:E$26="O")*M$14:M$26)</f>
        <v/>
      </c>
      <c r="N29" s="144">
        <f>SUMPRODUCT((E$14:E$26="O")*N$14:N$26)</f>
        <v/>
      </c>
      <c r="O29" s="144">
        <f>SUMPRODUCT((E$14:E$26="O")*O$14:O$26)</f>
        <v/>
      </c>
      <c r="P29" s="144">
        <f>SUMPRODUCT((E$14:E$26="O")*P$14:P$26)</f>
        <v/>
      </c>
      <c r="Q29" s="144">
        <f>SUMPRODUCT((E$14:E$26="O")*Q$14:Q$26)</f>
        <v/>
      </c>
      <c r="R29" s="144">
        <f>SUMPRODUCT((E$14:E$26="O")*R$14:R$26)</f>
        <v/>
      </c>
      <c r="S29">
        <f>SUM(G29:R29)</f>
        <v/>
      </c>
    </row>
    <row r="30">
      <c r="B30" s="131" t="inlineStr">
        <is>
          <t>세트4 기후여건 A 합계</t>
        </is>
      </c>
      <c r="G30" s="144">
        <f>SUMPRODUCT((F$14:F$26="O")*G$14:G$26)</f>
        <v/>
      </c>
      <c r="H30" s="144">
        <f>SUMPRODUCT((F$14:F$26="O")*H$14:H$26)</f>
        <v/>
      </c>
      <c r="I30" s="144">
        <f>SUMPRODUCT((F$14:F$26="O")*I$14:I$26)</f>
        <v/>
      </c>
      <c r="J30" s="144">
        <f>SUMPRODUCT((F$14:F$26="O")*J$14:J$26)</f>
        <v/>
      </c>
      <c r="K30" s="144">
        <f>SUMPRODUCT((F$14:F$26="O")*K$14:K$26)</f>
        <v/>
      </c>
      <c r="L30" s="144">
        <f>SUMPRODUCT((F$14:F$26="O")*L$14:L$26)</f>
        <v/>
      </c>
      <c r="M30" s="144">
        <f>SUMPRODUCT((F$14:F$26="O")*M$14:M$26)</f>
        <v/>
      </c>
      <c r="N30" s="144">
        <f>SUMPRODUCT((F$14:F$26="O")*N$14:N$26)</f>
        <v/>
      </c>
      <c r="O30" s="144">
        <f>SUMPRODUCT((F$14:F$26="O")*O$14:O$26)</f>
        <v/>
      </c>
      <c r="P30" s="144">
        <f>SUMPRODUCT((F$14:F$26="O")*P$14:P$26)</f>
        <v/>
      </c>
      <c r="Q30" s="144">
        <f>SUMPRODUCT((F$14:F$26="O")*Q$14:Q$26)</f>
        <v/>
      </c>
      <c r="R30" s="144">
        <f>SUMPRODUCT((F$14:F$26="O")*R$14:R$26)</f>
        <v/>
      </c>
      <c r="S30">
        <f>SUM(G30:R30)</f>
        <v/>
      </c>
    </row>
    <row r="32">
      <c r="A32" s="131" t="inlineStr">
        <is>
          <t>공종 목록 분류 (선택 범위 좁히기)</t>
        </is>
      </c>
      <c r="B32" s="139" t="inlineStr">
        <is>
          <t>전체</t>
        </is>
      </c>
      <c r="C32" t="inlineStr">
        <is>
          <t>※ 분류를 고르면 아래 공종 칸의 목록이 그 분류의 공종만 보입니다.</t>
        </is>
      </c>
    </row>
    <row r="33">
      <c r="A33" s="131" t="inlineStr">
        <is>
          <t>▼ 공종별 작업량 입력 (주공정=Y인 공종만 공사기간에 합산, 위에서 아래 순서로 이어서 시공)</t>
        </is>
      </c>
      <c r="F33" t="inlineStr">
        <is>
          <t>※ 공종 삭제=칸 지우기, 추가=빈 줄에서 목록 선택. 1일 작업량·기상세트는 덮어써서 수정 가능.</t>
        </is>
      </c>
    </row>
    <row r="34">
      <c r="A34" s="134" t="inlineStr">
        <is>
          <t>공종 (목록 선택 또는 직접 입력)</t>
        </is>
      </c>
      <c r="B34" s="134" t="inlineStr">
        <is>
          <t>작업수량</t>
        </is>
      </c>
      <c r="C34" s="134" t="inlineStr">
        <is>
          <t>단위</t>
        </is>
      </c>
      <c r="D34" s="134" t="inlineStr">
        <is>
          <t>1일 작업량 (수정 가능)</t>
        </is>
      </c>
      <c r="E34" s="134" t="inlineStr">
        <is>
          <t>주공정(Y/N)</t>
        </is>
      </c>
      <c r="F34" s="134" t="inlineStr">
        <is>
          <t>기상조건 세트</t>
        </is>
      </c>
      <c r="G34" s="134" t="inlineStr">
        <is>
          <t>작업일수</t>
        </is>
      </c>
      <c r="H34" s="134" t="inlineStr">
        <is>
          <t>시작(경과일)</t>
        </is>
      </c>
      <c r="I34" s="134" t="inlineStr">
        <is>
          <t>종료(경과일)</t>
        </is>
      </c>
      <c r="J34" s="134" t="inlineStr">
        <is>
          <t>공종별 공사기간</t>
        </is>
      </c>
      <c r="K34" s="134" t="inlineStr">
        <is>
          <t>비작업일수</t>
        </is>
      </c>
      <c r="L34" s="134" t="inlineStr">
        <is>
          <t>부록4 원문 표기</t>
        </is>
      </c>
      <c r="M34" s="145" t="inlineStr">
        <is>
          <t>세트번호</t>
        </is>
      </c>
      <c r="N34" s="145" t="inlineStr">
        <is>
          <t>시작월 순번</t>
        </is>
      </c>
      <c r="O34" s="145" t="inlineStr">
        <is>
          <t>시작시 누적작업가능</t>
        </is>
      </c>
      <c r="P34" s="145" t="inlineStr">
        <is>
          <t>종료월 순번</t>
        </is>
      </c>
    </row>
    <row r="35">
      <c r="A35" s="139">
        <f>IFERROR(INDEX(공종프리셋!$A$2:$F$16,1,MATCH($B$9,공종프리셋!$A$1:$F$1,0))&amp;"","")</f>
        <v/>
      </c>
      <c r="B35" s="139" t="n"/>
      <c r="C35" s="139">
        <f>IFERROR(INDEX('1일작업량(토목)'!$B$2:$B$115,MATCH($A35,'1일작업량(토목)'!$A$2:$A$115,0)),"")</f>
        <v/>
      </c>
      <c r="D35" s="139">
        <f>IFERROR(INDEX('1일작업량(토목)'!$C$2:$C$115,MATCH($A35,'1일작업량(토목)'!$A$2:$A$115,0)),"")</f>
        <v/>
      </c>
      <c r="E35" s="139">
        <f>IF(A35="","","Y")</f>
        <v/>
      </c>
      <c r="F35" s="139">
        <f>IF(A35="","",IFERROR(INDEX('1일작업량(토목)'!$E$2:$E$115,MATCH($A35,'1일작업량(토목)'!$A$2:$A$115,0)),IF(ISNUMBER(SEARCH("포장",A35)),"세트3","세트1")))</f>
        <v/>
      </c>
      <c r="G35" s="141">
        <f>IF(AND(ISNUMBER(B35),ISNUMBER(D35),N(D35)&gt;0),ROUNDUP(ROUND(B35/D35,6),0),"")</f>
        <v/>
      </c>
      <c r="H35" s="141">
        <f>IF(G35="","",0)</f>
        <v/>
      </c>
      <c r="I35" s="141">
        <f>IF(G35="","",IF(E35&lt;&gt;"Y",H35,IF(P35="기간초과","기간초과",INDEX($F$63:$F$122,P35)+(O35+G35-INDEX(CHOOSE($M35,$K$63:$K$122,$P$63:$P$122,$U$63:$U$122,$Z$63:$Z$122),P35))*INDEX($D$63:$D$122,P35)/INDEX(CHOOSE($M35,$J$63:$J$122,$O$63:$O$122,$T$63:$T$122,$Y$63:$Y$122),P35))))</f>
        <v/>
      </c>
      <c r="J35" s="141">
        <f>IF(G35="","",IF(E35="Y",IF(ISNUMBER(I35),ROUND(I35-H35,1),"기간초과"),"-"))</f>
        <v/>
      </c>
      <c r="K35" s="141">
        <f>IF(ISNUMBER(J35),ROUND(J35-G35,1),"")</f>
        <v/>
      </c>
      <c r="L35" s="141">
        <f>IFERROR(INDEX('1일작업량(토목)'!$D$2:$D$115,MATCH($A35,'1일작업량(토목)'!$A$2:$A$115,0)),"")</f>
        <v/>
      </c>
      <c r="M35" s="146">
        <f>IF(G35="","",IFERROR(MATCH(F35,$C$13:$F$13,0),1))</f>
        <v/>
      </c>
      <c r="N35" s="146">
        <f>IF(G35="","",MATCH(H35,$F$63:$F$122,1))</f>
        <v/>
      </c>
      <c r="O35" s="146">
        <f>IF(G35="","",INDEX(CHOOSE($M35,$K$63:$K$122,$P$63:$P$122,$U$63:$U$122,$Z$63:$Z$122),N35)+(H35-INDEX($F$63:$F$122,N35))*INDEX(CHOOSE($M35,$J$63:$J$122,$O$63:$O$122,$T$63:$T$122,$Y$63:$Y$122),N35)/INDEX($D$63:$D$122,N35))</f>
        <v/>
      </c>
      <c r="P35" s="146">
        <f>IF(G35="","",IF(O35+G35&gt;INDEX(CHOOSE($M35,$K$63:$K$122,$P$63:$P$122,$U$63:$U$122,$Z$63:$Z$122),60)+INDEX(CHOOSE($M35,$J$63:$J$122,$O$63:$O$122,$T$63:$T$122,$Y$63:$Y$122),60),"기간초과",MATCH(O35+G35,CHOOSE($M35,$K$63:$K$122,$P$63:$P$122,$U$63:$U$122,$Z$63:$Z$122),1)))</f>
        <v/>
      </c>
    </row>
    <row r="36">
      <c r="A36" s="139">
        <f>IFERROR(INDEX(공종프리셋!$A$2:$F$16,2,MATCH($B$9,공종프리셋!$A$1:$F$1,0))&amp;"","")</f>
        <v/>
      </c>
      <c r="B36" s="139" t="n"/>
      <c r="C36" s="139">
        <f>IFERROR(INDEX('1일작업량(토목)'!$B$2:$B$115,MATCH($A36,'1일작업량(토목)'!$A$2:$A$115,0)),"")</f>
        <v/>
      </c>
      <c r="D36" s="139">
        <f>IFERROR(INDEX('1일작업량(토목)'!$C$2:$C$115,MATCH($A36,'1일작업량(토목)'!$A$2:$A$115,0)),"")</f>
        <v/>
      </c>
      <c r="E36" s="139">
        <f>IF(A36="","","Y")</f>
        <v/>
      </c>
      <c r="F36" s="139">
        <f>IF(A36="","",IFERROR(INDEX('1일작업량(토목)'!$E$2:$E$115,MATCH($A36,'1일작업량(토목)'!$A$2:$A$115,0)),IF(ISNUMBER(SEARCH("포장",A36)),"세트3","세트1")))</f>
        <v/>
      </c>
      <c r="G36" s="141">
        <f>IF(AND(ISNUMBER(B36),ISNUMBER(D36),N(D36)&gt;0),ROUNDUP(ROUND(B36/D36,6),0),"")</f>
        <v/>
      </c>
      <c r="H36" s="141">
        <f>IF(G36="","",MAX(0,MAX(I$35:I35)))</f>
        <v/>
      </c>
      <c r="I36" s="141">
        <f>IF(G36="","",IF(E36&lt;&gt;"Y",H36,IF(P36="기간초과","기간초과",INDEX($F$63:$F$122,P36)+(O36+G36-INDEX(CHOOSE($M36,$K$63:$K$122,$P$63:$P$122,$U$63:$U$122,$Z$63:$Z$122),P36))*INDEX($D$63:$D$122,P36)/INDEX(CHOOSE($M36,$J$63:$J$122,$O$63:$O$122,$T$63:$T$122,$Y$63:$Y$122),P36))))</f>
        <v/>
      </c>
      <c r="J36" s="141">
        <f>IF(G36="","",IF(E36="Y",IF(ISNUMBER(I36),ROUND(I36-H36,1),"기간초과"),"-"))</f>
        <v/>
      </c>
      <c r="K36" s="141">
        <f>IF(ISNUMBER(J36),ROUND(J36-G36,1),"")</f>
        <v/>
      </c>
      <c r="L36" s="141">
        <f>IFERROR(INDEX('1일작업량(토목)'!$D$2:$D$115,MATCH($A36,'1일작업량(토목)'!$A$2:$A$115,0)),"")</f>
        <v/>
      </c>
      <c r="M36" s="146">
        <f>IF(G36="","",IFERROR(MATCH(F36,$C$13:$F$13,0),1))</f>
        <v/>
      </c>
      <c r="N36" s="146">
        <f>IF(G36="","",MATCH(H36,$F$63:$F$122,1))</f>
        <v/>
      </c>
      <c r="O36" s="146">
        <f>IF(G36="","",INDEX(CHOOSE($M36,$K$63:$K$122,$P$63:$P$122,$U$63:$U$122,$Z$63:$Z$122),N36)+(H36-INDEX($F$63:$F$122,N36))*INDEX(CHOOSE($M36,$J$63:$J$122,$O$63:$O$122,$T$63:$T$122,$Y$63:$Y$122),N36)/INDEX($D$63:$D$122,N36))</f>
        <v/>
      </c>
      <c r="P36" s="146">
        <f>IF(G36="","",IF(O36+G36&gt;INDEX(CHOOSE($M36,$K$63:$K$122,$P$63:$P$122,$U$63:$U$122,$Z$63:$Z$122),60)+INDEX(CHOOSE($M36,$J$63:$J$122,$O$63:$O$122,$T$63:$T$122,$Y$63:$Y$122),60),"기간초과",MATCH(O36+G36,CHOOSE($M36,$K$63:$K$122,$P$63:$P$122,$U$63:$U$122,$Z$63:$Z$122),1)))</f>
        <v/>
      </c>
    </row>
    <row r="37">
      <c r="A37" s="139">
        <f>IFERROR(INDEX(공종프리셋!$A$2:$F$16,3,MATCH($B$9,공종프리셋!$A$1:$F$1,0))&amp;"","")</f>
        <v/>
      </c>
      <c r="B37" s="139" t="n"/>
      <c r="C37" s="139">
        <f>IFERROR(INDEX('1일작업량(토목)'!$B$2:$B$115,MATCH($A37,'1일작업량(토목)'!$A$2:$A$115,0)),"")</f>
        <v/>
      </c>
      <c r="D37" s="139">
        <f>IFERROR(INDEX('1일작업량(토목)'!$C$2:$C$115,MATCH($A37,'1일작업량(토목)'!$A$2:$A$115,0)),"")</f>
        <v/>
      </c>
      <c r="E37" s="139">
        <f>IF(A37="","","Y")</f>
        <v/>
      </c>
      <c r="F37" s="139">
        <f>IF(A37="","",IFERROR(INDEX('1일작업량(토목)'!$E$2:$E$115,MATCH($A37,'1일작업량(토목)'!$A$2:$A$115,0)),IF(ISNUMBER(SEARCH("포장",A37)),"세트3","세트1")))</f>
        <v/>
      </c>
      <c r="G37" s="141">
        <f>IF(AND(ISNUMBER(B37),ISNUMBER(D37),N(D37)&gt;0),ROUNDUP(ROUND(B37/D37,6),0),"")</f>
        <v/>
      </c>
      <c r="H37" s="141">
        <f>IF(G37="","",MAX(0,MAX(I$35:I36)))</f>
        <v/>
      </c>
      <c r="I37" s="141">
        <f>IF(G37="","",IF(E37&lt;&gt;"Y",H37,IF(P37="기간초과","기간초과",INDEX($F$63:$F$122,P37)+(O37+G37-INDEX(CHOOSE($M37,$K$63:$K$122,$P$63:$P$122,$U$63:$U$122,$Z$63:$Z$122),P37))*INDEX($D$63:$D$122,P37)/INDEX(CHOOSE($M37,$J$63:$J$122,$O$63:$O$122,$T$63:$T$122,$Y$63:$Y$122),P37))))</f>
        <v/>
      </c>
      <c r="J37" s="141">
        <f>IF(G37="","",IF(E37="Y",IF(ISNUMBER(I37),ROUND(I37-H37,1),"기간초과"),"-"))</f>
        <v/>
      </c>
      <c r="K37" s="141">
        <f>IF(ISNUMBER(J37),ROUND(J37-G37,1),"")</f>
        <v/>
      </c>
      <c r="L37" s="141">
        <f>IFERROR(INDEX('1일작업량(토목)'!$D$2:$D$115,MATCH($A37,'1일작업량(토목)'!$A$2:$A$115,0)),"")</f>
        <v/>
      </c>
      <c r="M37" s="146">
        <f>IF(G37="","",IFERROR(MATCH(F37,$C$13:$F$13,0),1))</f>
        <v/>
      </c>
      <c r="N37" s="146">
        <f>IF(G37="","",MATCH(H37,$F$63:$F$122,1))</f>
        <v/>
      </c>
      <c r="O37" s="146">
        <f>IF(G37="","",INDEX(CHOOSE($M37,$K$63:$K$122,$P$63:$P$122,$U$63:$U$122,$Z$63:$Z$122),N37)+(H37-INDEX($F$63:$F$122,N37))*INDEX(CHOOSE($M37,$J$63:$J$122,$O$63:$O$122,$T$63:$T$122,$Y$63:$Y$122),N37)/INDEX($D$63:$D$122,N37))</f>
        <v/>
      </c>
      <c r="P37" s="146">
        <f>IF(G37="","",IF(O37+G37&gt;INDEX(CHOOSE($M37,$K$63:$K$122,$P$63:$P$122,$U$63:$U$122,$Z$63:$Z$122),60)+INDEX(CHOOSE($M37,$J$63:$J$122,$O$63:$O$122,$T$63:$T$122,$Y$63:$Y$122),60),"기간초과",MATCH(O37+G37,CHOOSE($M37,$K$63:$K$122,$P$63:$P$122,$U$63:$U$122,$Z$63:$Z$122),1)))</f>
        <v/>
      </c>
    </row>
    <row r="38">
      <c r="A38" s="139">
        <f>IFERROR(INDEX(공종프리셋!$A$2:$F$16,4,MATCH($B$9,공종프리셋!$A$1:$F$1,0))&amp;"","")</f>
        <v/>
      </c>
      <c r="B38" s="139" t="n"/>
      <c r="C38" s="139">
        <f>IFERROR(INDEX('1일작업량(토목)'!$B$2:$B$115,MATCH($A38,'1일작업량(토목)'!$A$2:$A$115,0)),"")</f>
        <v/>
      </c>
      <c r="D38" s="139">
        <f>IFERROR(INDEX('1일작업량(토목)'!$C$2:$C$115,MATCH($A38,'1일작업량(토목)'!$A$2:$A$115,0)),"")</f>
        <v/>
      </c>
      <c r="E38" s="139">
        <f>IF(A38="","","Y")</f>
        <v/>
      </c>
      <c r="F38" s="139">
        <f>IF(A38="","",IFERROR(INDEX('1일작업량(토목)'!$E$2:$E$115,MATCH($A38,'1일작업량(토목)'!$A$2:$A$115,0)),IF(ISNUMBER(SEARCH("포장",A38)),"세트3","세트1")))</f>
        <v/>
      </c>
      <c r="G38" s="141">
        <f>IF(AND(ISNUMBER(B38),ISNUMBER(D38),N(D38)&gt;0),ROUNDUP(ROUND(B38/D38,6),0),"")</f>
        <v/>
      </c>
      <c r="H38" s="141">
        <f>IF(G38="","",MAX(0,MAX(I$35:I37)))</f>
        <v/>
      </c>
      <c r="I38" s="141">
        <f>IF(G38="","",IF(E38&lt;&gt;"Y",H38,IF(P38="기간초과","기간초과",INDEX($F$63:$F$122,P38)+(O38+G38-INDEX(CHOOSE($M38,$K$63:$K$122,$P$63:$P$122,$U$63:$U$122,$Z$63:$Z$122),P38))*INDEX($D$63:$D$122,P38)/INDEX(CHOOSE($M38,$J$63:$J$122,$O$63:$O$122,$T$63:$T$122,$Y$63:$Y$122),P38))))</f>
        <v/>
      </c>
      <c r="J38" s="141">
        <f>IF(G38="","",IF(E38="Y",IF(ISNUMBER(I38),ROUND(I38-H38,1),"기간초과"),"-"))</f>
        <v/>
      </c>
      <c r="K38" s="141">
        <f>IF(ISNUMBER(J38),ROUND(J38-G38,1),"")</f>
        <v/>
      </c>
      <c r="L38" s="141">
        <f>IFERROR(INDEX('1일작업량(토목)'!$D$2:$D$115,MATCH($A38,'1일작업량(토목)'!$A$2:$A$115,0)),"")</f>
        <v/>
      </c>
      <c r="M38" s="146">
        <f>IF(G38="","",IFERROR(MATCH(F38,$C$13:$F$13,0),1))</f>
        <v/>
      </c>
      <c r="N38" s="146">
        <f>IF(G38="","",MATCH(H38,$F$63:$F$122,1))</f>
        <v/>
      </c>
      <c r="O38" s="146">
        <f>IF(G38="","",INDEX(CHOOSE($M38,$K$63:$K$122,$P$63:$P$122,$U$63:$U$122,$Z$63:$Z$122),N38)+(H38-INDEX($F$63:$F$122,N38))*INDEX(CHOOSE($M38,$J$63:$J$122,$O$63:$O$122,$T$63:$T$122,$Y$63:$Y$122),N38)/INDEX($D$63:$D$122,N38))</f>
        <v/>
      </c>
      <c r="P38" s="146">
        <f>IF(G38="","",IF(O38+G38&gt;INDEX(CHOOSE($M38,$K$63:$K$122,$P$63:$P$122,$U$63:$U$122,$Z$63:$Z$122),60)+INDEX(CHOOSE($M38,$J$63:$J$122,$O$63:$O$122,$T$63:$T$122,$Y$63:$Y$122),60),"기간초과",MATCH(O38+G38,CHOOSE($M38,$K$63:$K$122,$P$63:$P$122,$U$63:$U$122,$Z$63:$Z$122),1)))</f>
        <v/>
      </c>
    </row>
    <row r="39">
      <c r="A39" s="139">
        <f>IFERROR(INDEX(공종프리셋!$A$2:$F$16,5,MATCH($B$9,공종프리셋!$A$1:$F$1,0))&amp;"","")</f>
        <v/>
      </c>
      <c r="B39" s="139" t="n"/>
      <c r="C39" s="139">
        <f>IFERROR(INDEX('1일작업량(토목)'!$B$2:$B$115,MATCH($A39,'1일작업량(토목)'!$A$2:$A$115,0)),"")</f>
        <v/>
      </c>
      <c r="D39" s="139">
        <f>IFERROR(INDEX('1일작업량(토목)'!$C$2:$C$115,MATCH($A39,'1일작업량(토목)'!$A$2:$A$115,0)),"")</f>
        <v/>
      </c>
      <c r="E39" s="139">
        <f>IF(A39="","","Y")</f>
        <v/>
      </c>
      <c r="F39" s="139">
        <f>IF(A39="","",IFERROR(INDEX('1일작업량(토목)'!$E$2:$E$115,MATCH($A39,'1일작업량(토목)'!$A$2:$A$115,0)),IF(ISNUMBER(SEARCH("포장",A39)),"세트3","세트1")))</f>
        <v/>
      </c>
      <c r="G39" s="141">
        <f>IF(AND(ISNUMBER(B39),ISNUMBER(D39),N(D39)&gt;0),ROUNDUP(ROUND(B39/D39,6),0),"")</f>
        <v/>
      </c>
      <c r="H39" s="141">
        <f>IF(G39="","",MAX(0,MAX(I$35:I38)))</f>
        <v/>
      </c>
      <c r="I39" s="141">
        <f>IF(G39="","",IF(E39&lt;&gt;"Y",H39,IF(P39="기간초과","기간초과",INDEX($F$63:$F$122,P39)+(O39+G39-INDEX(CHOOSE($M39,$K$63:$K$122,$P$63:$P$122,$U$63:$U$122,$Z$63:$Z$122),P39))*INDEX($D$63:$D$122,P39)/INDEX(CHOOSE($M39,$J$63:$J$122,$O$63:$O$122,$T$63:$T$122,$Y$63:$Y$122),P39))))</f>
        <v/>
      </c>
      <c r="J39" s="141">
        <f>IF(G39="","",IF(E39="Y",IF(ISNUMBER(I39),ROUND(I39-H39,1),"기간초과"),"-"))</f>
        <v/>
      </c>
      <c r="K39" s="141">
        <f>IF(ISNUMBER(J39),ROUND(J39-G39,1),"")</f>
        <v/>
      </c>
      <c r="L39" s="141">
        <f>IFERROR(INDEX('1일작업량(토목)'!$D$2:$D$115,MATCH($A39,'1일작업량(토목)'!$A$2:$A$115,0)),"")</f>
        <v/>
      </c>
      <c r="M39" s="146">
        <f>IF(G39="","",IFERROR(MATCH(F39,$C$13:$F$13,0),1))</f>
        <v/>
      </c>
      <c r="N39" s="146">
        <f>IF(G39="","",MATCH(H39,$F$63:$F$122,1))</f>
        <v/>
      </c>
      <c r="O39" s="146">
        <f>IF(G39="","",INDEX(CHOOSE($M39,$K$63:$K$122,$P$63:$P$122,$U$63:$U$122,$Z$63:$Z$122),N39)+(H39-INDEX($F$63:$F$122,N39))*INDEX(CHOOSE($M39,$J$63:$J$122,$O$63:$O$122,$T$63:$T$122,$Y$63:$Y$122),N39)/INDEX($D$63:$D$122,N39))</f>
        <v/>
      </c>
      <c r="P39" s="146">
        <f>IF(G39="","",IF(O39+G39&gt;INDEX(CHOOSE($M39,$K$63:$K$122,$P$63:$P$122,$U$63:$U$122,$Z$63:$Z$122),60)+INDEX(CHOOSE($M39,$J$63:$J$122,$O$63:$O$122,$T$63:$T$122,$Y$63:$Y$122),60),"기간초과",MATCH(O39+G39,CHOOSE($M39,$K$63:$K$122,$P$63:$P$122,$U$63:$U$122,$Z$63:$Z$122),1)))</f>
        <v/>
      </c>
    </row>
    <row r="40">
      <c r="A40" s="139">
        <f>IFERROR(INDEX(공종프리셋!$A$2:$F$16,6,MATCH($B$9,공종프리셋!$A$1:$F$1,0))&amp;"","")</f>
        <v/>
      </c>
      <c r="B40" s="139" t="n"/>
      <c r="C40" s="139">
        <f>IFERROR(INDEX('1일작업량(토목)'!$B$2:$B$115,MATCH($A40,'1일작업량(토목)'!$A$2:$A$115,0)),"")</f>
        <v/>
      </c>
      <c r="D40" s="139">
        <f>IFERROR(INDEX('1일작업량(토목)'!$C$2:$C$115,MATCH($A40,'1일작업량(토목)'!$A$2:$A$115,0)),"")</f>
        <v/>
      </c>
      <c r="E40" s="139">
        <f>IF(A40="","","Y")</f>
        <v/>
      </c>
      <c r="F40" s="139">
        <f>IF(A40="","",IFERROR(INDEX('1일작업량(토목)'!$E$2:$E$115,MATCH($A40,'1일작업량(토목)'!$A$2:$A$115,0)),IF(ISNUMBER(SEARCH("포장",A40)),"세트3","세트1")))</f>
        <v/>
      </c>
      <c r="G40" s="141">
        <f>IF(AND(ISNUMBER(B40),ISNUMBER(D40),N(D40)&gt;0),ROUNDUP(ROUND(B40/D40,6),0),"")</f>
        <v/>
      </c>
      <c r="H40" s="141">
        <f>IF(G40="","",MAX(0,MAX(I$35:I39)))</f>
        <v/>
      </c>
      <c r="I40" s="141">
        <f>IF(G40="","",IF(E40&lt;&gt;"Y",H40,IF(P40="기간초과","기간초과",INDEX($F$63:$F$122,P40)+(O40+G40-INDEX(CHOOSE($M40,$K$63:$K$122,$P$63:$P$122,$U$63:$U$122,$Z$63:$Z$122),P40))*INDEX($D$63:$D$122,P40)/INDEX(CHOOSE($M40,$J$63:$J$122,$O$63:$O$122,$T$63:$T$122,$Y$63:$Y$122),P40))))</f>
        <v/>
      </c>
      <c r="J40" s="141">
        <f>IF(G40="","",IF(E40="Y",IF(ISNUMBER(I40),ROUND(I40-H40,1),"기간초과"),"-"))</f>
        <v/>
      </c>
      <c r="K40" s="141">
        <f>IF(ISNUMBER(J40),ROUND(J40-G40,1),"")</f>
        <v/>
      </c>
      <c r="L40" s="141">
        <f>IFERROR(INDEX('1일작업량(토목)'!$D$2:$D$115,MATCH($A40,'1일작업량(토목)'!$A$2:$A$115,0)),"")</f>
        <v/>
      </c>
      <c r="M40" s="146">
        <f>IF(G40="","",IFERROR(MATCH(F40,$C$13:$F$13,0),1))</f>
        <v/>
      </c>
      <c r="N40" s="146">
        <f>IF(G40="","",MATCH(H40,$F$63:$F$122,1))</f>
        <v/>
      </c>
      <c r="O40" s="146">
        <f>IF(G40="","",INDEX(CHOOSE($M40,$K$63:$K$122,$P$63:$P$122,$U$63:$U$122,$Z$63:$Z$122),N40)+(H40-INDEX($F$63:$F$122,N40))*INDEX(CHOOSE($M40,$J$63:$J$122,$O$63:$O$122,$T$63:$T$122,$Y$63:$Y$122),N40)/INDEX($D$63:$D$122,N40))</f>
        <v/>
      </c>
      <c r="P40" s="146">
        <f>IF(G40="","",IF(O40+G40&gt;INDEX(CHOOSE($M40,$K$63:$K$122,$P$63:$P$122,$U$63:$U$122,$Z$63:$Z$122),60)+INDEX(CHOOSE($M40,$J$63:$J$122,$O$63:$O$122,$T$63:$T$122,$Y$63:$Y$122),60),"기간초과",MATCH(O40+G40,CHOOSE($M40,$K$63:$K$122,$P$63:$P$122,$U$63:$U$122,$Z$63:$Z$122),1)))</f>
        <v/>
      </c>
    </row>
    <row r="41">
      <c r="A41" s="139">
        <f>IFERROR(INDEX(공종프리셋!$A$2:$F$16,7,MATCH($B$9,공종프리셋!$A$1:$F$1,0))&amp;"","")</f>
        <v/>
      </c>
      <c r="B41" s="139" t="n"/>
      <c r="C41" s="139">
        <f>IFERROR(INDEX('1일작업량(토목)'!$B$2:$B$115,MATCH($A41,'1일작업량(토목)'!$A$2:$A$115,0)),"")</f>
        <v/>
      </c>
      <c r="D41" s="139">
        <f>IFERROR(INDEX('1일작업량(토목)'!$C$2:$C$115,MATCH($A41,'1일작업량(토목)'!$A$2:$A$115,0)),"")</f>
        <v/>
      </c>
      <c r="E41" s="139">
        <f>IF(A41="","","Y")</f>
        <v/>
      </c>
      <c r="F41" s="139">
        <f>IF(A41="","",IFERROR(INDEX('1일작업량(토목)'!$E$2:$E$115,MATCH($A41,'1일작업량(토목)'!$A$2:$A$115,0)),IF(ISNUMBER(SEARCH("포장",A41)),"세트3","세트1")))</f>
        <v/>
      </c>
      <c r="G41" s="141">
        <f>IF(AND(ISNUMBER(B41),ISNUMBER(D41),N(D41)&gt;0),ROUNDUP(ROUND(B41/D41,6),0),"")</f>
        <v/>
      </c>
      <c r="H41" s="141">
        <f>IF(G41="","",MAX(0,MAX(I$35:I40)))</f>
        <v/>
      </c>
      <c r="I41" s="141">
        <f>IF(G41="","",IF(E41&lt;&gt;"Y",H41,IF(P41="기간초과","기간초과",INDEX($F$63:$F$122,P41)+(O41+G41-INDEX(CHOOSE($M41,$K$63:$K$122,$P$63:$P$122,$U$63:$U$122,$Z$63:$Z$122),P41))*INDEX($D$63:$D$122,P41)/INDEX(CHOOSE($M41,$J$63:$J$122,$O$63:$O$122,$T$63:$T$122,$Y$63:$Y$122),P41))))</f>
        <v/>
      </c>
      <c r="J41" s="141">
        <f>IF(G41="","",IF(E41="Y",IF(ISNUMBER(I41),ROUND(I41-H41,1),"기간초과"),"-"))</f>
        <v/>
      </c>
      <c r="K41" s="141">
        <f>IF(ISNUMBER(J41),ROUND(J41-G41,1),"")</f>
        <v/>
      </c>
      <c r="L41" s="141">
        <f>IFERROR(INDEX('1일작업량(토목)'!$D$2:$D$115,MATCH($A41,'1일작업량(토목)'!$A$2:$A$115,0)),"")</f>
        <v/>
      </c>
      <c r="M41" s="146">
        <f>IF(G41="","",IFERROR(MATCH(F41,$C$13:$F$13,0),1))</f>
        <v/>
      </c>
      <c r="N41" s="146">
        <f>IF(G41="","",MATCH(H41,$F$63:$F$122,1))</f>
        <v/>
      </c>
      <c r="O41" s="146">
        <f>IF(G41="","",INDEX(CHOOSE($M41,$K$63:$K$122,$P$63:$P$122,$U$63:$U$122,$Z$63:$Z$122),N41)+(H41-INDEX($F$63:$F$122,N41))*INDEX(CHOOSE($M41,$J$63:$J$122,$O$63:$O$122,$T$63:$T$122,$Y$63:$Y$122),N41)/INDEX($D$63:$D$122,N41))</f>
        <v/>
      </c>
      <c r="P41" s="146">
        <f>IF(G41="","",IF(O41+G41&gt;INDEX(CHOOSE($M41,$K$63:$K$122,$P$63:$P$122,$U$63:$U$122,$Z$63:$Z$122),60)+INDEX(CHOOSE($M41,$J$63:$J$122,$O$63:$O$122,$T$63:$T$122,$Y$63:$Y$122),60),"기간초과",MATCH(O41+G41,CHOOSE($M41,$K$63:$K$122,$P$63:$P$122,$U$63:$U$122,$Z$63:$Z$122),1)))</f>
        <v/>
      </c>
    </row>
    <row r="42">
      <c r="A42" s="139">
        <f>IFERROR(INDEX(공종프리셋!$A$2:$F$16,8,MATCH($B$9,공종프리셋!$A$1:$F$1,0))&amp;"","")</f>
        <v/>
      </c>
      <c r="B42" s="139" t="n"/>
      <c r="C42" s="139">
        <f>IFERROR(INDEX('1일작업량(토목)'!$B$2:$B$115,MATCH($A42,'1일작업량(토목)'!$A$2:$A$115,0)),"")</f>
        <v/>
      </c>
      <c r="D42" s="139">
        <f>IFERROR(INDEX('1일작업량(토목)'!$C$2:$C$115,MATCH($A42,'1일작업량(토목)'!$A$2:$A$115,0)),"")</f>
        <v/>
      </c>
      <c r="E42" s="139">
        <f>IF(A42="","","Y")</f>
        <v/>
      </c>
      <c r="F42" s="139">
        <f>IF(A42="","",IFERROR(INDEX('1일작업량(토목)'!$E$2:$E$115,MATCH($A42,'1일작업량(토목)'!$A$2:$A$115,0)),IF(ISNUMBER(SEARCH("포장",A42)),"세트3","세트1")))</f>
        <v/>
      </c>
      <c r="G42" s="141">
        <f>IF(AND(ISNUMBER(B42),ISNUMBER(D42),N(D42)&gt;0),ROUNDUP(ROUND(B42/D42,6),0),"")</f>
        <v/>
      </c>
      <c r="H42" s="141">
        <f>IF(G42="","",MAX(0,MAX(I$35:I41)))</f>
        <v/>
      </c>
      <c r="I42" s="141">
        <f>IF(G42="","",IF(E42&lt;&gt;"Y",H42,IF(P42="기간초과","기간초과",INDEX($F$63:$F$122,P42)+(O42+G42-INDEX(CHOOSE($M42,$K$63:$K$122,$P$63:$P$122,$U$63:$U$122,$Z$63:$Z$122),P42))*INDEX($D$63:$D$122,P42)/INDEX(CHOOSE($M42,$J$63:$J$122,$O$63:$O$122,$T$63:$T$122,$Y$63:$Y$122),P42))))</f>
        <v/>
      </c>
      <c r="J42" s="141">
        <f>IF(G42="","",IF(E42="Y",IF(ISNUMBER(I42),ROUND(I42-H42,1),"기간초과"),"-"))</f>
        <v/>
      </c>
      <c r="K42" s="141">
        <f>IF(ISNUMBER(J42),ROUND(J42-G42,1),"")</f>
        <v/>
      </c>
      <c r="L42" s="141">
        <f>IFERROR(INDEX('1일작업량(토목)'!$D$2:$D$115,MATCH($A42,'1일작업량(토목)'!$A$2:$A$115,0)),"")</f>
        <v/>
      </c>
      <c r="M42" s="146">
        <f>IF(G42="","",IFERROR(MATCH(F42,$C$13:$F$13,0),1))</f>
        <v/>
      </c>
      <c r="N42" s="146">
        <f>IF(G42="","",MATCH(H42,$F$63:$F$122,1))</f>
        <v/>
      </c>
      <c r="O42" s="146">
        <f>IF(G42="","",INDEX(CHOOSE($M42,$K$63:$K$122,$P$63:$P$122,$U$63:$U$122,$Z$63:$Z$122),N42)+(H42-INDEX($F$63:$F$122,N42))*INDEX(CHOOSE($M42,$J$63:$J$122,$O$63:$O$122,$T$63:$T$122,$Y$63:$Y$122),N42)/INDEX($D$63:$D$122,N42))</f>
        <v/>
      </c>
      <c r="P42" s="146">
        <f>IF(G42="","",IF(O42+G42&gt;INDEX(CHOOSE($M42,$K$63:$K$122,$P$63:$P$122,$U$63:$U$122,$Z$63:$Z$122),60)+INDEX(CHOOSE($M42,$J$63:$J$122,$O$63:$O$122,$T$63:$T$122,$Y$63:$Y$122),60),"기간초과",MATCH(O42+G42,CHOOSE($M42,$K$63:$K$122,$P$63:$P$122,$U$63:$U$122,$Z$63:$Z$122),1)))</f>
        <v/>
      </c>
    </row>
    <row r="43">
      <c r="A43" s="139">
        <f>IFERROR(INDEX(공종프리셋!$A$2:$F$16,9,MATCH($B$9,공종프리셋!$A$1:$F$1,0))&amp;"","")</f>
        <v/>
      </c>
      <c r="B43" s="139" t="n"/>
      <c r="C43" s="139">
        <f>IFERROR(INDEX('1일작업량(토목)'!$B$2:$B$115,MATCH($A43,'1일작업량(토목)'!$A$2:$A$115,0)),"")</f>
        <v/>
      </c>
      <c r="D43" s="139">
        <f>IFERROR(INDEX('1일작업량(토목)'!$C$2:$C$115,MATCH($A43,'1일작업량(토목)'!$A$2:$A$115,0)),"")</f>
        <v/>
      </c>
      <c r="E43" s="139">
        <f>IF(A43="","","Y")</f>
        <v/>
      </c>
      <c r="F43" s="139">
        <f>IF(A43="","",IFERROR(INDEX('1일작업량(토목)'!$E$2:$E$115,MATCH($A43,'1일작업량(토목)'!$A$2:$A$115,0)),IF(ISNUMBER(SEARCH("포장",A43)),"세트3","세트1")))</f>
        <v/>
      </c>
      <c r="G43" s="141">
        <f>IF(AND(ISNUMBER(B43),ISNUMBER(D43),N(D43)&gt;0),ROUNDUP(ROUND(B43/D43,6),0),"")</f>
        <v/>
      </c>
      <c r="H43" s="141">
        <f>IF(G43="","",MAX(0,MAX(I$35:I42)))</f>
        <v/>
      </c>
      <c r="I43" s="141">
        <f>IF(G43="","",IF(E43&lt;&gt;"Y",H43,IF(P43="기간초과","기간초과",INDEX($F$63:$F$122,P43)+(O43+G43-INDEX(CHOOSE($M43,$K$63:$K$122,$P$63:$P$122,$U$63:$U$122,$Z$63:$Z$122),P43))*INDEX($D$63:$D$122,P43)/INDEX(CHOOSE($M43,$J$63:$J$122,$O$63:$O$122,$T$63:$T$122,$Y$63:$Y$122),P43))))</f>
        <v/>
      </c>
      <c r="J43" s="141">
        <f>IF(G43="","",IF(E43="Y",IF(ISNUMBER(I43),ROUND(I43-H43,1),"기간초과"),"-"))</f>
        <v/>
      </c>
      <c r="K43" s="141">
        <f>IF(ISNUMBER(J43),ROUND(J43-G43,1),"")</f>
        <v/>
      </c>
      <c r="L43" s="141">
        <f>IFERROR(INDEX('1일작업량(토목)'!$D$2:$D$115,MATCH($A43,'1일작업량(토목)'!$A$2:$A$115,0)),"")</f>
        <v/>
      </c>
      <c r="M43" s="146">
        <f>IF(G43="","",IFERROR(MATCH(F43,$C$13:$F$13,0),1))</f>
        <v/>
      </c>
      <c r="N43" s="146">
        <f>IF(G43="","",MATCH(H43,$F$63:$F$122,1))</f>
        <v/>
      </c>
      <c r="O43" s="146">
        <f>IF(G43="","",INDEX(CHOOSE($M43,$K$63:$K$122,$P$63:$P$122,$U$63:$U$122,$Z$63:$Z$122),N43)+(H43-INDEX($F$63:$F$122,N43))*INDEX(CHOOSE($M43,$J$63:$J$122,$O$63:$O$122,$T$63:$T$122,$Y$63:$Y$122),N43)/INDEX($D$63:$D$122,N43))</f>
        <v/>
      </c>
      <c r="P43" s="146">
        <f>IF(G43="","",IF(O43+G43&gt;INDEX(CHOOSE($M43,$K$63:$K$122,$P$63:$P$122,$U$63:$U$122,$Z$63:$Z$122),60)+INDEX(CHOOSE($M43,$J$63:$J$122,$O$63:$O$122,$T$63:$T$122,$Y$63:$Y$122),60),"기간초과",MATCH(O43+G43,CHOOSE($M43,$K$63:$K$122,$P$63:$P$122,$U$63:$U$122,$Z$63:$Z$122),1)))</f>
        <v/>
      </c>
    </row>
    <row r="44">
      <c r="A44" s="139">
        <f>IFERROR(INDEX(공종프리셋!$A$2:$F$16,10,MATCH($B$9,공종프리셋!$A$1:$F$1,0))&amp;"","")</f>
        <v/>
      </c>
      <c r="B44" s="139" t="n"/>
      <c r="C44" s="139">
        <f>IFERROR(INDEX('1일작업량(토목)'!$B$2:$B$115,MATCH($A44,'1일작업량(토목)'!$A$2:$A$115,0)),"")</f>
        <v/>
      </c>
      <c r="D44" s="139">
        <f>IFERROR(INDEX('1일작업량(토목)'!$C$2:$C$115,MATCH($A44,'1일작업량(토목)'!$A$2:$A$115,0)),"")</f>
        <v/>
      </c>
      <c r="E44" s="139">
        <f>IF(A44="","","Y")</f>
        <v/>
      </c>
      <c r="F44" s="139">
        <f>IF(A44="","",IFERROR(INDEX('1일작업량(토목)'!$E$2:$E$115,MATCH($A44,'1일작업량(토목)'!$A$2:$A$115,0)),IF(ISNUMBER(SEARCH("포장",A44)),"세트3","세트1")))</f>
        <v/>
      </c>
      <c r="G44" s="141">
        <f>IF(AND(ISNUMBER(B44),ISNUMBER(D44),N(D44)&gt;0),ROUNDUP(ROUND(B44/D44,6),0),"")</f>
        <v/>
      </c>
      <c r="H44" s="141">
        <f>IF(G44="","",MAX(0,MAX(I$35:I43)))</f>
        <v/>
      </c>
      <c r="I44" s="141">
        <f>IF(G44="","",IF(E44&lt;&gt;"Y",H44,IF(P44="기간초과","기간초과",INDEX($F$63:$F$122,P44)+(O44+G44-INDEX(CHOOSE($M44,$K$63:$K$122,$P$63:$P$122,$U$63:$U$122,$Z$63:$Z$122),P44))*INDEX($D$63:$D$122,P44)/INDEX(CHOOSE($M44,$J$63:$J$122,$O$63:$O$122,$T$63:$T$122,$Y$63:$Y$122),P44))))</f>
        <v/>
      </c>
      <c r="J44" s="141">
        <f>IF(G44="","",IF(E44="Y",IF(ISNUMBER(I44),ROUND(I44-H44,1),"기간초과"),"-"))</f>
        <v/>
      </c>
      <c r="K44" s="141">
        <f>IF(ISNUMBER(J44),ROUND(J44-G44,1),"")</f>
        <v/>
      </c>
      <c r="L44" s="141">
        <f>IFERROR(INDEX('1일작업량(토목)'!$D$2:$D$115,MATCH($A44,'1일작업량(토목)'!$A$2:$A$115,0)),"")</f>
        <v/>
      </c>
      <c r="M44" s="146">
        <f>IF(G44="","",IFERROR(MATCH(F44,$C$13:$F$13,0),1))</f>
        <v/>
      </c>
      <c r="N44" s="146">
        <f>IF(G44="","",MATCH(H44,$F$63:$F$122,1))</f>
        <v/>
      </c>
      <c r="O44" s="146">
        <f>IF(G44="","",INDEX(CHOOSE($M44,$K$63:$K$122,$P$63:$P$122,$U$63:$U$122,$Z$63:$Z$122),N44)+(H44-INDEX($F$63:$F$122,N44))*INDEX(CHOOSE($M44,$J$63:$J$122,$O$63:$O$122,$T$63:$T$122,$Y$63:$Y$122),N44)/INDEX($D$63:$D$122,N44))</f>
        <v/>
      </c>
      <c r="P44" s="146">
        <f>IF(G44="","",IF(O44+G44&gt;INDEX(CHOOSE($M44,$K$63:$K$122,$P$63:$P$122,$U$63:$U$122,$Z$63:$Z$122),60)+INDEX(CHOOSE($M44,$J$63:$J$122,$O$63:$O$122,$T$63:$T$122,$Y$63:$Y$122),60),"기간초과",MATCH(O44+G44,CHOOSE($M44,$K$63:$K$122,$P$63:$P$122,$U$63:$U$122,$Z$63:$Z$122),1)))</f>
        <v/>
      </c>
    </row>
    <row r="45">
      <c r="A45" s="139">
        <f>IFERROR(INDEX(공종프리셋!$A$2:$F$16,11,MATCH($B$9,공종프리셋!$A$1:$F$1,0))&amp;"","")</f>
        <v/>
      </c>
      <c r="B45" s="139" t="n"/>
      <c r="C45" s="139">
        <f>IFERROR(INDEX('1일작업량(토목)'!$B$2:$B$115,MATCH($A45,'1일작업량(토목)'!$A$2:$A$115,0)),"")</f>
        <v/>
      </c>
      <c r="D45" s="139">
        <f>IFERROR(INDEX('1일작업량(토목)'!$C$2:$C$115,MATCH($A45,'1일작업량(토목)'!$A$2:$A$115,0)),"")</f>
        <v/>
      </c>
      <c r="E45" s="139">
        <f>IF(A45="","","Y")</f>
        <v/>
      </c>
      <c r="F45" s="139">
        <f>IF(A45="","",IFERROR(INDEX('1일작업량(토목)'!$E$2:$E$115,MATCH($A45,'1일작업량(토목)'!$A$2:$A$115,0)),IF(ISNUMBER(SEARCH("포장",A45)),"세트3","세트1")))</f>
        <v/>
      </c>
      <c r="G45" s="141">
        <f>IF(AND(ISNUMBER(B45),ISNUMBER(D45),N(D45)&gt;0),ROUNDUP(ROUND(B45/D45,6),0),"")</f>
        <v/>
      </c>
      <c r="H45" s="141">
        <f>IF(G45="","",MAX(0,MAX(I$35:I44)))</f>
        <v/>
      </c>
      <c r="I45" s="141">
        <f>IF(G45="","",IF(E45&lt;&gt;"Y",H45,IF(P45="기간초과","기간초과",INDEX($F$63:$F$122,P45)+(O45+G45-INDEX(CHOOSE($M45,$K$63:$K$122,$P$63:$P$122,$U$63:$U$122,$Z$63:$Z$122),P45))*INDEX($D$63:$D$122,P45)/INDEX(CHOOSE($M45,$J$63:$J$122,$O$63:$O$122,$T$63:$T$122,$Y$63:$Y$122),P45))))</f>
        <v/>
      </c>
      <c r="J45" s="141">
        <f>IF(G45="","",IF(E45="Y",IF(ISNUMBER(I45),ROUND(I45-H45,1),"기간초과"),"-"))</f>
        <v/>
      </c>
      <c r="K45" s="141">
        <f>IF(ISNUMBER(J45),ROUND(J45-G45,1),"")</f>
        <v/>
      </c>
      <c r="L45" s="141">
        <f>IFERROR(INDEX('1일작업량(토목)'!$D$2:$D$115,MATCH($A45,'1일작업량(토목)'!$A$2:$A$115,0)),"")</f>
        <v/>
      </c>
      <c r="M45" s="146">
        <f>IF(G45="","",IFERROR(MATCH(F45,$C$13:$F$13,0),1))</f>
        <v/>
      </c>
      <c r="N45" s="146">
        <f>IF(G45="","",MATCH(H45,$F$63:$F$122,1))</f>
        <v/>
      </c>
      <c r="O45" s="146">
        <f>IF(G45="","",INDEX(CHOOSE($M45,$K$63:$K$122,$P$63:$P$122,$U$63:$U$122,$Z$63:$Z$122),N45)+(H45-INDEX($F$63:$F$122,N45))*INDEX(CHOOSE($M45,$J$63:$J$122,$O$63:$O$122,$T$63:$T$122,$Y$63:$Y$122),N45)/INDEX($D$63:$D$122,N45))</f>
        <v/>
      </c>
      <c r="P45" s="146">
        <f>IF(G45="","",IF(O45+G45&gt;INDEX(CHOOSE($M45,$K$63:$K$122,$P$63:$P$122,$U$63:$U$122,$Z$63:$Z$122),60)+INDEX(CHOOSE($M45,$J$63:$J$122,$O$63:$O$122,$T$63:$T$122,$Y$63:$Y$122),60),"기간초과",MATCH(O45+G45,CHOOSE($M45,$K$63:$K$122,$P$63:$P$122,$U$63:$U$122,$Z$63:$Z$122),1)))</f>
        <v/>
      </c>
    </row>
    <row r="46">
      <c r="A46" s="139">
        <f>IFERROR(INDEX(공종프리셋!$A$2:$F$16,12,MATCH($B$9,공종프리셋!$A$1:$F$1,0))&amp;"","")</f>
        <v/>
      </c>
      <c r="B46" s="139" t="n"/>
      <c r="C46" s="139">
        <f>IFERROR(INDEX('1일작업량(토목)'!$B$2:$B$115,MATCH($A46,'1일작업량(토목)'!$A$2:$A$115,0)),"")</f>
        <v/>
      </c>
      <c r="D46" s="139">
        <f>IFERROR(INDEX('1일작업량(토목)'!$C$2:$C$115,MATCH($A46,'1일작업량(토목)'!$A$2:$A$115,0)),"")</f>
        <v/>
      </c>
      <c r="E46" s="139">
        <f>IF(A46="","","Y")</f>
        <v/>
      </c>
      <c r="F46" s="139">
        <f>IF(A46="","",IFERROR(INDEX('1일작업량(토목)'!$E$2:$E$115,MATCH($A46,'1일작업량(토목)'!$A$2:$A$115,0)),IF(ISNUMBER(SEARCH("포장",A46)),"세트3","세트1")))</f>
        <v/>
      </c>
      <c r="G46" s="141">
        <f>IF(AND(ISNUMBER(B46),ISNUMBER(D46),N(D46)&gt;0),ROUNDUP(ROUND(B46/D46,6),0),"")</f>
        <v/>
      </c>
      <c r="H46" s="141">
        <f>IF(G46="","",MAX(0,MAX(I$35:I45)))</f>
        <v/>
      </c>
      <c r="I46" s="141">
        <f>IF(G46="","",IF(E46&lt;&gt;"Y",H46,IF(P46="기간초과","기간초과",INDEX($F$63:$F$122,P46)+(O46+G46-INDEX(CHOOSE($M46,$K$63:$K$122,$P$63:$P$122,$U$63:$U$122,$Z$63:$Z$122),P46))*INDEX($D$63:$D$122,P46)/INDEX(CHOOSE($M46,$J$63:$J$122,$O$63:$O$122,$T$63:$T$122,$Y$63:$Y$122),P46))))</f>
        <v/>
      </c>
      <c r="J46" s="141">
        <f>IF(G46="","",IF(E46="Y",IF(ISNUMBER(I46),ROUND(I46-H46,1),"기간초과"),"-"))</f>
        <v/>
      </c>
      <c r="K46" s="141">
        <f>IF(ISNUMBER(J46),ROUND(J46-G46,1),"")</f>
        <v/>
      </c>
      <c r="L46" s="141">
        <f>IFERROR(INDEX('1일작업량(토목)'!$D$2:$D$115,MATCH($A46,'1일작업량(토목)'!$A$2:$A$115,0)),"")</f>
        <v/>
      </c>
      <c r="M46" s="146">
        <f>IF(G46="","",IFERROR(MATCH(F46,$C$13:$F$13,0),1))</f>
        <v/>
      </c>
      <c r="N46" s="146">
        <f>IF(G46="","",MATCH(H46,$F$63:$F$122,1))</f>
        <v/>
      </c>
      <c r="O46" s="146">
        <f>IF(G46="","",INDEX(CHOOSE($M46,$K$63:$K$122,$P$63:$P$122,$U$63:$U$122,$Z$63:$Z$122),N46)+(H46-INDEX($F$63:$F$122,N46))*INDEX(CHOOSE($M46,$J$63:$J$122,$O$63:$O$122,$T$63:$T$122,$Y$63:$Y$122),N46)/INDEX($D$63:$D$122,N46))</f>
        <v/>
      </c>
      <c r="P46" s="146">
        <f>IF(G46="","",IF(O46+G46&gt;INDEX(CHOOSE($M46,$K$63:$K$122,$P$63:$P$122,$U$63:$U$122,$Z$63:$Z$122),60)+INDEX(CHOOSE($M46,$J$63:$J$122,$O$63:$O$122,$T$63:$T$122,$Y$63:$Y$122),60),"기간초과",MATCH(O46+G46,CHOOSE($M46,$K$63:$K$122,$P$63:$P$122,$U$63:$U$122,$Z$63:$Z$122),1)))</f>
        <v/>
      </c>
    </row>
    <row r="47">
      <c r="A47" s="139">
        <f>IFERROR(INDEX(공종프리셋!$A$2:$F$16,13,MATCH($B$9,공종프리셋!$A$1:$F$1,0))&amp;"","")</f>
        <v/>
      </c>
      <c r="B47" s="139" t="n"/>
      <c r="C47" s="139">
        <f>IFERROR(INDEX('1일작업량(토목)'!$B$2:$B$115,MATCH($A47,'1일작업량(토목)'!$A$2:$A$115,0)),"")</f>
        <v/>
      </c>
      <c r="D47" s="139">
        <f>IFERROR(INDEX('1일작업량(토목)'!$C$2:$C$115,MATCH($A47,'1일작업량(토목)'!$A$2:$A$115,0)),"")</f>
        <v/>
      </c>
      <c r="E47" s="139">
        <f>IF(A47="","","Y")</f>
        <v/>
      </c>
      <c r="F47" s="139">
        <f>IF(A47="","",IFERROR(INDEX('1일작업량(토목)'!$E$2:$E$115,MATCH($A47,'1일작업량(토목)'!$A$2:$A$115,0)),IF(ISNUMBER(SEARCH("포장",A47)),"세트3","세트1")))</f>
        <v/>
      </c>
      <c r="G47" s="141">
        <f>IF(AND(ISNUMBER(B47),ISNUMBER(D47),N(D47)&gt;0),ROUNDUP(ROUND(B47/D47,6),0),"")</f>
        <v/>
      </c>
      <c r="H47" s="141">
        <f>IF(G47="","",MAX(0,MAX(I$35:I46)))</f>
        <v/>
      </c>
      <c r="I47" s="141">
        <f>IF(G47="","",IF(E47&lt;&gt;"Y",H47,IF(P47="기간초과","기간초과",INDEX($F$63:$F$122,P47)+(O47+G47-INDEX(CHOOSE($M47,$K$63:$K$122,$P$63:$P$122,$U$63:$U$122,$Z$63:$Z$122),P47))*INDEX($D$63:$D$122,P47)/INDEX(CHOOSE($M47,$J$63:$J$122,$O$63:$O$122,$T$63:$T$122,$Y$63:$Y$122),P47))))</f>
        <v/>
      </c>
      <c r="J47" s="141">
        <f>IF(G47="","",IF(E47="Y",IF(ISNUMBER(I47),ROUND(I47-H47,1),"기간초과"),"-"))</f>
        <v/>
      </c>
      <c r="K47" s="141">
        <f>IF(ISNUMBER(J47),ROUND(J47-G47,1),"")</f>
        <v/>
      </c>
      <c r="L47" s="141">
        <f>IFERROR(INDEX('1일작업량(토목)'!$D$2:$D$115,MATCH($A47,'1일작업량(토목)'!$A$2:$A$115,0)),"")</f>
        <v/>
      </c>
      <c r="M47" s="146">
        <f>IF(G47="","",IFERROR(MATCH(F47,$C$13:$F$13,0),1))</f>
        <v/>
      </c>
      <c r="N47" s="146">
        <f>IF(G47="","",MATCH(H47,$F$63:$F$122,1))</f>
        <v/>
      </c>
      <c r="O47" s="146">
        <f>IF(G47="","",INDEX(CHOOSE($M47,$K$63:$K$122,$P$63:$P$122,$U$63:$U$122,$Z$63:$Z$122),N47)+(H47-INDEX($F$63:$F$122,N47))*INDEX(CHOOSE($M47,$J$63:$J$122,$O$63:$O$122,$T$63:$T$122,$Y$63:$Y$122),N47)/INDEX($D$63:$D$122,N47))</f>
        <v/>
      </c>
      <c r="P47" s="146">
        <f>IF(G47="","",IF(O47+G47&gt;INDEX(CHOOSE($M47,$K$63:$K$122,$P$63:$P$122,$U$63:$U$122,$Z$63:$Z$122),60)+INDEX(CHOOSE($M47,$J$63:$J$122,$O$63:$O$122,$T$63:$T$122,$Y$63:$Y$122),60),"기간초과",MATCH(O47+G47,CHOOSE($M47,$K$63:$K$122,$P$63:$P$122,$U$63:$U$122,$Z$63:$Z$122),1)))</f>
        <v/>
      </c>
    </row>
    <row r="48">
      <c r="A48" s="139">
        <f>IFERROR(INDEX(공종프리셋!$A$2:$F$16,14,MATCH($B$9,공종프리셋!$A$1:$F$1,0))&amp;"","")</f>
        <v/>
      </c>
      <c r="B48" s="139" t="n"/>
      <c r="C48" s="139">
        <f>IFERROR(INDEX('1일작업량(토목)'!$B$2:$B$115,MATCH($A48,'1일작업량(토목)'!$A$2:$A$115,0)),"")</f>
        <v/>
      </c>
      <c r="D48" s="139">
        <f>IFERROR(INDEX('1일작업량(토목)'!$C$2:$C$115,MATCH($A48,'1일작업량(토목)'!$A$2:$A$115,0)),"")</f>
        <v/>
      </c>
      <c r="E48" s="139">
        <f>IF(A48="","","Y")</f>
        <v/>
      </c>
      <c r="F48" s="139">
        <f>IF(A48="","",IFERROR(INDEX('1일작업량(토목)'!$E$2:$E$115,MATCH($A48,'1일작업량(토목)'!$A$2:$A$115,0)),IF(ISNUMBER(SEARCH("포장",A48)),"세트3","세트1")))</f>
        <v/>
      </c>
      <c r="G48" s="141">
        <f>IF(AND(ISNUMBER(B48),ISNUMBER(D48),N(D48)&gt;0),ROUNDUP(ROUND(B48/D48,6),0),"")</f>
        <v/>
      </c>
      <c r="H48" s="141">
        <f>IF(G48="","",MAX(0,MAX(I$35:I47)))</f>
        <v/>
      </c>
      <c r="I48" s="141">
        <f>IF(G48="","",IF(E48&lt;&gt;"Y",H48,IF(P48="기간초과","기간초과",INDEX($F$63:$F$122,P48)+(O48+G48-INDEX(CHOOSE($M48,$K$63:$K$122,$P$63:$P$122,$U$63:$U$122,$Z$63:$Z$122),P48))*INDEX($D$63:$D$122,P48)/INDEX(CHOOSE($M48,$J$63:$J$122,$O$63:$O$122,$T$63:$T$122,$Y$63:$Y$122),P48))))</f>
        <v/>
      </c>
      <c r="J48" s="141">
        <f>IF(G48="","",IF(E48="Y",IF(ISNUMBER(I48),ROUND(I48-H48,1),"기간초과"),"-"))</f>
        <v/>
      </c>
      <c r="K48" s="141">
        <f>IF(ISNUMBER(J48),ROUND(J48-G48,1),"")</f>
        <v/>
      </c>
      <c r="L48" s="141">
        <f>IFERROR(INDEX('1일작업량(토목)'!$D$2:$D$115,MATCH($A48,'1일작업량(토목)'!$A$2:$A$115,0)),"")</f>
        <v/>
      </c>
      <c r="M48" s="146">
        <f>IF(G48="","",IFERROR(MATCH(F48,$C$13:$F$13,0),1))</f>
        <v/>
      </c>
      <c r="N48" s="146">
        <f>IF(G48="","",MATCH(H48,$F$63:$F$122,1))</f>
        <v/>
      </c>
      <c r="O48" s="146">
        <f>IF(G48="","",INDEX(CHOOSE($M48,$K$63:$K$122,$P$63:$P$122,$U$63:$U$122,$Z$63:$Z$122),N48)+(H48-INDEX($F$63:$F$122,N48))*INDEX(CHOOSE($M48,$J$63:$J$122,$O$63:$O$122,$T$63:$T$122,$Y$63:$Y$122),N48)/INDEX($D$63:$D$122,N48))</f>
        <v/>
      </c>
      <c r="P48" s="146">
        <f>IF(G48="","",IF(O48+G48&gt;INDEX(CHOOSE($M48,$K$63:$K$122,$P$63:$P$122,$U$63:$U$122,$Z$63:$Z$122),60)+INDEX(CHOOSE($M48,$J$63:$J$122,$O$63:$O$122,$T$63:$T$122,$Y$63:$Y$122),60),"기간초과",MATCH(O48+G48,CHOOSE($M48,$K$63:$K$122,$P$63:$P$122,$U$63:$U$122,$Z$63:$Z$122),1)))</f>
        <v/>
      </c>
    </row>
    <row r="49">
      <c r="A49" s="139">
        <f>IFERROR(INDEX(공종프리셋!$A$2:$F$16,15,MATCH($B$9,공종프리셋!$A$1:$F$1,0))&amp;"","")</f>
        <v/>
      </c>
      <c r="B49" s="139" t="n"/>
      <c r="C49" s="139">
        <f>IFERROR(INDEX('1일작업량(토목)'!$B$2:$B$115,MATCH($A49,'1일작업량(토목)'!$A$2:$A$115,0)),"")</f>
        <v/>
      </c>
      <c r="D49" s="139">
        <f>IFERROR(INDEX('1일작업량(토목)'!$C$2:$C$115,MATCH($A49,'1일작업량(토목)'!$A$2:$A$115,0)),"")</f>
        <v/>
      </c>
      <c r="E49" s="139">
        <f>IF(A49="","","Y")</f>
        <v/>
      </c>
      <c r="F49" s="139">
        <f>IF(A49="","",IFERROR(INDEX('1일작업량(토목)'!$E$2:$E$115,MATCH($A49,'1일작업량(토목)'!$A$2:$A$115,0)),IF(ISNUMBER(SEARCH("포장",A49)),"세트3","세트1")))</f>
        <v/>
      </c>
      <c r="G49" s="141">
        <f>IF(AND(ISNUMBER(B49),ISNUMBER(D49),N(D49)&gt;0),ROUNDUP(ROUND(B49/D49,6),0),"")</f>
        <v/>
      </c>
      <c r="H49" s="141">
        <f>IF(G49="","",MAX(0,MAX(I$35:I48)))</f>
        <v/>
      </c>
      <c r="I49" s="141">
        <f>IF(G49="","",IF(E49&lt;&gt;"Y",H49,IF(P49="기간초과","기간초과",INDEX($F$63:$F$122,P49)+(O49+G49-INDEX(CHOOSE($M49,$K$63:$K$122,$P$63:$P$122,$U$63:$U$122,$Z$63:$Z$122),P49))*INDEX($D$63:$D$122,P49)/INDEX(CHOOSE($M49,$J$63:$J$122,$O$63:$O$122,$T$63:$T$122,$Y$63:$Y$122),P49))))</f>
        <v/>
      </c>
      <c r="J49" s="141">
        <f>IF(G49="","",IF(E49="Y",IF(ISNUMBER(I49),ROUND(I49-H49,1),"기간초과"),"-"))</f>
        <v/>
      </c>
      <c r="K49" s="141">
        <f>IF(ISNUMBER(J49),ROUND(J49-G49,1),"")</f>
        <v/>
      </c>
      <c r="L49" s="141">
        <f>IFERROR(INDEX('1일작업량(토목)'!$D$2:$D$115,MATCH($A49,'1일작업량(토목)'!$A$2:$A$115,0)),"")</f>
        <v/>
      </c>
      <c r="M49" s="146">
        <f>IF(G49="","",IFERROR(MATCH(F49,$C$13:$F$13,0),1))</f>
        <v/>
      </c>
      <c r="N49" s="146">
        <f>IF(G49="","",MATCH(H49,$F$63:$F$122,1))</f>
        <v/>
      </c>
      <c r="O49" s="146">
        <f>IF(G49="","",INDEX(CHOOSE($M49,$K$63:$K$122,$P$63:$P$122,$U$63:$U$122,$Z$63:$Z$122),N49)+(H49-INDEX($F$63:$F$122,N49))*INDEX(CHOOSE($M49,$J$63:$J$122,$O$63:$O$122,$T$63:$T$122,$Y$63:$Y$122),N49)/INDEX($D$63:$D$122,N49))</f>
        <v/>
      </c>
      <c r="P49" s="146">
        <f>IF(G49="","",IF(O49+G49&gt;INDEX(CHOOSE($M49,$K$63:$K$122,$P$63:$P$122,$U$63:$U$122,$Z$63:$Z$122),60)+INDEX(CHOOSE($M49,$J$63:$J$122,$O$63:$O$122,$T$63:$T$122,$Y$63:$Y$122),60),"기간초과",MATCH(O49+G49,CHOOSE($M49,$K$63:$K$122,$P$63:$P$122,$U$63:$U$122,$Z$63:$Z$122),1)))</f>
        <v/>
      </c>
    </row>
    <row r="51">
      <c r="A51" s="131" t="inlineStr">
        <is>
          <t>▼ 결과</t>
        </is>
      </c>
    </row>
    <row r="52">
      <c r="A52" s="131" t="inlineStr">
        <is>
          <t>준비기간 (일)</t>
        </is>
      </c>
      <c r="B52" s="140">
        <f>B7</f>
        <v/>
      </c>
    </row>
    <row r="53">
      <c r="A53" s="131" t="inlineStr">
        <is>
          <t>주공정 공종별 공사기간의 합 (일)</t>
        </is>
      </c>
      <c r="B53" s="140">
        <f>IF(COUNTIF(I35:I49,"기간초과")&gt;0,"기간초과",ROUNDUP(MAX(0,MAX(I35:I49)),0))</f>
        <v/>
      </c>
    </row>
    <row r="54">
      <c r="A54" s="131" t="inlineStr">
        <is>
          <t>정리기간 (일)</t>
        </is>
      </c>
      <c r="B54" s="140">
        <f>B8</f>
        <v/>
      </c>
    </row>
    <row r="55">
      <c r="A55" s="131" t="inlineStr">
        <is>
          <t>공사기간 A (일)</t>
        </is>
      </c>
      <c r="B55" s="140">
        <f>IF(ISNUMBER(B53),B52+B53+B54,"-")</f>
        <v/>
      </c>
    </row>
    <row r="56">
      <c r="A56" s="131" t="inlineStr">
        <is>
          <t>환산 (개월)</t>
        </is>
      </c>
      <c r="B56" s="140">
        <f>IF(ISNUMBER(B55),ROUND(B55/30,1),"-")</f>
        <v/>
      </c>
    </row>
    <row r="57">
      <c r="A57" s="131" t="inlineStr">
        <is>
          <t>산정공식 공사기간 B (일) — 시설물별공기(토목)</t>
        </is>
      </c>
      <c r="B57" s="140">
        <f>'시설물별공기(토목)'!B19</f>
        <v/>
      </c>
    </row>
    <row r="58">
      <c r="A58" s="131" t="inlineStr">
        <is>
          <t>적정성 검토 (A가 B의 ±20% 이내인지)</t>
        </is>
      </c>
      <c r="B58" s="140">
        <f>IF(AND(ISNUMBER(B55),ISNUMBER(B57)),IF(ABS(B55/B57-1)&lt;=0.2,"±20% 이내 (적정)","±20% 초과 → 산정 과정 재검토 (편차 "&amp;TEXT(B55/B57-1,"0.0%")&amp;")"),"산정공식 적용범위 밖이거나 미입력 → 비교 생략")</f>
        <v/>
      </c>
    </row>
    <row r="61">
      <c r="A61" s="131" t="inlineStr">
        <is>
          <t>▼ 월별 비작업일수 계산 (착수 월부터 60개월) — 세트별로 기후여건 A가 다릅니다</t>
        </is>
      </c>
    </row>
    <row r="62" ht="62" customHeight="1" s="92">
      <c r="A62" s="134" t="inlineStr">
        <is>
          <t>순번</t>
        </is>
      </c>
      <c r="B62" s="134" t="inlineStr">
        <is>
          <t>연도</t>
        </is>
      </c>
      <c r="C62" s="134" t="inlineStr">
        <is>
          <t>월</t>
        </is>
      </c>
      <c r="D62" s="134" t="inlineStr">
        <is>
          <t>달력일수</t>
        </is>
      </c>
      <c r="E62" s="134" t="inlineStr">
        <is>
          <t>법정공휴일 B</t>
        </is>
      </c>
      <c r="F62" s="134" t="inlineStr">
        <is>
          <t>누적 달력일수(전월까지)</t>
        </is>
      </c>
      <c r="G62" s="134" t="inlineStr">
        <is>
          <t>세트1 기후여건 A</t>
        </is>
      </c>
      <c r="H62" s="134" t="inlineStr">
        <is>
          <t>세트1 중복일수 C</t>
        </is>
      </c>
      <c r="I62" s="134" t="inlineStr">
        <is>
          <t>세트1 적용 비작업일수(월8일 이상, 정수)</t>
        </is>
      </c>
      <c r="J62" s="134" t="inlineStr">
        <is>
          <t>세트1 작업가능일수</t>
        </is>
      </c>
      <c r="K62" s="134" t="inlineStr">
        <is>
          <t>세트1 누적 작업가능(전월까지)</t>
        </is>
      </c>
      <c r="L62" s="134" t="inlineStr">
        <is>
          <t>세트2 기후여건 A</t>
        </is>
      </c>
      <c r="M62" s="134" t="inlineStr">
        <is>
          <t>세트2 중복일수 C</t>
        </is>
      </c>
      <c r="N62" s="134" t="inlineStr">
        <is>
          <t>세트2 적용 비작업일수(월8일 이상, 정수)</t>
        </is>
      </c>
      <c r="O62" s="134" t="inlineStr">
        <is>
          <t>세트2 작업가능일수</t>
        </is>
      </c>
      <c r="P62" s="134" t="inlineStr">
        <is>
          <t>세트2 누적 작업가능(전월까지)</t>
        </is>
      </c>
      <c r="Q62" s="134" t="inlineStr">
        <is>
          <t>세트3 기후여건 A</t>
        </is>
      </c>
      <c r="R62" s="134" t="inlineStr">
        <is>
          <t>세트3 중복일수 C</t>
        </is>
      </c>
      <c r="S62" s="134" t="inlineStr">
        <is>
          <t>세트3 적용 비작업일수(월8일 이상, 정수)</t>
        </is>
      </c>
      <c r="T62" s="134" t="inlineStr">
        <is>
          <t>세트3 작업가능일수</t>
        </is>
      </c>
      <c r="U62" s="134" t="inlineStr">
        <is>
          <t>세트3 누적 작업가능(전월까지)</t>
        </is>
      </c>
      <c r="V62" s="134" t="inlineStr">
        <is>
          <t>세트4 기후여건 A</t>
        </is>
      </c>
      <c r="W62" s="134" t="inlineStr">
        <is>
          <t>세트4 중복일수 C</t>
        </is>
      </c>
      <c r="X62" s="134" t="inlineStr">
        <is>
          <t>세트4 적용 비작업일수(월8일 이상, 정수)</t>
        </is>
      </c>
      <c r="Y62" s="134" t="inlineStr">
        <is>
          <t>세트4 작업가능일수</t>
        </is>
      </c>
      <c r="Z62" s="134" t="inlineStr">
        <is>
          <t>세트4 누적 작업가능(전월까지)</t>
        </is>
      </c>
    </row>
    <row r="63">
      <c r="A63" s="141" t="n">
        <v>1</v>
      </c>
      <c r="B63" s="141">
        <f>YEAR(EDATE(DATE($B$5,$B$6,1),A63-1))</f>
        <v/>
      </c>
      <c r="C63" s="141">
        <f>MONTH(EDATE(DATE($B$5,$B$6,1),A63-1))</f>
        <v/>
      </c>
      <c r="D63" s="141">
        <f>DAY(EOMONTH(DATE(B63,C63,1),0))</f>
        <v/>
      </c>
      <c r="E63" s="141">
        <f>IFERROR(INDEX(법정공휴일!$B$4:$M$20,MATCH(B63,법정공휴일!$A$4:$A$20,0),C63),0)</f>
        <v/>
      </c>
      <c r="F63" s="141" t="n">
        <v>0</v>
      </c>
      <c r="G63" s="141">
        <f>INDEX($G$27:$R$27,C63)</f>
        <v/>
      </c>
      <c r="H63" s="141">
        <f>ROUND(G63*E63/D63,1)</f>
        <v/>
      </c>
      <c r="I63" s="141">
        <f>ROUND(MAX(G63+E63-H63,8),0)</f>
        <v/>
      </c>
      <c r="J63" s="141">
        <f>D63-I63</f>
        <v/>
      </c>
      <c r="K63" s="141" t="n">
        <v>0</v>
      </c>
      <c r="L63" s="141">
        <f>INDEX($G$28:$R$28,C63)</f>
        <v/>
      </c>
      <c r="M63" s="141">
        <f>ROUND(L63*E63/D63,1)</f>
        <v/>
      </c>
      <c r="N63" s="141">
        <f>ROUND(MAX(L63+E63-M63,8),0)</f>
        <v/>
      </c>
      <c r="O63" s="141">
        <f>D63-N63</f>
        <v/>
      </c>
      <c r="P63" s="141" t="n">
        <v>0</v>
      </c>
      <c r="Q63" s="141">
        <f>INDEX($G$29:$R$29,C63)</f>
        <v/>
      </c>
      <c r="R63" s="141">
        <f>ROUND(Q63*E63/D63,1)</f>
        <v/>
      </c>
      <c r="S63" s="141">
        <f>ROUND(MAX(Q63+E63-R63,8),0)</f>
        <v/>
      </c>
      <c r="T63" s="141">
        <f>D63-S63</f>
        <v/>
      </c>
      <c r="U63" s="141" t="n">
        <v>0</v>
      </c>
      <c r="V63" s="141">
        <f>INDEX($G$30:$R$30,C63)</f>
        <v/>
      </c>
      <c r="W63" s="141">
        <f>ROUND(V63*E63/D63,1)</f>
        <v/>
      </c>
      <c r="X63" s="141">
        <f>ROUND(MAX(V63+E63-W63,8),0)</f>
        <v/>
      </c>
      <c r="Y63" s="141">
        <f>D63-X63</f>
        <v/>
      </c>
      <c r="Z63" s="141" t="n">
        <v>0</v>
      </c>
    </row>
    <row r="64">
      <c r="A64" s="141" t="n">
        <v>2</v>
      </c>
      <c r="B64" s="141">
        <f>YEAR(EDATE(DATE($B$5,$B$6,1),A64-1))</f>
        <v/>
      </c>
      <c r="C64" s="141">
        <f>MONTH(EDATE(DATE($B$5,$B$6,1),A64-1))</f>
        <v/>
      </c>
      <c r="D64" s="141">
        <f>DAY(EOMONTH(DATE(B64,C64,1),0))</f>
        <v/>
      </c>
      <c r="E64" s="141">
        <f>IFERROR(INDEX(법정공휴일!$B$4:$M$20,MATCH(B64,법정공휴일!$A$4:$A$20,0),C64),0)</f>
        <v/>
      </c>
      <c r="F64" s="141">
        <f>F63+D63</f>
        <v/>
      </c>
      <c r="G64" s="141">
        <f>INDEX($G$27:$R$27,C64)</f>
        <v/>
      </c>
      <c r="H64" s="141">
        <f>ROUND(G64*E64/D64,1)</f>
        <v/>
      </c>
      <c r="I64" s="141">
        <f>ROUND(MAX(G64+E64-H64,8),0)</f>
        <v/>
      </c>
      <c r="J64" s="141">
        <f>D64-I64</f>
        <v/>
      </c>
      <c r="K64" s="141">
        <f>K63+J63</f>
        <v/>
      </c>
      <c r="L64" s="141">
        <f>INDEX($G$28:$R$28,C64)</f>
        <v/>
      </c>
      <c r="M64" s="141">
        <f>ROUND(L64*E64/D64,1)</f>
        <v/>
      </c>
      <c r="N64" s="141">
        <f>ROUND(MAX(L64+E64-M64,8),0)</f>
        <v/>
      </c>
      <c r="O64" s="141">
        <f>D64-N64</f>
        <v/>
      </c>
      <c r="P64" s="141">
        <f>P63+O63</f>
        <v/>
      </c>
      <c r="Q64" s="141">
        <f>INDEX($G$29:$R$29,C64)</f>
        <v/>
      </c>
      <c r="R64" s="141">
        <f>ROUND(Q64*E64/D64,1)</f>
        <v/>
      </c>
      <c r="S64" s="141">
        <f>ROUND(MAX(Q64+E64-R64,8),0)</f>
        <v/>
      </c>
      <c r="T64" s="141">
        <f>D64-S64</f>
        <v/>
      </c>
      <c r="U64" s="141">
        <f>U63+T63</f>
        <v/>
      </c>
      <c r="V64" s="141">
        <f>INDEX($G$30:$R$30,C64)</f>
        <v/>
      </c>
      <c r="W64" s="141">
        <f>ROUND(V64*E64/D64,1)</f>
        <v/>
      </c>
      <c r="X64" s="141">
        <f>ROUND(MAX(V64+E64-W64,8),0)</f>
        <v/>
      </c>
      <c r="Y64" s="141">
        <f>D64-X64</f>
        <v/>
      </c>
      <c r="Z64" s="141">
        <f>Z63+Y63</f>
        <v/>
      </c>
    </row>
    <row r="65">
      <c r="A65" s="141" t="n">
        <v>3</v>
      </c>
      <c r="B65" s="141">
        <f>YEAR(EDATE(DATE($B$5,$B$6,1),A65-1))</f>
        <v/>
      </c>
      <c r="C65" s="141">
        <f>MONTH(EDATE(DATE($B$5,$B$6,1),A65-1))</f>
        <v/>
      </c>
      <c r="D65" s="141">
        <f>DAY(EOMONTH(DATE(B65,C65,1),0))</f>
        <v/>
      </c>
      <c r="E65" s="141">
        <f>IFERROR(INDEX(법정공휴일!$B$4:$M$20,MATCH(B65,법정공휴일!$A$4:$A$20,0),C65),0)</f>
        <v/>
      </c>
      <c r="F65" s="141">
        <f>F64+D64</f>
        <v/>
      </c>
      <c r="G65" s="141">
        <f>INDEX($G$27:$R$27,C65)</f>
        <v/>
      </c>
      <c r="H65" s="141">
        <f>ROUND(G65*E65/D65,1)</f>
        <v/>
      </c>
      <c r="I65" s="141">
        <f>ROUND(MAX(G65+E65-H65,8),0)</f>
        <v/>
      </c>
      <c r="J65" s="141">
        <f>D65-I65</f>
        <v/>
      </c>
      <c r="K65" s="141">
        <f>K64+J64</f>
        <v/>
      </c>
      <c r="L65" s="141">
        <f>INDEX($G$28:$R$28,C65)</f>
        <v/>
      </c>
      <c r="M65" s="141">
        <f>ROUND(L65*E65/D65,1)</f>
        <v/>
      </c>
      <c r="N65" s="141">
        <f>ROUND(MAX(L65+E65-M65,8),0)</f>
        <v/>
      </c>
      <c r="O65" s="141">
        <f>D65-N65</f>
        <v/>
      </c>
      <c r="P65" s="141">
        <f>P64+O64</f>
        <v/>
      </c>
      <c r="Q65" s="141">
        <f>INDEX($G$29:$R$29,C65)</f>
        <v/>
      </c>
      <c r="R65" s="141">
        <f>ROUND(Q65*E65/D65,1)</f>
        <v/>
      </c>
      <c r="S65" s="141">
        <f>ROUND(MAX(Q65+E65-R65,8),0)</f>
        <v/>
      </c>
      <c r="T65" s="141">
        <f>D65-S65</f>
        <v/>
      </c>
      <c r="U65" s="141">
        <f>U64+T64</f>
        <v/>
      </c>
      <c r="V65" s="141">
        <f>INDEX($G$30:$R$30,C65)</f>
        <v/>
      </c>
      <c r="W65" s="141">
        <f>ROUND(V65*E65/D65,1)</f>
        <v/>
      </c>
      <c r="X65" s="141">
        <f>ROUND(MAX(V65+E65-W65,8),0)</f>
        <v/>
      </c>
      <c r="Y65" s="141">
        <f>D65-X65</f>
        <v/>
      </c>
      <c r="Z65" s="141">
        <f>Z64+Y64</f>
        <v/>
      </c>
    </row>
    <row r="66">
      <c r="A66" s="141" t="n">
        <v>4</v>
      </c>
      <c r="B66" s="141">
        <f>YEAR(EDATE(DATE($B$5,$B$6,1),A66-1))</f>
        <v/>
      </c>
      <c r="C66" s="141">
        <f>MONTH(EDATE(DATE($B$5,$B$6,1),A66-1))</f>
        <v/>
      </c>
      <c r="D66" s="141">
        <f>DAY(EOMONTH(DATE(B66,C66,1),0))</f>
        <v/>
      </c>
      <c r="E66" s="141">
        <f>IFERROR(INDEX(법정공휴일!$B$4:$M$20,MATCH(B66,법정공휴일!$A$4:$A$20,0),C66),0)</f>
        <v/>
      </c>
      <c r="F66" s="141">
        <f>F65+D65</f>
        <v/>
      </c>
      <c r="G66" s="141">
        <f>INDEX($G$27:$R$27,C66)</f>
        <v/>
      </c>
      <c r="H66" s="141">
        <f>ROUND(G66*E66/D66,1)</f>
        <v/>
      </c>
      <c r="I66" s="141">
        <f>ROUND(MAX(G66+E66-H66,8),0)</f>
        <v/>
      </c>
      <c r="J66" s="141">
        <f>D66-I66</f>
        <v/>
      </c>
      <c r="K66" s="141">
        <f>K65+J65</f>
        <v/>
      </c>
      <c r="L66" s="141">
        <f>INDEX($G$28:$R$28,C66)</f>
        <v/>
      </c>
      <c r="M66" s="141">
        <f>ROUND(L66*E66/D66,1)</f>
        <v/>
      </c>
      <c r="N66" s="141">
        <f>ROUND(MAX(L66+E66-M66,8),0)</f>
        <v/>
      </c>
      <c r="O66" s="141">
        <f>D66-N66</f>
        <v/>
      </c>
      <c r="P66" s="141">
        <f>P65+O65</f>
        <v/>
      </c>
      <c r="Q66" s="141">
        <f>INDEX($G$29:$R$29,C66)</f>
        <v/>
      </c>
      <c r="R66" s="141">
        <f>ROUND(Q66*E66/D66,1)</f>
        <v/>
      </c>
      <c r="S66" s="141">
        <f>ROUND(MAX(Q66+E66-R66,8),0)</f>
        <v/>
      </c>
      <c r="T66" s="141">
        <f>D66-S66</f>
        <v/>
      </c>
      <c r="U66" s="141">
        <f>U65+T65</f>
        <v/>
      </c>
      <c r="V66" s="141">
        <f>INDEX($G$30:$R$30,C66)</f>
        <v/>
      </c>
      <c r="W66" s="141">
        <f>ROUND(V66*E66/D66,1)</f>
        <v/>
      </c>
      <c r="X66" s="141">
        <f>ROUND(MAX(V66+E66-W66,8),0)</f>
        <v/>
      </c>
      <c r="Y66" s="141">
        <f>D66-X66</f>
        <v/>
      </c>
      <c r="Z66" s="141">
        <f>Z65+Y65</f>
        <v/>
      </c>
    </row>
    <row r="67">
      <c r="A67" s="141" t="n">
        <v>5</v>
      </c>
      <c r="B67" s="141">
        <f>YEAR(EDATE(DATE($B$5,$B$6,1),A67-1))</f>
        <v/>
      </c>
      <c r="C67" s="141">
        <f>MONTH(EDATE(DATE($B$5,$B$6,1),A67-1))</f>
        <v/>
      </c>
      <c r="D67" s="141">
        <f>DAY(EOMONTH(DATE(B67,C67,1),0))</f>
        <v/>
      </c>
      <c r="E67" s="141">
        <f>IFERROR(INDEX(법정공휴일!$B$4:$M$20,MATCH(B67,법정공휴일!$A$4:$A$20,0),C67),0)</f>
        <v/>
      </c>
      <c r="F67" s="141">
        <f>F66+D66</f>
        <v/>
      </c>
      <c r="G67" s="141">
        <f>INDEX($G$27:$R$27,C67)</f>
        <v/>
      </c>
      <c r="H67" s="141">
        <f>ROUND(G67*E67/D67,1)</f>
        <v/>
      </c>
      <c r="I67" s="141">
        <f>ROUND(MAX(G67+E67-H67,8),0)</f>
        <v/>
      </c>
      <c r="J67" s="141">
        <f>D67-I67</f>
        <v/>
      </c>
      <c r="K67" s="141">
        <f>K66+J66</f>
        <v/>
      </c>
      <c r="L67" s="141">
        <f>INDEX($G$28:$R$28,C67)</f>
        <v/>
      </c>
      <c r="M67" s="141">
        <f>ROUND(L67*E67/D67,1)</f>
        <v/>
      </c>
      <c r="N67" s="141">
        <f>ROUND(MAX(L67+E67-M67,8),0)</f>
        <v/>
      </c>
      <c r="O67" s="141">
        <f>D67-N67</f>
        <v/>
      </c>
      <c r="P67" s="141">
        <f>P66+O66</f>
        <v/>
      </c>
      <c r="Q67" s="141">
        <f>INDEX($G$29:$R$29,C67)</f>
        <v/>
      </c>
      <c r="R67" s="141">
        <f>ROUND(Q67*E67/D67,1)</f>
        <v/>
      </c>
      <c r="S67" s="141">
        <f>ROUND(MAX(Q67+E67-R67,8),0)</f>
        <v/>
      </c>
      <c r="T67" s="141">
        <f>D67-S67</f>
        <v/>
      </c>
      <c r="U67" s="141">
        <f>U66+T66</f>
        <v/>
      </c>
      <c r="V67" s="141">
        <f>INDEX($G$30:$R$30,C67)</f>
        <v/>
      </c>
      <c r="W67" s="141">
        <f>ROUND(V67*E67/D67,1)</f>
        <v/>
      </c>
      <c r="X67" s="141">
        <f>ROUND(MAX(V67+E67-W67,8),0)</f>
        <v/>
      </c>
      <c r="Y67" s="141">
        <f>D67-X67</f>
        <v/>
      </c>
      <c r="Z67" s="141">
        <f>Z66+Y66</f>
        <v/>
      </c>
    </row>
    <row r="68">
      <c r="A68" s="141" t="n">
        <v>6</v>
      </c>
      <c r="B68" s="141">
        <f>YEAR(EDATE(DATE($B$5,$B$6,1),A68-1))</f>
        <v/>
      </c>
      <c r="C68" s="141">
        <f>MONTH(EDATE(DATE($B$5,$B$6,1),A68-1))</f>
        <v/>
      </c>
      <c r="D68" s="141">
        <f>DAY(EOMONTH(DATE(B68,C68,1),0))</f>
        <v/>
      </c>
      <c r="E68" s="141">
        <f>IFERROR(INDEX(법정공휴일!$B$4:$M$20,MATCH(B68,법정공휴일!$A$4:$A$20,0),C68),0)</f>
        <v/>
      </c>
      <c r="F68" s="141">
        <f>F67+D67</f>
        <v/>
      </c>
      <c r="G68" s="141">
        <f>INDEX($G$27:$R$27,C68)</f>
        <v/>
      </c>
      <c r="H68" s="141">
        <f>ROUND(G68*E68/D68,1)</f>
        <v/>
      </c>
      <c r="I68" s="141">
        <f>ROUND(MAX(G68+E68-H68,8),0)</f>
        <v/>
      </c>
      <c r="J68" s="141">
        <f>D68-I68</f>
        <v/>
      </c>
      <c r="K68" s="141">
        <f>K67+J67</f>
        <v/>
      </c>
      <c r="L68" s="141">
        <f>INDEX($G$28:$R$28,C68)</f>
        <v/>
      </c>
      <c r="M68" s="141">
        <f>ROUND(L68*E68/D68,1)</f>
        <v/>
      </c>
      <c r="N68" s="141">
        <f>ROUND(MAX(L68+E68-M68,8),0)</f>
        <v/>
      </c>
      <c r="O68" s="141">
        <f>D68-N68</f>
        <v/>
      </c>
      <c r="P68" s="141">
        <f>P67+O67</f>
        <v/>
      </c>
      <c r="Q68" s="141">
        <f>INDEX($G$29:$R$29,C68)</f>
        <v/>
      </c>
      <c r="R68" s="141">
        <f>ROUND(Q68*E68/D68,1)</f>
        <v/>
      </c>
      <c r="S68" s="141">
        <f>ROUND(MAX(Q68+E68-R68,8),0)</f>
        <v/>
      </c>
      <c r="T68" s="141">
        <f>D68-S68</f>
        <v/>
      </c>
      <c r="U68" s="141">
        <f>U67+T67</f>
        <v/>
      </c>
      <c r="V68" s="141">
        <f>INDEX($G$30:$R$30,C68)</f>
        <v/>
      </c>
      <c r="W68" s="141">
        <f>ROUND(V68*E68/D68,1)</f>
        <v/>
      </c>
      <c r="X68" s="141">
        <f>ROUND(MAX(V68+E68-W68,8),0)</f>
        <v/>
      </c>
      <c r="Y68" s="141">
        <f>D68-X68</f>
        <v/>
      </c>
      <c r="Z68" s="141">
        <f>Z67+Y67</f>
        <v/>
      </c>
    </row>
    <row r="69">
      <c r="A69" s="141" t="n">
        <v>7</v>
      </c>
      <c r="B69" s="141">
        <f>YEAR(EDATE(DATE($B$5,$B$6,1),A69-1))</f>
        <v/>
      </c>
      <c r="C69" s="141">
        <f>MONTH(EDATE(DATE($B$5,$B$6,1),A69-1))</f>
        <v/>
      </c>
      <c r="D69" s="141">
        <f>DAY(EOMONTH(DATE(B69,C69,1),0))</f>
        <v/>
      </c>
      <c r="E69" s="141">
        <f>IFERROR(INDEX(법정공휴일!$B$4:$M$20,MATCH(B69,법정공휴일!$A$4:$A$20,0),C69),0)</f>
        <v/>
      </c>
      <c r="F69" s="141">
        <f>F68+D68</f>
        <v/>
      </c>
      <c r="G69" s="141">
        <f>INDEX($G$27:$R$27,C69)</f>
        <v/>
      </c>
      <c r="H69" s="141">
        <f>ROUND(G69*E69/D69,1)</f>
        <v/>
      </c>
      <c r="I69" s="141">
        <f>ROUND(MAX(G69+E69-H69,8),0)</f>
        <v/>
      </c>
      <c r="J69" s="141">
        <f>D69-I69</f>
        <v/>
      </c>
      <c r="K69" s="141">
        <f>K68+J68</f>
        <v/>
      </c>
      <c r="L69" s="141">
        <f>INDEX($G$28:$R$28,C69)</f>
        <v/>
      </c>
      <c r="M69" s="141">
        <f>ROUND(L69*E69/D69,1)</f>
        <v/>
      </c>
      <c r="N69" s="141">
        <f>ROUND(MAX(L69+E69-M69,8),0)</f>
        <v/>
      </c>
      <c r="O69" s="141">
        <f>D69-N69</f>
        <v/>
      </c>
      <c r="P69" s="141">
        <f>P68+O68</f>
        <v/>
      </c>
      <c r="Q69" s="141">
        <f>INDEX($G$29:$R$29,C69)</f>
        <v/>
      </c>
      <c r="R69" s="141">
        <f>ROUND(Q69*E69/D69,1)</f>
        <v/>
      </c>
      <c r="S69" s="141">
        <f>ROUND(MAX(Q69+E69-R69,8),0)</f>
        <v/>
      </c>
      <c r="T69" s="141">
        <f>D69-S69</f>
        <v/>
      </c>
      <c r="U69" s="141">
        <f>U68+T68</f>
        <v/>
      </c>
      <c r="V69" s="141">
        <f>INDEX($G$30:$R$30,C69)</f>
        <v/>
      </c>
      <c r="W69" s="141">
        <f>ROUND(V69*E69/D69,1)</f>
        <v/>
      </c>
      <c r="X69" s="141">
        <f>ROUND(MAX(V69+E69-W69,8),0)</f>
        <v/>
      </c>
      <c r="Y69" s="141">
        <f>D69-X69</f>
        <v/>
      </c>
      <c r="Z69" s="141">
        <f>Z68+Y68</f>
        <v/>
      </c>
    </row>
    <row r="70">
      <c r="A70" s="141" t="n">
        <v>8</v>
      </c>
      <c r="B70" s="141">
        <f>YEAR(EDATE(DATE($B$5,$B$6,1),A70-1))</f>
        <v/>
      </c>
      <c r="C70" s="141">
        <f>MONTH(EDATE(DATE($B$5,$B$6,1),A70-1))</f>
        <v/>
      </c>
      <c r="D70" s="141">
        <f>DAY(EOMONTH(DATE(B70,C70,1),0))</f>
        <v/>
      </c>
      <c r="E70" s="141">
        <f>IFERROR(INDEX(법정공휴일!$B$4:$M$20,MATCH(B70,법정공휴일!$A$4:$A$20,0),C70),0)</f>
        <v/>
      </c>
      <c r="F70" s="141">
        <f>F69+D69</f>
        <v/>
      </c>
      <c r="G70" s="141">
        <f>INDEX($G$27:$R$27,C70)</f>
        <v/>
      </c>
      <c r="H70" s="141">
        <f>ROUND(G70*E70/D70,1)</f>
        <v/>
      </c>
      <c r="I70" s="141">
        <f>ROUND(MAX(G70+E70-H70,8),0)</f>
        <v/>
      </c>
      <c r="J70" s="141">
        <f>D70-I70</f>
        <v/>
      </c>
      <c r="K70" s="141">
        <f>K69+J69</f>
        <v/>
      </c>
      <c r="L70" s="141">
        <f>INDEX($G$28:$R$28,C70)</f>
        <v/>
      </c>
      <c r="M70" s="141">
        <f>ROUND(L70*E70/D70,1)</f>
        <v/>
      </c>
      <c r="N70" s="141">
        <f>ROUND(MAX(L70+E70-M70,8),0)</f>
        <v/>
      </c>
      <c r="O70" s="141">
        <f>D70-N70</f>
        <v/>
      </c>
      <c r="P70" s="141">
        <f>P69+O69</f>
        <v/>
      </c>
      <c r="Q70" s="141">
        <f>INDEX($G$29:$R$29,C70)</f>
        <v/>
      </c>
      <c r="R70" s="141">
        <f>ROUND(Q70*E70/D70,1)</f>
        <v/>
      </c>
      <c r="S70" s="141">
        <f>ROUND(MAX(Q70+E70-R70,8),0)</f>
        <v/>
      </c>
      <c r="T70" s="141">
        <f>D70-S70</f>
        <v/>
      </c>
      <c r="U70" s="141">
        <f>U69+T69</f>
        <v/>
      </c>
      <c r="V70" s="141">
        <f>INDEX($G$30:$R$30,C70)</f>
        <v/>
      </c>
      <c r="W70" s="141">
        <f>ROUND(V70*E70/D70,1)</f>
        <v/>
      </c>
      <c r="X70" s="141">
        <f>ROUND(MAX(V70+E70-W70,8),0)</f>
        <v/>
      </c>
      <c r="Y70" s="141">
        <f>D70-X70</f>
        <v/>
      </c>
      <c r="Z70" s="141">
        <f>Z69+Y69</f>
        <v/>
      </c>
    </row>
    <row r="71">
      <c r="A71" s="141" t="n">
        <v>9</v>
      </c>
      <c r="B71" s="141">
        <f>YEAR(EDATE(DATE($B$5,$B$6,1),A71-1))</f>
        <v/>
      </c>
      <c r="C71" s="141">
        <f>MONTH(EDATE(DATE($B$5,$B$6,1),A71-1))</f>
        <v/>
      </c>
      <c r="D71" s="141">
        <f>DAY(EOMONTH(DATE(B71,C71,1),0))</f>
        <v/>
      </c>
      <c r="E71" s="141">
        <f>IFERROR(INDEX(법정공휴일!$B$4:$M$20,MATCH(B71,법정공휴일!$A$4:$A$20,0),C71),0)</f>
        <v/>
      </c>
      <c r="F71" s="141">
        <f>F70+D70</f>
        <v/>
      </c>
      <c r="G71" s="141">
        <f>INDEX($G$27:$R$27,C71)</f>
        <v/>
      </c>
      <c r="H71" s="141">
        <f>ROUND(G71*E71/D71,1)</f>
        <v/>
      </c>
      <c r="I71" s="141">
        <f>ROUND(MAX(G71+E71-H71,8),0)</f>
        <v/>
      </c>
      <c r="J71" s="141">
        <f>D71-I71</f>
        <v/>
      </c>
      <c r="K71" s="141">
        <f>K70+J70</f>
        <v/>
      </c>
      <c r="L71" s="141">
        <f>INDEX($G$28:$R$28,C71)</f>
        <v/>
      </c>
      <c r="M71" s="141">
        <f>ROUND(L71*E71/D71,1)</f>
        <v/>
      </c>
      <c r="N71" s="141">
        <f>ROUND(MAX(L71+E71-M71,8),0)</f>
        <v/>
      </c>
      <c r="O71" s="141">
        <f>D71-N71</f>
        <v/>
      </c>
      <c r="P71" s="141">
        <f>P70+O70</f>
        <v/>
      </c>
      <c r="Q71" s="141">
        <f>INDEX($G$29:$R$29,C71)</f>
        <v/>
      </c>
      <c r="R71" s="141">
        <f>ROUND(Q71*E71/D71,1)</f>
        <v/>
      </c>
      <c r="S71" s="141">
        <f>ROUND(MAX(Q71+E71-R71,8),0)</f>
        <v/>
      </c>
      <c r="T71" s="141">
        <f>D71-S71</f>
        <v/>
      </c>
      <c r="U71" s="141">
        <f>U70+T70</f>
        <v/>
      </c>
      <c r="V71" s="141">
        <f>INDEX($G$30:$R$30,C71)</f>
        <v/>
      </c>
      <c r="W71" s="141">
        <f>ROUND(V71*E71/D71,1)</f>
        <v/>
      </c>
      <c r="X71" s="141">
        <f>ROUND(MAX(V71+E71-W71,8),0)</f>
        <v/>
      </c>
      <c r="Y71" s="141">
        <f>D71-X71</f>
        <v/>
      </c>
      <c r="Z71" s="141">
        <f>Z70+Y70</f>
        <v/>
      </c>
    </row>
    <row r="72">
      <c r="A72" s="141" t="n">
        <v>10</v>
      </c>
      <c r="B72" s="141">
        <f>YEAR(EDATE(DATE($B$5,$B$6,1),A72-1))</f>
        <v/>
      </c>
      <c r="C72" s="141">
        <f>MONTH(EDATE(DATE($B$5,$B$6,1),A72-1))</f>
        <v/>
      </c>
      <c r="D72" s="141">
        <f>DAY(EOMONTH(DATE(B72,C72,1),0))</f>
        <v/>
      </c>
      <c r="E72" s="141">
        <f>IFERROR(INDEX(법정공휴일!$B$4:$M$20,MATCH(B72,법정공휴일!$A$4:$A$20,0),C72),0)</f>
        <v/>
      </c>
      <c r="F72" s="141">
        <f>F71+D71</f>
        <v/>
      </c>
      <c r="G72" s="141">
        <f>INDEX($G$27:$R$27,C72)</f>
        <v/>
      </c>
      <c r="H72" s="141">
        <f>ROUND(G72*E72/D72,1)</f>
        <v/>
      </c>
      <c r="I72" s="141">
        <f>ROUND(MAX(G72+E72-H72,8),0)</f>
        <v/>
      </c>
      <c r="J72" s="141">
        <f>D72-I72</f>
        <v/>
      </c>
      <c r="K72" s="141">
        <f>K71+J71</f>
        <v/>
      </c>
      <c r="L72" s="141">
        <f>INDEX($G$28:$R$28,C72)</f>
        <v/>
      </c>
      <c r="M72" s="141">
        <f>ROUND(L72*E72/D72,1)</f>
        <v/>
      </c>
      <c r="N72" s="141">
        <f>ROUND(MAX(L72+E72-M72,8),0)</f>
        <v/>
      </c>
      <c r="O72" s="141">
        <f>D72-N72</f>
        <v/>
      </c>
      <c r="P72" s="141">
        <f>P71+O71</f>
        <v/>
      </c>
      <c r="Q72" s="141">
        <f>INDEX($G$29:$R$29,C72)</f>
        <v/>
      </c>
      <c r="R72" s="141">
        <f>ROUND(Q72*E72/D72,1)</f>
        <v/>
      </c>
      <c r="S72" s="141">
        <f>ROUND(MAX(Q72+E72-R72,8),0)</f>
        <v/>
      </c>
      <c r="T72" s="141">
        <f>D72-S72</f>
        <v/>
      </c>
      <c r="U72" s="141">
        <f>U71+T71</f>
        <v/>
      </c>
      <c r="V72" s="141">
        <f>INDEX($G$30:$R$30,C72)</f>
        <v/>
      </c>
      <c r="W72" s="141">
        <f>ROUND(V72*E72/D72,1)</f>
        <v/>
      </c>
      <c r="X72" s="141">
        <f>ROUND(MAX(V72+E72-W72,8),0)</f>
        <v/>
      </c>
      <c r="Y72" s="141">
        <f>D72-X72</f>
        <v/>
      </c>
      <c r="Z72" s="141">
        <f>Z71+Y71</f>
        <v/>
      </c>
    </row>
    <row r="73">
      <c r="A73" s="141" t="n">
        <v>11</v>
      </c>
      <c r="B73" s="141">
        <f>YEAR(EDATE(DATE($B$5,$B$6,1),A73-1))</f>
        <v/>
      </c>
      <c r="C73" s="141">
        <f>MONTH(EDATE(DATE($B$5,$B$6,1),A73-1))</f>
        <v/>
      </c>
      <c r="D73" s="141">
        <f>DAY(EOMONTH(DATE(B73,C73,1),0))</f>
        <v/>
      </c>
      <c r="E73" s="141">
        <f>IFERROR(INDEX(법정공휴일!$B$4:$M$20,MATCH(B73,법정공휴일!$A$4:$A$20,0),C73),0)</f>
        <v/>
      </c>
      <c r="F73" s="141">
        <f>F72+D72</f>
        <v/>
      </c>
      <c r="G73" s="141">
        <f>INDEX($G$27:$R$27,C73)</f>
        <v/>
      </c>
      <c r="H73" s="141">
        <f>ROUND(G73*E73/D73,1)</f>
        <v/>
      </c>
      <c r="I73" s="141">
        <f>ROUND(MAX(G73+E73-H73,8),0)</f>
        <v/>
      </c>
      <c r="J73" s="141">
        <f>D73-I73</f>
        <v/>
      </c>
      <c r="K73" s="141">
        <f>K72+J72</f>
        <v/>
      </c>
      <c r="L73" s="141">
        <f>INDEX($G$28:$R$28,C73)</f>
        <v/>
      </c>
      <c r="M73" s="141">
        <f>ROUND(L73*E73/D73,1)</f>
        <v/>
      </c>
      <c r="N73" s="141">
        <f>ROUND(MAX(L73+E73-M73,8),0)</f>
        <v/>
      </c>
      <c r="O73" s="141">
        <f>D73-N73</f>
        <v/>
      </c>
      <c r="P73" s="141">
        <f>P72+O72</f>
        <v/>
      </c>
      <c r="Q73" s="141">
        <f>INDEX($G$29:$R$29,C73)</f>
        <v/>
      </c>
      <c r="R73" s="141">
        <f>ROUND(Q73*E73/D73,1)</f>
        <v/>
      </c>
      <c r="S73" s="141">
        <f>ROUND(MAX(Q73+E73-R73,8),0)</f>
        <v/>
      </c>
      <c r="T73" s="141">
        <f>D73-S73</f>
        <v/>
      </c>
      <c r="U73" s="141">
        <f>U72+T72</f>
        <v/>
      </c>
      <c r="V73" s="141">
        <f>INDEX($G$30:$R$30,C73)</f>
        <v/>
      </c>
      <c r="W73" s="141">
        <f>ROUND(V73*E73/D73,1)</f>
        <v/>
      </c>
      <c r="X73" s="141">
        <f>ROUND(MAX(V73+E73-W73,8),0)</f>
        <v/>
      </c>
      <c r="Y73" s="141">
        <f>D73-X73</f>
        <v/>
      </c>
      <c r="Z73" s="141">
        <f>Z72+Y72</f>
        <v/>
      </c>
    </row>
    <row r="74">
      <c r="A74" s="141" t="n">
        <v>12</v>
      </c>
      <c r="B74" s="141">
        <f>YEAR(EDATE(DATE($B$5,$B$6,1),A74-1))</f>
        <v/>
      </c>
      <c r="C74" s="141">
        <f>MONTH(EDATE(DATE($B$5,$B$6,1),A74-1))</f>
        <v/>
      </c>
      <c r="D74" s="141">
        <f>DAY(EOMONTH(DATE(B74,C74,1),0))</f>
        <v/>
      </c>
      <c r="E74" s="141">
        <f>IFERROR(INDEX(법정공휴일!$B$4:$M$20,MATCH(B74,법정공휴일!$A$4:$A$20,0),C74),0)</f>
        <v/>
      </c>
      <c r="F74" s="141">
        <f>F73+D73</f>
        <v/>
      </c>
      <c r="G74" s="141">
        <f>INDEX($G$27:$R$27,C74)</f>
        <v/>
      </c>
      <c r="H74" s="141">
        <f>ROUND(G74*E74/D74,1)</f>
        <v/>
      </c>
      <c r="I74" s="141">
        <f>ROUND(MAX(G74+E74-H74,8),0)</f>
        <v/>
      </c>
      <c r="J74" s="141">
        <f>D74-I74</f>
        <v/>
      </c>
      <c r="K74" s="141">
        <f>K73+J73</f>
        <v/>
      </c>
      <c r="L74" s="141">
        <f>INDEX($G$28:$R$28,C74)</f>
        <v/>
      </c>
      <c r="M74" s="141">
        <f>ROUND(L74*E74/D74,1)</f>
        <v/>
      </c>
      <c r="N74" s="141">
        <f>ROUND(MAX(L74+E74-M74,8),0)</f>
        <v/>
      </c>
      <c r="O74" s="141">
        <f>D74-N74</f>
        <v/>
      </c>
      <c r="P74" s="141">
        <f>P73+O73</f>
        <v/>
      </c>
      <c r="Q74" s="141">
        <f>INDEX($G$29:$R$29,C74)</f>
        <v/>
      </c>
      <c r="R74" s="141">
        <f>ROUND(Q74*E74/D74,1)</f>
        <v/>
      </c>
      <c r="S74" s="141">
        <f>ROUND(MAX(Q74+E74-R74,8),0)</f>
        <v/>
      </c>
      <c r="T74" s="141">
        <f>D74-S74</f>
        <v/>
      </c>
      <c r="U74" s="141">
        <f>U73+T73</f>
        <v/>
      </c>
      <c r="V74" s="141">
        <f>INDEX($G$30:$R$30,C74)</f>
        <v/>
      </c>
      <c r="W74" s="141">
        <f>ROUND(V74*E74/D74,1)</f>
        <v/>
      </c>
      <c r="X74" s="141">
        <f>ROUND(MAX(V74+E74-W74,8),0)</f>
        <v/>
      </c>
      <c r="Y74" s="141">
        <f>D74-X74</f>
        <v/>
      </c>
      <c r="Z74" s="141">
        <f>Z73+Y73</f>
        <v/>
      </c>
    </row>
    <row r="75">
      <c r="A75" s="141" t="n">
        <v>13</v>
      </c>
      <c r="B75" s="141">
        <f>YEAR(EDATE(DATE($B$5,$B$6,1),A75-1))</f>
        <v/>
      </c>
      <c r="C75" s="141">
        <f>MONTH(EDATE(DATE($B$5,$B$6,1),A75-1))</f>
        <v/>
      </c>
      <c r="D75" s="141">
        <f>DAY(EOMONTH(DATE(B75,C75,1),0))</f>
        <v/>
      </c>
      <c r="E75" s="141">
        <f>IFERROR(INDEX(법정공휴일!$B$4:$M$20,MATCH(B75,법정공휴일!$A$4:$A$20,0),C75),0)</f>
        <v/>
      </c>
      <c r="F75" s="141">
        <f>F74+D74</f>
        <v/>
      </c>
      <c r="G75" s="141">
        <f>INDEX($G$27:$R$27,C75)</f>
        <v/>
      </c>
      <c r="H75" s="141">
        <f>ROUND(G75*E75/D75,1)</f>
        <v/>
      </c>
      <c r="I75" s="141">
        <f>ROUND(MAX(G75+E75-H75,8),0)</f>
        <v/>
      </c>
      <c r="J75" s="141">
        <f>D75-I75</f>
        <v/>
      </c>
      <c r="K75" s="141">
        <f>K74+J74</f>
        <v/>
      </c>
      <c r="L75" s="141">
        <f>INDEX($G$28:$R$28,C75)</f>
        <v/>
      </c>
      <c r="M75" s="141">
        <f>ROUND(L75*E75/D75,1)</f>
        <v/>
      </c>
      <c r="N75" s="141">
        <f>ROUND(MAX(L75+E75-M75,8),0)</f>
        <v/>
      </c>
      <c r="O75" s="141">
        <f>D75-N75</f>
        <v/>
      </c>
      <c r="P75" s="141">
        <f>P74+O74</f>
        <v/>
      </c>
      <c r="Q75" s="141">
        <f>INDEX($G$29:$R$29,C75)</f>
        <v/>
      </c>
      <c r="R75" s="141">
        <f>ROUND(Q75*E75/D75,1)</f>
        <v/>
      </c>
      <c r="S75" s="141">
        <f>ROUND(MAX(Q75+E75-R75,8),0)</f>
        <v/>
      </c>
      <c r="T75" s="141">
        <f>D75-S75</f>
        <v/>
      </c>
      <c r="U75" s="141">
        <f>U74+T74</f>
        <v/>
      </c>
      <c r="V75" s="141">
        <f>INDEX($G$30:$R$30,C75)</f>
        <v/>
      </c>
      <c r="W75" s="141">
        <f>ROUND(V75*E75/D75,1)</f>
        <v/>
      </c>
      <c r="X75" s="141">
        <f>ROUND(MAX(V75+E75-W75,8),0)</f>
        <v/>
      </c>
      <c r="Y75" s="141">
        <f>D75-X75</f>
        <v/>
      </c>
      <c r="Z75" s="141">
        <f>Z74+Y74</f>
        <v/>
      </c>
    </row>
    <row r="76">
      <c r="A76" s="141" t="n">
        <v>14</v>
      </c>
      <c r="B76" s="141">
        <f>YEAR(EDATE(DATE($B$5,$B$6,1),A76-1))</f>
        <v/>
      </c>
      <c r="C76" s="141">
        <f>MONTH(EDATE(DATE($B$5,$B$6,1),A76-1))</f>
        <v/>
      </c>
      <c r="D76" s="141">
        <f>DAY(EOMONTH(DATE(B76,C76,1),0))</f>
        <v/>
      </c>
      <c r="E76" s="141">
        <f>IFERROR(INDEX(법정공휴일!$B$4:$M$20,MATCH(B76,법정공휴일!$A$4:$A$20,0),C76),0)</f>
        <v/>
      </c>
      <c r="F76" s="141">
        <f>F75+D75</f>
        <v/>
      </c>
      <c r="G76" s="141">
        <f>INDEX($G$27:$R$27,C76)</f>
        <v/>
      </c>
      <c r="H76" s="141">
        <f>ROUND(G76*E76/D76,1)</f>
        <v/>
      </c>
      <c r="I76" s="141">
        <f>ROUND(MAX(G76+E76-H76,8),0)</f>
        <v/>
      </c>
      <c r="J76" s="141">
        <f>D76-I76</f>
        <v/>
      </c>
      <c r="K76" s="141">
        <f>K75+J75</f>
        <v/>
      </c>
      <c r="L76" s="141">
        <f>INDEX($G$28:$R$28,C76)</f>
        <v/>
      </c>
      <c r="M76" s="141">
        <f>ROUND(L76*E76/D76,1)</f>
        <v/>
      </c>
      <c r="N76" s="141">
        <f>ROUND(MAX(L76+E76-M76,8),0)</f>
        <v/>
      </c>
      <c r="O76" s="141">
        <f>D76-N76</f>
        <v/>
      </c>
      <c r="P76" s="141">
        <f>P75+O75</f>
        <v/>
      </c>
      <c r="Q76" s="141">
        <f>INDEX($G$29:$R$29,C76)</f>
        <v/>
      </c>
      <c r="R76" s="141">
        <f>ROUND(Q76*E76/D76,1)</f>
        <v/>
      </c>
      <c r="S76" s="141">
        <f>ROUND(MAX(Q76+E76-R76,8),0)</f>
        <v/>
      </c>
      <c r="T76" s="141">
        <f>D76-S76</f>
        <v/>
      </c>
      <c r="U76" s="141">
        <f>U75+T75</f>
        <v/>
      </c>
      <c r="V76" s="141">
        <f>INDEX($G$30:$R$30,C76)</f>
        <v/>
      </c>
      <c r="W76" s="141">
        <f>ROUND(V76*E76/D76,1)</f>
        <v/>
      </c>
      <c r="X76" s="141">
        <f>ROUND(MAX(V76+E76-W76,8),0)</f>
        <v/>
      </c>
      <c r="Y76" s="141">
        <f>D76-X76</f>
        <v/>
      </c>
      <c r="Z76" s="141">
        <f>Z75+Y75</f>
        <v/>
      </c>
    </row>
    <row r="77">
      <c r="A77" s="141" t="n">
        <v>15</v>
      </c>
      <c r="B77" s="141">
        <f>YEAR(EDATE(DATE($B$5,$B$6,1),A77-1))</f>
        <v/>
      </c>
      <c r="C77" s="141">
        <f>MONTH(EDATE(DATE($B$5,$B$6,1),A77-1))</f>
        <v/>
      </c>
      <c r="D77" s="141">
        <f>DAY(EOMONTH(DATE(B77,C77,1),0))</f>
        <v/>
      </c>
      <c r="E77" s="141">
        <f>IFERROR(INDEX(법정공휴일!$B$4:$M$20,MATCH(B77,법정공휴일!$A$4:$A$20,0),C77),0)</f>
        <v/>
      </c>
      <c r="F77" s="141">
        <f>F76+D76</f>
        <v/>
      </c>
      <c r="G77" s="141">
        <f>INDEX($G$27:$R$27,C77)</f>
        <v/>
      </c>
      <c r="H77" s="141">
        <f>ROUND(G77*E77/D77,1)</f>
        <v/>
      </c>
      <c r="I77" s="141">
        <f>ROUND(MAX(G77+E77-H77,8),0)</f>
        <v/>
      </c>
      <c r="J77" s="141">
        <f>D77-I77</f>
        <v/>
      </c>
      <c r="K77" s="141">
        <f>K76+J76</f>
        <v/>
      </c>
      <c r="L77" s="141">
        <f>INDEX($G$28:$R$28,C77)</f>
        <v/>
      </c>
      <c r="M77" s="141">
        <f>ROUND(L77*E77/D77,1)</f>
        <v/>
      </c>
      <c r="N77" s="141">
        <f>ROUND(MAX(L77+E77-M77,8),0)</f>
        <v/>
      </c>
      <c r="O77" s="141">
        <f>D77-N77</f>
        <v/>
      </c>
      <c r="P77" s="141">
        <f>P76+O76</f>
        <v/>
      </c>
      <c r="Q77" s="141">
        <f>INDEX($G$29:$R$29,C77)</f>
        <v/>
      </c>
      <c r="R77" s="141">
        <f>ROUND(Q77*E77/D77,1)</f>
        <v/>
      </c>
      <c r="S77" s="141">
        <f>ROUND(MAX(Q77+E77-R77,8),0)</f>
        <v/>
      </c>
      <c r="T77" s="141">
        <f>D77-S77</f>
        <v/>
      </c>
      <c r="U77" s="141">
        <f>U76+T76</f>
        <v/>
      </c>
      <c r="V77" s="141">
        <f>INDEX($G$30:$R$30,C77)</f>
        <v/>
      </c>
      <c r="W77" s="141">
        <f>ROUND(V77*E77/D77,1)</f>
        <v/>
      </c>
      <c r="X77" s="141">
        <f>ROUND(MAX(V77+E77-W77,8),0)</f>
        <v/>
      </c>
      <c r="Y77" s="141">
        <f>D77-X77</f>
        <v/>
      </c>
      <c r="Z77" s="141">
        <f>Z76+Y76</f>
        <v/>
      </c>
    </row>
    <row r="78">
      <c r="A78" s="141" t="n">
        <v>16</v>
      </c>
      <c r="B78" s="141">
        <f>YEAR(EDATE(DATE($B$5,$B$6,1),A78-1))</f>
        <v/>
      </c>
      <c r="C78" s="141">
        <f>MONTH(EDATE(DATE($B$5,$B$6,1),A78-1))</f>
        <v/>
      </c>
      <c r="D78" s="141">
        <f>DAY(EOMONTH(DATE(B78,C78,1),0))</f>
        <v/>
      </c>
      <c r="E78" s="141">
        <f>IFERROR(INDEX(법정공휴일!$B$4:$M$20,MATCH(B78,법정공휴일!$A$4:$A$20,0),C78),0)</f>
        <v/>
      </c>
      <c r="F78" s="141">
        <f>F77+D77</f>
        <v/>
      </c>
      <c r="G78" s="141">
        <f>INDEX($G$27:$R$27,C78)</f>
        <v/>
      </c>
      <c r="H78" s="141">
        <f>ROUND(G78*E78/D78,1)</f>
        <v/>
      </c>
      <c r="I78" s="141">
        <f>ROUND(MAX(G78+E78-H78,8),0)</f>
        <v/>
      </c>
      <c r="J78" s="141">
        <f>D78-I78</f>
        <v/>
      </c>
      <c r="K78" s="141">
        <f>K77+J77</f>
        <v/>
      </c>
      <c r="L78" s="141">
        <f>INDEX($G$28:$R$28,C78)</f>
        <v/>
      </c>
      <c r="M78" s="141">
        <f>ROUND(L78*E78/D78,1)</f>
        <v/>
      </c>
      <c r="N78" s="141">
        <f>ROUND(MAX(L78+E78-M78,8),0)</f>
        <v/>
      </c>
      <c r="O78" s="141">
        <f>D78-N78</f>
        <v/>
      </c>
      <c r="P78" s="141">
        <f>P77+O77</f>
        <v/>
      </c>
      <c r="Q78" s="141">
        <f>INDEX($G$29:$R$29,C78)</f>
        <v/>
      </c>
      <c r="R78" s="141">
        <f>ROUND(Q78*E78/D78,1)</f>
        <v/>
      </c>
      <c r="S78" s="141">
        <f>ROUND(MAX(Q78+E78-R78,8),0)</f>
        <v/>
      </c>
      <c r="T78" s="141">
        <f>D78-S78</f>
        <v/>
      </c>
      <c r="U78" s="141">
        <f>U77+T77</f>
        <v/>
      </c>
      <c r="V78" s="141">
        <f>INDEX($G$30:$R$30,C78)</f>
        <v/>
      </c>
      <c r="W78" s="141">
        <f>ROUND(V78*E78/D78,1)</f>
        <v/>
      </c>
      <c r="X78" s="141">
        <f>ROUND(MAX(V78+E78-W78,8),0)</f>
        <v/>
      </c>
      <c r="Y78" s="141">
        <f>D78-X78</f>
        <v/>
      </c>
      <c r="Z78" s="141">
        <f>Z77+Y77</f>
        <v/>
      </c>
    </row>
    <row r="79">
      <c r="A79" s="141" t="n">
        <v>17</v>
      </c>
      <c r="B79" s="141">
        <f>YEAR(EDATE(DATE($B$5,$B$6,1),A79-1))</f>
        <v/>
      </c>
      <c r="C79" s="141">
        <f>MONTH(EDATE(DATE($B$5,$B$6,1),A79-1))</f>
        <v/>
      </c>
      <c r="D79" s="141">
        <f>DAY(EOMONTH(DATE(B79,C79,1),0))</f>
        <v/>
      </c>
      <c r="E79" s="141">
        <f>IFERROR(INDEX(법정공휴일!$B$4:$M$20,MATCH(B79,법정공휴일!$A$4:$A$20,0),C79),0)</f>
        <v/>
      </c>
      <c r="F79" s="141">
        <f>F78+D78</f>
        <v/>
      </c>
      <c r="G79" s="141">
        <f>INDEX($G$27:$R$27,C79)</f>
        <v/>
      </c>
      <c r="H79" s="141">
        <f>ROUND(G79*E79/D79,1)</f>
        <v/>
      </c>
      <c r="I79" s="141">
        <f>ROUND(MAX(G79+E79-H79,8),0)</f>
        <v/>
      </c>
      <c r="J79" s="141">
        <f>D79-I79</f>
        <v/>
      </c>
      <c r="K79" s="141">
        <f>K78+J78</f>
        <v/>
      </c>
      <c r="L79" s="141">
        <f>INDEX($G$28:$R$28,C79)</f>
        <v/>
      </c>
      <c r="M79" s="141">
        <f>ROUND(L79*E79/D79,1)</f>
        <v/>
      </c>
      <c r="N79" s="141">
        <f>ROUND(MAX(L79+E79-M79,8),0)</f>
        <v/>
      </c>
      <c r="O79" s="141">
        <f>D79-N79</f>
        <v/>
      </c>
      <c r="P79" s="141">
        <f>P78+O78</f>
        <v/>
      </c>
      <c r="Q79" s="141">
        <f>INDEX($G$29:$R$29,C79)</f>
        <v/>
      </c>
      <c r="R79" s="141">
        <f>ROUND(Q79*E79/D79,1)</f>
        <v/>
      </c>
      <c r="S79" s="141">
        <f>ROUND(MAX(Q79+E79-R79,8),0)</f>
        <v/>
      </c>
      <c r="T79" s="141">
        <f>D79-S79</f>
        <v/>
      </c>
      <c r="U79" s="141">
        <f>U78+T78</f>
        <v/>
      </c>
      <c r="V79" s="141">
        <f>INDEX($G$30:$R$30,C79)</f>
        <v/>
      </c>
      <c r="W79" s="141">
        <f>ROUND(V79*E79/D79,1)</f>
        <v/>
      </c>
      <c r="X79" s="141">
        <f>ROUND(MAX(V79+E79-W79,8),0)</f>
        <v/>
      </c>
      <c r="Y79" s="141">
        <f>D79-X79</f>
        <v/>
      </c>
      <c r="Z79" s="141">
        <f>Z78+Y78</f>
        <v/>
      </c>
    </row>
    <row r="80">
      <c r="A80" s="141" t="n">
        <v>18</v>
      </c>
      <c r="B80" s="141">
        <f>YEAR(EDATE(DATE($B$5,$B$6,1),A80-1))</f>
        <v/>
      </c>
      <c r="C80" s="141">
        <f>MONTH(EDATE(DATE($B$5,$B$6,1),A80-1))</f>
        <v/>
      </c>
      <c r="D80" s="141">
        <f>DAY(EOMONTH(DATE(B80,C80,1),0))</f>
        <v/>
      </c>
      <c r="E80" s="141">
        <f>IFERROR(INDEX(법정공휴일!$B$4:$M$20,MATCH(B80,법정공휴일!$A$4:$A$20,0),C80),0)</f>
        <v/>
      </c>
      <c r="F80" s="141">
        <f>F79+D79</f>
        <v/>
      </c>
      <c r="G80" s="141">
        <f>INDEX($G$27:$R$27,C80)</f>
        <v/>
      </c>
      <c r="H80" s="141">
        <f>ROUND(G80*E80/D80,1)</f>
        <v/>
      </c>
      <c r="I80" s="141">
        <f>ROUND(MAX(G80+E80-H80,8),0)</f>
        <v/>
      </c>
      <c r="J80" s="141">
        <f>D80-I80</f>
        <v/>
      </c>
      <c r="K80" s="141">
        <f>K79+J79</f>
        <v/>
      </c>
      <c r="L80" s="141">
        <f>INDEX($G$28:$R$28,C80)</f>
        <v/>
      </c>
      <c r="M80" s="141">
        <f>ROUND(L80*E80/D80,1)</f>
        <v/>
      </c>
      <c r="N80" s="141">
        <f>ROUND(MAX(L80+E80-M80,8),0)</f>
        <v/>
      </c>
      <c r="O80" s="141">
        <f>D80-N80</f>
        <v/>
      </c>
      <c r="P80" s="141">
        <f>P79+O79</f>
        <v/>
      </c>
      <c r="Q80" s="141">
        <f>INDEX($G$29:$R$29,C80)</f>
        <v/>
      </c>
      <c r="R80" s="141">
        <f>ROUND(Q80*E80/D80,1)</f>
        <v/>
      </c>
      <c r="S80" s="141">
        <f>ROUND(MAX(Q80+E80-R80,8),0)</f>
        <v/>
      </c>
      <c r="T80" s="141">
        <f>D80-S80</f>
        <v/>
      </c>
      <c r="U80" s="141">
        <f>U79+T79</f>
        <v/>
      </c>
      <c r="V80" s="141">
        <f>INDEX($G$30:$R$30,C80)</f>
        <v/>
      </c>
      <c r="W80" s="141">
        <f>ROUND(V80*E80/D80,1)</f>
        <v/>
      </c>
      <c r="X80" s="141">
        <f>ROUND(MAX(V80+E80-W80,8),0)</f>
        <v/>
      </c>
      <c r="Y80" s="141">
        <f>D80-X80</f>
        <v/>
      </c>
      <c r="Z80" s="141">
        <f>Z79+Y79</f>
        <v/>
      </c>
    </row>
    <row r="81">
      <c r="A81" s="141" t="n">
        <v>19</v>
      </c>
      <c r="B81" s="141">
        <f>YEAR(EDATE(DATE($B$5,$B$6,1),A81-1))</f>
        <v/>
      </c>
      <c r="C81" s="141">
        <f>MONTH(EDATE(DATE($B$5,$B$6,1),A81-1))</f>
        <v/>
      </c>
      <c r="D81" s="141">
        <f>DAY(EOMONTH(DATE(B81,C81,1),0))</f>
        <v/>
      </c>
      <c r="E81" s="141">
        <f>IFERROR(INDEX(법정공휴일!$B$4:$M$20,MATCH(B81,법정공휴일!$A$4:$A$20,0),C81),0)</f>
        <v/>
      </c>
      <c r="F81" s="141">
        <f>F80+D80</f>
        <v/>
      </c>
      <c r="G81" s="141">
        <f>INDEX($G$27:$R$27,C81)</f>
        <v/>
      </c>
      <c r="H81" s="141">
        <f>ROUND(G81*E81/D81,1)</f>
        <v/>
      </c>
      <c r="I81" s="141">
        <f>ROUND(MAX(G81+E81-H81,8),0)</f>
        <v/>
      </c>
      <c r="J81" s="141">
        <f>D81-I81</f>
        <v/>
      </c>
      <c r="K81" s="141">
        <f>K80+J80</f>
        <v/>
      </c>
      <c r="L81" s="141">
        <f>INDEX($G$28:$R$28,C81)</f>
        <v/>
      </c>
      <c r="M81" s="141">
        <f>ROUND(L81*E81/D81,1)</f>
        <v/>
      </c>
      <c r="N81" s="141">
        <f>ROUND(MAX(L81+E81-M81,8),0)</f>
        <v/>
      </c>
      <c r="O81" s="141">
        <f>D81-N81</f>
        <v/>
      </c>
      <c r="P81" s="141">
        <f>P80+O80</f>
        <v/>
      </c>
      <c r="Q81" s="141">
        <f>INDEX($G$29:$R$29,C81)</f>
        <v/>
      </c>
      <c r="R81" s="141">
        <f>ROUND(Q81*E81/D81,1)</f>
        <v/>
      </c>
      <c r="S81" s="141">
        <f>ROUND(MAX(Q81+E81-R81,8),0)</f>
        <v/>
      </c>
      <c r="T81" s="141">
        <f>D81-S81</f>
        <v/>
      </c>
      <c r="U81" s="141">
        <f>U80+T80</f>
        <v/>
      </c>
      <c r="V81" s="141">
        <f>INDEX($G$30:$R$30,C81)</f>
        <v/>
      </c>
      <c r="W81" s="141">
        <f>ROUND(V81*E81/D81,1)</f>
        <v/>
      </c>
      <c r="X81" s="141">
        <f>ROUND(MAX(V81+E81-W81,8),0)</f>
        <v/>
      </c>
      <c r="Y81" s="141">
        <f>D81-X81</f>
        <v/>
      </c>
      <c r="Z81" s="141">
        <f>Z80+Y80</f>
        <v/>
      </c>
    </row>
    <row r="82">
      <c r="A82" s="141" t="n">
        <v>20</v>
      </c>
      <c r="B82" s="141">
        <f>YEAR(EDATE(DATE($B$5,$B$6,1),A82-1))</f>
        <v/>
      </c>
      <c r="C82" s="141">
        <f>MONTH(EDATE(DATE($B$5,$B$6,1),A82-1))</f>
        <v/>
      </c>
      <c r="D82" s="141">
        <f>DAY(EOMONTH(DATE(B82,C82,1),0))</f>
        <v/>
      </c>
      <c r="E82" s="141">
        <f>IFERROR(INDEX(법정공휴일!$B$4:$M$20,MATCH(B82,법정공휴일!$A$4:$A$20,0),C82),0)</f>
        <v/>
      </c>
      <c r="F82" s="141">
        <f>F81+D81</f>
        <v/>
      </c>
      <c r="G82" s="141">
        <f>INDEX($G$27:$R$27,C82)</f>
        <v/>
      </c>
      <c r="H82" s="141">
        <f>ROUND(G82*E82/D82,1)</f>
        <v/>
      </c>
      <c r="I82" s="141">
        <f>ROUND(MAX(G82+E82-H82,8),0)</f>
        <v/>
      </c>
      <c r="J82" s="141">
        <f>D82-I82</f>
        <v/>
      </c>
      <c r="K82" s="141">
        <f>K81+J81</f>
        <v/>
      </c>
      <c r="L82" s="141">
        <f>INDEX($G$28:$R$28,C82)</f>
        <v/>
      </c>
      <c r="M82" s="141">
        <f>ROUND(L82*E82/D82,1)</f>
        <v/>
      </c>
      <c r="N82" s="141">
        <f>ROUND(MAX(L82+E82-M82,8),0)</f>
        <v/>
      </c>
      <c r="O82" s="141">
        <f>D82-N82</f>
        <v/>
      </c>
      <c r="P82" s="141">
        <f>P81+O81</f>
        <v/>
      </c>
      <c r="Q82" s="141">
        <f>INDEX($G$29:$R$29,C82)</f>
        <v/>
      </c>
      <c r="R82" s="141">
        <f>ROUND(Q82*E82/D82,1)</f>
        <v/>
      </c>
      <c r="S82" s="141">
        <f>ROUND(MAX(Q82+E82-R82,8),0)</f>
        <v/>
      </c>
      <c r="T82" s="141">
        <f>D82-S82</f>
        <v/>
      </c>
      <c r="U82" s="141">
        <f>U81+T81</f>
        <v/>
      </c>
      <c r="V82" s="141">
        <f>INDEX($G$30:$R$30,C82)</f>
        <v/>
      </c>
      <c r="W82" s="141">
        <f>ROUND(V82*E82/D82,1)</f>
        <v/>
      </c>
      <c r="X82" s="141">
        <f>ROUND(MAX(V82+E82-W82,8),0)</f>
        <v/>
      </c>
      <c r="Y82" s="141">
        <f>D82-X82</f>
        <v/>
      </c>
      <c r="Z82" s="141">
        <f>Z81+Y81</f>
        <v/>
      </c>
    </row>
    <row r="83">
      <c r="A83" s="141" t="n">
        <v>21</v>
      </c>
      <c r="B83" s="141">
        <f>YEAR(EDATE(DATE($B$5,$B$6,1),A83-1))</f>
        <v/>
      </c>
      <c r="C83" s="141">
        <f>MONTH(EDATE(DATE($B$5,$B$6,1),A83-1))</f>
        <v/>
      </c>
      <c r="D83" s="141">
        <f>DAY(EOMONTH(DATE(B83,C83,1),0))</f>
        <v/>
      </c>
      <c r="E83" s="141">
        <f>IFERROR(INDEX(법정공휴일!$B$4:$M$20,MATCH(B83,법정공휴일!$A$4:$A$20,0),C83),0)</f>
        <v/>
      </c>
      <c r="F83" s="141">
        <f>F82+D82</f>
        <v/>
      </c>
      <c r="G83" s="141">
        <f>INDEX($G$27:$R$27,C83)</f>
        <v/>
      </c>
      <c r="H83" s="141">
        <f>ROUND(G83*E83/D83,1)</f>
        <v/>
      </c>
      <c r="I83" s="141">
        <f>ROUND(MAX(G83+E83-H83,8),0)</f>
        <v/>
      </c>
      <c r="J83" s="141">
        <f>D83-I83</f>
        <v/>
      </c>
      <c r="K83" s="141">
        <f>K82+J82</f>
        <v/>
      </c>
      <c r="L83" s="141">
        <f>INDEX($G$28:$R$28,C83)</f>
        <v/>
      </c>
      <c r="M83" s="141">
        <f>ROUND(L83*E83/D83,1)</f>
        <v/>
      </c>
      <c r="N83" s="141">
        <f>ROUND(MAX(L83+E83-M83,8),0)</f>
        <v/>
      </c>
      <c r="O83" s="141">
        <f>D83-N83</f>
        <v/>
      </c>
      <c r="P83" s="141">
        <f>P82+O82</f>
        <v/>
      </c>
      <c r="Q83" s="141">
        <f>INDEX($G$29:$R$29,C83)</f>
        <v/>
      </c>
      <c r="R83" s="141">
        <f>ROUND(Q83*E83/D83,1)</f>
        <v/>
      </c>
      <c r="S83" s="141">
        <f>ROUND(MAX(Q83+E83-R83,8),0)</f>
        <v/>
      </c>
      <c r="T83" s="141">
        <f>D83-S83</f>
        <v/>
      </c>
      <c r="U83" s="141">
        <f>U82+T82</f>
        <v/>
      </c>
      <c r="V83" s="141">
        <f>INDEX($G$30:$R$30,C83)</f>
        <v/>
      </c>
      <c r="W83" s="141">
        <f>ROUND(V83*E83/D83,1)</f>
        <v/>
      </c>
      <c r="X83" s="141">
        <f>ROUND(MAX(V83+E83-W83,8),0)</f>
        <v/>
      </c>
      <c r="Y83" s="141">
        <f>D83-X83</f>
        <v/>
      </c>
      <c r="Z83" s="141">
        <f>Z82+Y82</f>
        <v/>
      </c>
    </row>
    <row r="84">
      <c r="A84" s="141" t="n">
        <v>22</v>
      </c>
      <c r="B84" s="141">
        <f>YEAR(EDATE(DATE($B$5,$B$6,1),A84-1))</f>
        <v/>
      </c>
      <c r="C84" s="141">
        <f>MONTH(EDATE(DATE($B$5,$B$6,1),A84-1))</f>
        <v/>
      </c>
      <c r="D84" s="141">
        <f>DAY(EOMONTH(DATE(B84,C84,1),0))</f>
        <v/>
      </c>
      <c r="E84" s="141">
        <f>IFERROR(INDEX(법정공휴일!$B$4:$M$20,MATCH(B84,법정공휴일!$A$4:$A$20,0),C84),0)</f>
        <v/>
      </c>
      <c r="F84" s="141">
        <f>F83+D83</f>
        <v/>
      </c>
      <c r="G84" s="141">
        <f>INDEX($G$27:$R$27,C84)</f>
        <v/>
      </c>
      <c r="H84" s="141">
        <f>ROUND(G84*E84/D84,1)</f>
        <v/>
      </c>
      <c r="I84" s="141">
        <f>ROUND(MAX(G84+E84-H84,8),0)</f>
        <v/>
      </c>
      <c r="J84" s="141">
        <f>D84-I84</f>
        <v/>
      </c>
      <c r="K84" s="141">
        <f>K83+J83</f>
        <v/>
      </c>
      <c r="L84" s="141">
        <f>INDEX($G$28:$R$28,C84)</f>
        <v/>
      </c>
      <c r="M84" s="141">
        <f>ROUND(L84*E84/D84,1)</f>
        <v/>
      </c>
      <c r="N84" s="141">
        <f>ROUND(MAX(L84+E84-M84,8),0)</f>
        <v/>
      </c>
      <c r="O84" s="141">
        <f>D84-N84</f>
        <v/>
      </c>
      <c r="P84" s="141">
        <f>P83+O83</f>
        <v/>
      </c>
      <c r="Q84" s="141">
        <f>INDEX($G$29:$R$29,C84)</f>
        <v/>
      </c>
      <c r="R84" s="141">
        <f>ROUND(Q84*E84/D84,1)</f>
        <v/>
      </c>
      <c r="S84" s="141">
        <f>ROUND(MAX(Q84+E84-R84,8),0)</f>
        <v/>
      </c>
      <c r="T84" s="141">
        <f>D84-S84</f>
        <v/>
      </c>
      <c r="U84" s="141">
        <f>U83+T83</f>
        <v/>
      </c>
      <c r="V84" s="141">
        <f>INDEX($G$30:$R$30,C84)</f>
        <v/>
      </c>
      <c r="W84" s="141">
        <f>ROUND(V84*E84/D84,1)</f>
        <v/>
      </c>
      <c r="X84" s="141">
        <f>ROUND(MAX(V84+E84-W84,8),0)</f>
        <v/>
      </c>
      <c r="Y84" s="141">
        <f>D84-X84</f>
        <v/>
      </c>
      <c r="Z84" s="141">
        <f>Z83+Y83</f>
        <v/>
      </c>
    </row>
    <row r="85">
      <c r="A85" s="141" t="n">
        <v>23</v>
      </c>
      <c r="B85" s="141">
        <f>YEAR(EDATE(DATE($B$5,$B$6,1),A85-1))</f>
        <v/>
      </c>
      <c r="C85" s="141">
        <f>MONTH(EDATE(DATE($B$5,$B$6,1),A85-1))</f>
        <v/>
      </c>
      <c r="D85" s="141">
        <f>DAY(EOMONTH(DATE(B85,C85,1),0))</f>
        <v/>
      </c>
      <c r="E85" s="141">
        <f>IFERROR(INDEX(법정공휴일!$B$4:$M$20,MATCH(B85,법정공휴일!$A$4:$A$20,0),C85),0)</f>
        <v/>
      </c>
      <c r="F85" s="141">
        <f>F84+D84</f>
        <v/>
      </c>
      <c r="G85" s="141">
        <f>INDEX($G$27:$R$27,C85)</f>
        <v/>
      </c>
      <c r="H85" s="141">
        <f>ROUND(G85*E85/D85,1)</f>
        <v/>
      </c>
      <c r="I85" s="141">
        <f>ROUND(MAX(G85+E85-H85,8),0)</f>
        <v/>
      </c>
      <c r="J85" s="141">
        <f>D85-I85</f>
        <v/>
      </c>
      <c r="K85" s="141">
        <f>K84+J84</f>
        <v/>
      </c>
      <c r="L85" s="141">
        <f>INDEX($G$28:$R$28,C85)</f>
        <v/>
      </c>
      <c r="M85" s="141">
        <f>ROUND(L85*E85/D85,1)</f>
        <v/>
      </c>
      <c r="N85" s="141">
        <f>ROUND(MAX(L85+E85-M85,8),0)</f>
        <v/>
      </c>
      <c r="O85" s="141">
        <f>D85-N85</f>
        <v/>
      </c>
      <c r="P85" s="141">
        <f>P84+O84</f>
        <v/>
      </c>
      <c r="Q85" s="141">
        <f>INDEX($G$29:$R$29,C85)</f>
        <v/>
      </c>
      <c r="R85" s="141">
        <f>ROUND(Q85*E85/D85,1)</f>
        <v/>
      </c>
      <c r="S85" s="141">
        <f>ROUND(MAX(Q85+E85-R85,8),0)</f>
        <v/>
      </c>
      <c r="T85" s="141">
        <f>D85-S85</f>
        <v/>
      </c>
      <c r="U85" s="141">
        <f>U84+T84</f>
        <v/>
      </c>
      <c r="V85" s="141">
        <f>INDEX($G$30:$R$30,C85)</f>
        <v/>
      </c>
      <c r="W85" s="141">
        <f>ROUND(V85*E85/D85,1)</f>
        <v/>
      </c>
      <c r="X85" s="141">
        <f>ROUND(MAX(V85+E85-W85,8),0)</f>
        <v/>
      </c>
      <c r="Y85" s="141">
        <f>D85-X85</f>
        <v/>
      </c>
      <c r="Z85" s="141">
        <f>Z84+Y84</f>
        <v/>
      </c>
    </row>
    <row r="86">
      <c r="A86" s="141" t="n">
        <v>24</v>
      </c>
      <c r="B86" s="141">
        <f>YEAR(EDATE(DATE($B$5,$B$6,1),A86-1))</f>
        <v/>
      </c>
      <c r="C86" s="141">
        <f>MONTH(EDATE(DATE($B$5,$B$6,1),A86-1))</f>
        <v/>
      </c>
      <c r="D86" s="141">
        <f>DAY(EOMONTH(DATE(B86,C86,1),0))</f>
        <v/>
      </c>
      <c r="E86" s="141">
        <f>IFERROR(INDEX(법정공휴일!$B$4:$M$20,MATCH(B86,법정공휴일!$A$4:$A$20,0),C86),0)</f>
        <v/>
      </c>
      <c r="F86" s="141">
        <f>F85+D85</f>
        <v/>
      </c>
      <c r="G86" s="141">
        <f>INDEX($G$27:$R$27,C86)</f>
        <v/>
      </c>
      <c r="H86" s="141">
        <f>ROUND(G86*E86/D86,1)</f>
        <v/>
      </c>
      <c r="I86" s="141">
        <f>ROUND(MAX(G86+E86-H86,8),0)</f>
        <v/>
      </c>
      <c r="J86" s="141">
        <f>D86-I86</f>
        <v/>
      </c>
      <c r="K86" s="141">
        <f>K85+J85</f>
        <v/>
      </c>
      <c r="L86" s="141">
        <f>INDEX($G$28:$R$28,C86)</f>
        <v/>
      </c>
      <c r="M86" s="141">
        <f>ROUND(L86*E86/D86,1)</f>
        <v/>
      </c>
      <c r="N86" s="141">
        <f>ROUND(MAX(L86+E86-M86,8),0)</f>
        <v/>
      </c>
      <c r="O86" s="141">
        <f>D86-N86</f>
        <v/>
      </c>
      <c r="P86" s="141">
        <f>P85+O85</f>
        <v/>
      </c>
      <c r="Q86" s="141">
        <f>INDEX($G$29:$R$29,C86)</f>
        <v/>
      </c>
      <c r="R86" s="141">
        <f>ROUND(Q86*E86/D86,1)</f>
        <v/>
      </c>
      <c r="S86" s="141">
        <f>ROUND(MAX(Q86+E86-R86,8),0)</f>
        <v/>
      </c>
      <c r="T86" s="141">
        <f>D86-S86</f>
        <v/>
      </c>
      <c r="U86" s="141">
        <f>U85+T85</f>
        <v/>
      </c>
      <c r="V86" s="141">
        <f>INDEX($G$30:$R$30,C86)</f>
        <v/>
      </c>
      <c r="W86" s="141">
        <f>ROUND(V86*E86/D86,1)</f>
        <v/>
      </c>
      <c r="X86" s="141">
        <f>ROUND(MAX(V86+E86-W86,8),0)</f>
        <v/>
      </c>
      <c r="Y86" s="141">
        <f>D86-X86</f>
        <v/>
      </c>
      <c r="Z86" s="141">
        <f>Z85+Y85</f>
        <v/>
      </c>
    </row>
    <row r="87">
      <c r="A87" s="141" t="n">
        <v>25</v>
      </c>
      <c r="B87" s="141">
        <f>YEAR(EDATE(DATE($B$5,$B$6,1),A87-1))</f>
        <v/>
      </c>
      <c r="C87" s="141">
        <f>MONTH(EDATE(DATE($B$5,$B$6,1),A87-1))</f>
        <v/>
      </c>
      <c r="D87" s="141">
        <f>DAY(EOMONTH(DATE(B87,C87,1),0))</f>
        <v/>
      </c>
      <c r="E87" s="141">
        <f>IFERROR(INDEX(법정공휴일!$B$4:$M$20,MATCH(B87,법정공휴일!$A$4:$A$20,0),C87),0)</f>
        <v/>
      </c>
      <c r="F87" s="141">
        <f>F86+D86</f>
        <v/>
      </c>
      <c r="G87" s="141">
        <f>INDEX($G$27:$R$27,C87)</f>
        <v/>
      </c>
      <c r="H87" s="141">
        <f>ROUND(G87*E87/D87,1)</f>
        <v/>
      </c>
      <c r="I87" s="141">
        <f>ROUND(MAX(G87+E87-H87,8),0)</f>
        <v/>
      </c>
      <c r="J87" s="141">
        <f>D87-I87</f>
        <v/>
      </c>
      <c r="K87" s="141">
        <f>K86+J86</f>
        <v/>
      </c>
      <c r="L87" s="141">
        <f>INDEX($G$28:$R$28,C87)</f>
        <v/>
      </c>
      <c r="M87" s="141">
        <f>ROUND(L87*E87/D87,1)</f>
        <v/>
      </c>
      <c r="N87" s="141">
        <f>ROUND(MAX(L87+E87-M87,8),0)</f>
        <v/>
      </c>
      <c r="O87" s="141">
        <f>D87-N87</f>
        <v/>
      </c>
      <c r="P87" s="141">
        <f>P86+O86</f>
        <v/>
      </c>
      <c r="Q87" s="141">
        <f>INDEX($G$29:$R$29,C87)</f>
        <v/>
      </c>
      <c r="R87" s="141">
        <f>ROUND(Q87*E87/D87,1)</f>
        <v/>
      </c>
      <c r="S87" s="141">
        <f>ROUND(MAX(Q87+E87-R87,8),0)</f>
        <v/>
      </c>
      <c r="T87" s="141">
        <f>D87-S87</f>
        <v/>
      </c>
      <c r="U87" s="141">
        <f>U86+T86</f>
        <v/>
      </c>
      <c r="V87" s="141">
        <f>INDEX($G$30:$R$30,C87)</f>
        <v/>
      </c>
      <c r="W87" s="141">
        <f>ROUND(V87*E87/D87,1)</f>
        <v/>
      </c>
      <c r="X87" s="141">
        <f>ROUND(MAX(V87+E87-W87,8),0)</f>
        <v/>
      </c>
      <c r="Y87" s="141">
        <f>D87-X87</f>
        <v/>
      </c>
      <c r="Z87" s="141">
        <f>Z86+Y86</f>
        <v/>
      </c>
    </row>
    <row r="88">
      <c r="A88" s="141" t="n">
        <v>26</v>
      </c>
      <c r="B88" s="141">
        <f>YEAR(EDATE(DATE($B$5,$B$6,1),A88-1))</f>
        <v/>
      </c>
      <c r="C88" s="141">
        <f>MONTH(EDATE(DATE($B$5,$B$6,1),A88-1))</f>
        <v/>
      </c>
      <c r="D88" s="141">
        <f>DAY(EOMONTH(DATE(B88,C88,1),0))</f>
        <v/>
      </c>
      <c r="E88" s="141">
        <f>IFERROR(INDEX(법정공휴일!$B$4:$M$20,MATCH(B88,법정공휴일!$A$4:$A$20,0),C88),0)</f>
        <v/>
      </c>
      <c r="F88" s="141">
        <f>F87+D87</f>
        <v/>
      </c>
      <c r="G88" s="141">
        <f>INDEX($G$27:$R$27,C88)</f>
        <v/>
      </c>
      <c r="H88" s="141">
        <f>ROUND(G88*E88/D88,1)</f>
        <v/>
      </c>
      <c r="I88" s="141">
        <f>ROUND(MAX(G88+E88-H88,8),0)</f>
        <v/>
      </c>
      <c r="J88" s="141">
        <f>D88-I88</f>
        <v/>
      </c>
      <c r="K88" s="141">
        <f>K87+J87</f>
        <v/>
      </c>
      <c r="L88" s="141">
        <f>INDEX($G$28:$R$28,C88)</f>
        <v/>
      </c>
      <c r="M88" s="141">
        <f>ROUND(L88*E88/D88,1)</f>
        <v/>
      </c>
      <c r="N88" s="141">
        <f>ROUND(MAX(L88+E88-M88,8),0)</f>
        <v/>
      </c>
      <c r="O88" s="141">
        <f>D88-N88</f>
        <v/>
      </c>
      <c r="P88" s="141">
        <f>P87+O87</f>
        <v/>
      </c>
      <c r="Q88" s="141">
        <f>INDEX($G$29:$R$29,C88)</f>
        <v/>
      </c>
      <c r="R88" s="141">
        <f>ROUND(Q88*E88/D88,1)</f>
        <v/>
      </c>
      <c r="S88" s="141">
        <f>ROUND(MAX(Q88+E88-R88,8),0)</f>
        <v/>
      </c>
      <c r="T88" s="141">
        <f>D88-S88</f>
        <v/>
      </c>
      <c r="U88" s="141">
        <f>U87+T87</f>
        <v/>
      </c>
      <c r="V88" s="141">
        <f>INDEX($G$30:$R$30,C88)</f>
        <v/>
      </c>
      <c r="W88" s="141">
        <f>ROUND(V88*E88/D88,1)</f>
        <v/>
      </c>
      <c r="X88" s="141">
        <f>ROUND(MAX(V88+E88-W88,8),0)</f>
        <v/>
      </c>
      <c r="Y88" s="141">
        <f>D88-X88</f>
        <v/>
      </c>
      <c r="Z88" s="141">
        <f>Z87+Y87</f>
        <v/>
      </c>
    </row>
    <row r="89">
      <c r="A89" s="141" t="n">
        <v>27</v>
      </c>
      <c r="B89" s="141">
        <f>YEAR(EDATE(DATE($B$5,$B$6,1),A89-1))</f>
        <v/>
      </c>
      <c r="C89" s="141">
        <f>MONTH(EDATE(DATE($B$5,$B$6,1),A89-1))</f>
        <v/>
      </c>
      <c r="D89" s="141">
        <f>DAY(EOMONTH(DATE(B89,C89,1),0))</f>
        <v/>
      </c>
      <c r="E89" s="141">
        <f>IFERROR(INDEX(법정공휴일!$B$4:$M$20,MATCH(B89,법정공휴일!$A$4:$A$20,0),C89),0)</f>
        <v/>
      </c>
      <c r="F89" s="141">
        <f>F88+D88</f>
        <v/>
      </c>
      <c r="G89" s="141">
        <f>INDEX($G$27:$R$27,C89)</f>
        <v/>
      </c>
      <c r="H89" s="141">
        <f>ROUND(G89*E89/D89,1)</f>
        <v/>
      </c>
      <c r="I89" s="141">
        <f>ROUND(MAX(G89+E89-H89,8),0)</f>
        <v/>
      </c>
      <c r="J89" s="141">
        <f>D89-I89</f>
        <v/>
      </c>
      <c r="K89" s="141">
        <f>K88+J88</f>
        <v/>
      </c>
      <c r="L89" s="141">
        <f>INDEX($G$28:$R$28,C89)</f>
        <v/>
      </c>
      <c r="M89" s="141">
        <f>ROUND(L89*E89/D89,1)</f>
        <v/>
      </c>
      <c r="N89" s="141">
        <f>ROUND(MAX(L89+E89-M89,8),0)</f>
        <v/>
      </c>
      <c r="O89" s="141">
        <f>D89-N89</f>
        <v/>
      </c>
      <c r="P89" s="141">
        <f>P88+O88</f>
        <v/>
      </c>
      <c r="Q89" s="141">
        <f>INDEX($G$29:$R$29,C89)</f>
        <v/>
      </c>
      <c r="R89" s="141">
        <f>ROUND(Q89*E89/D89,1)</f>
        <v/>
      </c>
      <c r="S89" s="141">
        <f>ROUND(MAX(Q89+E89-R89,8),0)</f>
        <v/>
      </c>
      <c r="T89" s="141">
        <f>D89-S89</f>
        <v/>
      </c>
      <c r="U89" s="141">
        <f>U88+T88</f>
        <v/>
      </c>
      <c r="V89" s="141">
        <f>INDEX($G$30:$R$30,C89)</f>
        <v/>
      </c>
      <c r="W89" s="141">
        <f>ROUND(V89*E89/D89,1)</f>
        <v/>
      </c>
      <c r="X89" s="141">
        <f>ROUND(MAX(V89+E89-W89,8),0)</f>
        <v/>
      </c>
      <c r="Y89" s="141">
        <f>D89-X89</f>
        <v/>
      </c>
      <c r="Z89" s="141">
        <f>Z88+Y88</f>
        <v/>
      </c>
    </row>
    <row r="90">
      <c r="A90" s="141" t="n">
        <v>28</v>
      </c>
      <c r="B90" s="141">
        <f>YEAR(EDATE(DATE($B$5,$B$6,1),A90-1))</f>
        <v/>
      </c>
      <c r="C90" s="141">
        <f>MONTH(EDATE(DATE($B$5,$B$6,1),A90-1))</f>
        <v/>
      </c>
      <c r="D90" s="141">
        <f>DAY(EOMONTH(DATE(B90,C90,1),0))</f>
        <v/>
      </c>
      <c r="E90" s="141">
        <f>IFERROR(INDEX(법정공휴일!$B$4:$M$20,MATCH(B90,법정공휴일!$A$4:$A$20,0),C90),0)</f>
        <v/>
      </c>
      <c r="F90" s="141">
        <f>F89+D89</f>
        <v/>
      </c>
      <c r="G90" s="141">
        <f>INDEX($G$27:$R$27,C90)</f>
        <v/>
      </c>
      <c r="H90" s="141">
        <f>ROUND(G90*E90/D90,1)</f>
        <v/>
      </c>
      <c r="I90" s="141">
        <f>ROUND(MAX(G90+E90-H90,8),0)</f>
        <v/>
      </c>
      <c r="J90" s="141">
        <f>D90-I90</f>
        <v/>
      </c>
      <c r="K90" s="141">
        <f>K89+J89</f>
        <v/>
      </c>
      <c r="L90" s="141">
        <f>INDEX($G$28:$R$28,C90)</f>
        <v/>
      </c>
      <c r="M90" s="141">
        <f>ROUND(L90*E90/D90,1)</f>
        <v/>
      </c>
      <c r="N90" s="141">
        <f>ROUND(MAX(L90+E90-M90,8),0)</f>
        <v/>
      </c>
      <c r="O90" s="141">
        <f>D90-N90</f>
        <v/>
      </c>
      <c r="P90" s="141">
        <f>P89+O89</f>
        <v/>
      </c>
      <c r="Q90" s="141">
        <f>INDEX($G$29:$R$29,C90)</f>
        <v/>
      </c>
      <c r="R90" s="141">
        <f>ROUND(Q90*E90/D90,1)</f>
        <v/>
      </c>
      <c r="S90" s="141">
        <f>ROUND(MAX(Q90+E90-R90,8),0)</f>
        <v/>
      </c>
      <c r="T90" s="141">
        <f>D90-S90</f>
        <v/>
      </c>
      <c r="U90" s="141">
        <f>U89+T89</f>
        <v/>
      </c>
      <c r="V90" s="141">
        <f>INDEX($G$30:$R$30,C90)</f>
        <v/>
      </c>
      <c r="W90" s="141">
        <f>ROUND(V90*E90/D90,1)</f>
        <v/>
      </c>
      <c r="X90" s="141">
        <f>ROUND(MAX(V90+E90-W90,8),0)</f>
        <v/>
      </c>
      <c r="Y90" s="141">
        <f>D90-X90</f>
        <v/>
      </c>
      <c r="Z90" s="141">
        <f>Z89+Y89</f>
        <v/>
      </c>
    </row>
    <row r="91">
      <c r="A91" s="141" t="n">
        <v>29</v>
      </c>
      <c r="B91" s="141">
        <f>YEAR(EDATE(DATE($B$5,$B$6,1),A91-1))</f>
        <v/>
      </c>
      <c r="C91" s="141">
        <f>MONTH(EDATE(DATE($B$5,$B$6,1),A91-1))</f>
        <v/>
      </c>
      <c r="D91" s="141">
        <f>DAY(EOMONTH(DATE(B91,C91,1),0))</f>
        <v/>
      </c>
      <c r="E91" s="141">
        <f>IFERROR(INDEX(법정공휴일!$B$4:$M$20,MATCH(B91,법정공휴일!$A$4:$A$20,0),C91),0)</f>
        <v/>
      </c>
      <c r="F91" s="141">
        <f>F90+D90</f>
        <v/>
      </c>
      <c r="G91" s="141">
        <f>INDEX($G$27:$R$27,C91)</f>
        <v/>
      </c>
      <c r="H91" s="141">
        <f>ROUND(G91*E91/D91,1)</f>
        <v/>
      </c>
      <c r="I91" s="141">
        <f>ROUND(MAX(G91+E91-H91,8),0)</f>
        <v/>
      </c>
      <c r="J91" s="141">
        <f>D91-I91</f>
        <v/>
      </c>
      <c r="K91" s="141">
        <f>K90+J90</f>
        <v/>
      </c>
      <c r="L91" s="141">
        <f>INDEX($G$28:$R$28,C91)</f>
        <v/>
      </c>
      <c r="M91" s="141">
        <f>ROUND(L91*E91/D91,1)</f>
        <v/>
      </c>
      <c r="N91" s="141">
        <f>ROUND(MAX(L91+E91-M91,8),0)</f>
        <v/>
      </c>
      <c r="O91" s="141">
        <f>D91-N91</f>
        <v/>
      </c>
      <c r="P91" s="141">
        <f>P90+O90</f>
        <v/>
      </c>
      <c r="Q91" s="141">
        <f>INDEX($G$29:$R$29,C91)</f>
        <v/>
      </c>
      <c r="R91" s="141">
        <f>ROUND(Q91*E91/D91,1)</f>
        <v/>
      </c>
      <c r="S91" s="141">
        <f>ROUND(MAX(Q91+E91-R91,8),0)</f>
        <v/>
      </c>
      <c r="T91" s="141">
        <f>D91-S91</f>
        <v/>
      </c>
      <c r="U91" s="141">
        <f>U90+T90</f>
        <v/>
      </c>
      <c r="V91" s="141">
        <f>INDEX($G$30:$R$30,C91)</f>
        <v/>
      </c>
      <c r="W91" s="141">
        <f>ROUND(V91*E91/D91,1)</f>
        <v/>
      </c>
      <c r="X91" s="141">
        <f>ROUND(MAX(V91+E91-W91,8),0)</f>
        <v/>
      </c>
      <c r="Y91" s="141">
        <f>D91-X91</f>
        <v/>
      </c>
      <c r="Z91" s="141">
        <f>Z90+Y90</f>
        <v/>
      </c>
    </row>
    <row r="92">
      <c r="A92" s="141" t="n">
        <v>30</v>
      </c>
      <c r="B92" s="141">
        <f>YEAR(EDATE(DATE($B$5,$B$6,1),A92-1))</f>
        <v/>
      </c>
      <c r="C92" s="141">
        <f>MONTH(EDATE(DATE($B$5,$B$6,1),A92-1))</f>
        <v/>
      </c>
      <c r="D92" s="141">
        <f>DAY(EOMONTH(DATE(B92,C92,1),0))</f>
        <v/>
      </c>
      <c r="E92" s="141">
        <f>IFERROR(INDEX(법정공휴일!$B$4:$M$20,MATCH(B92,법정공휴일!$A$4:$A$20,0),C92),0)</f>
        <v/>
      </c>
      <c r="F92" s="141">
        <f>F91+D91</f>
        <v/>
      </c>
      <c r="G92" s="141">
        <f>INDEX($G$27:$R$27,C92)</f>
        <v/>
      </c>
      <c r="H92" s="141">
        <f>ROUND(G92*E92/D92,1)</f>
        <v/>
      </c>
      <c r="I92" s="141">
        <f>ROUND(MAX(G92+E92-H92,8),0)</f>
        <v/>
      </c>
      <c r="J92" s="141">
        <f>D92-I92</f>
        <v/>
      </c>
      <c r="K92" s="141">
        <f>K91+J91</f>
        <v/>
      </c>
      <c r="L92" s="141">
        <f>INDEX($G$28:$R$28,C92)</f>
        <v/>
      </c>
      <c r="M92" s="141">
        <f>ROUND(L92*E92/D92,1)</f>
        <v/>
      </c>
      <c r="N92" s="141">
        <f>ROUND(MAX(L92+E92-M92,8),0)</f>
        <v/>
      </c>
      <c r="O92" s="141">
        <f>D92-N92</f>
        <v/>
      </c>
      <c r="P92" s="141">
        <f>P91+O91</f>
        <v/>
      </c>
      <c r="Q92" s="141">
        <f>INDEX($G$29:$R$29,C92)</f>
        <v/>
      </c>
      <c r="R92" s="141">
        <f>ROUND(Q92*E92/D92,1)</f>
        <v/>
      </c>
      <c r="S92" s="141">
        <f>ROUND(MAX(Q92+E92-R92,8),0)</f>
        <v/>
      </c>
      <c r="T92" s="141">
        <f>D92-S92</f>
        <v/>
      </c>
      <c r="U92" s="141">
        <f>U91+T91</f>
        <v/>
      </c>
      <c r="V92" s="141">
        <f>INDEX($G$30:$R$30,C92)</f>
        <v/>
      </c>
      <c r="W92" s="141">
        <f>ROUND(V92*E92/D92,1)</f>
        <v/>
      </c>
      <c r="X92" s="141">
        <f>ROUND(MAX(V92+E92-W92,8),0)</f>
        <v/>
      </c>
      <c r="Y92" s="141">
        <f>D92-X92</f>
        <v/>
      </c>
      <c r="Z92" s="141">
        <f>Z91+Y91</f>
        <v/>
      </c>
    </row>
    <row r="93">
      <c r="A93" s="141" t="n">
        <v>31</v>
      </c>
      <c r="B93" s="141">
        <f>YEAR(EDATE(DATE($B$5,$B$6,1),A93-1))</f>
        <v/>
      </c>
      <c r="C93" s="141">
        <f>MONTH(EDATE(DATE($B$5,$B$6,1),A93-1))</f>
        <v/>
      </c>
      <c r="D93" s="141">
        <f>DAY(EOMONTH(DATE(B93,C93,1),0))</f>
        <v/>
      </c>
      <c r="E93" s="141">
        <f>IFERROR(INDEX(법정공휴일!$B$4:$M$20,MATCH(B93,법정공휴일!$A$4:$A$20,0),C93),0)</f>
        <v/>
      </c>
      <c r="F93" s="141">
        <f>F92+D92</f>
        <v/>
      </c>
      <c r="G93" s="141">
        <f>INDEX($G$27:$R$27,C93)</f>
        <v/>
      </c>
      <c r="H93" s="141">
        <f>ROUND(G93*E93/D93,1)</f>
        <v/>
      </c>
      <c r="I93" s="141">
        <f>ROUND(MAX(G93+E93-H93,8),0)</f>
        <v/>
      </c>
      <c r="J93" s="141">
        <f>D93-I93</f>
        <v/>
      </c>
      <c r="K93" s="141">
        <f>K92+J92</f>
        <v/>
      </c>
      <c r="L93" s="141">
        <f>INDEX($G$28:$R$28,C93)</f>
        <v/>
      </c>
      <c r="M93" s="141">
        <f>ROUND(L93*E93/D93,1)</f>
        <v/>
      </c>
      <c r="N93" s="141">
        <f>ROUND(MAX(L93+E93-M93,8),0)</f>
        <v/>
      </c>
      <c r="O93" s="141">
        <f>D93-N93</f>
        <v/>
      </c>
      <c r="P93" s="141">
        <f>P92+O92</f>
        <v/>
      </c>
      <c r="Q93" s="141">
        <f>INDEX($G$29:$R$29,C93)</f>
        <v/>
      </c>
      <c r="R93" s="141">
        <f>ROUND(Q93*E93/D93,1)</f>
        <v/>
      </c>
      <c r="S93" s="141">
        <f>ROUND(MAX(Q93+E93-R93,8),0)</f>
        <v/>
      </c>
      <c r="T93" s="141">
        <f>D93-S93</f>
        <v/>
      </c>
      <c r="U93" s="141">
        <f>U92+T92</f>
        <v/>
      </c>
      <c r="V93" s="141">
        <f>INDEX($G$30:$R$30,C93)</f>
        <v/>
      </c>
      <c r="W93" s="141">
        <f>ROUND(V93*E93/D93,1)</f>
        <v/>
      </c>
      <c r="X93" s="141">
        <f>ROUND(MAX(V93+E93-W93,8),0)</f>
        <v/>
      </c>
      <c r="Y93" s="141">
        <f>D93-X93</f>
        <v/>
      </c>
      <c r="Z93" s="141">
        <f>Z92+Y92</f>
        <v/>
      </c>
    </row>
    <row r="94">
      <c r="A94" s="141" t="n">
        <v>32</v>
      </c>
      <c r="B94" s="141">
        <f>YEAR(EDATE(DATE($B$5,$B$6,1),A94-1))</f>
        <v/>
      </c>
      <c r="C94" s="141">
        <f>MONTH(EDATE(DATE($B$5,$B$6,1),A94-1))</f>
        <v/>
      </c>
      <c r="D94" s="141">
        <f>DAY(EOMONTH(DATE(B94,C94,1),0))</f>
        <v/>
      </c>
      <c r="E94" s="141">
        <f>IFERROR(INDEX(법정공휴일!$B$4:$M$20,MATCH(B94,법정공휴일!$A$4:$A$20,0),C94),0)</f>
        <v/>
      </c>
      <c r="F94" s="141">
        <f>F93+D93</f>
        <v/>
      </c>
      <c r="G94" s="141">
        <f>INDEX($G$27:$R$27,C94)</f>
        <v/>
      </c>
      <c r="H94" s="141">
        <f>ROUND(G94*E94/D94,1)</f>
        <v/>
      </c>
      <c r="I94" s="141">
        <f>ROUND(MAX(G94+E94-H94,8),0)</f>
        <v/>
      </c>
      <c r="J94" s="141">
        <f>D94-I94</f>
        <v/>
      </c>
      <c r="K94" s="141">
        <f>K93+J93</f>
        <v/>
      </c>
      <c r="L94" s="141">
        <f>INDEX($G$28:$R$28,C94)</f>
        <v/>
      </c>
      <c r="M94" s="141">
        <f>ROUND(L94*E94/D94,1)</f>
        <v/>
      </c>
      <c r="N94" s="141">
        <f>ROUND(MAX(L94+E94-M94,8),0)</f>
        <v/>
      </c>
      <c r="O94" s="141">
        <f>D94-N94</f>
        <v/>
      </c>
      <c r="P94" s="141">
        <f>P93+O93</f>
        <v/>
      </c>
      <c r="Q94" s="141">
        <f>INDEX($G$29:$R$29,C94)</f>
        <v/>
      </c>
      <c r="R94" s="141">
        <f>ROUND(Q94*E94/D94,1)</f>
        <v/>
      </c>
      <c r="S94" s="141">
        <f>ROUND(MAX(Q94+E94-R94,8),0)</f>
        <v/>
      </c>
      <c r="T94" s="141">
        <f>D94-S94</f>
        <v/>
      </c>
      <c r="U94" s="141">
        <f>U93+T93</f>
        <v/>
      </c>
      <c r="V94" s="141">
        <f>INDEX($G$30:$R$30,C94)</f>
        <v/>
      </c>
      <c r="W94" s="141">
        <f>ROUND(V94*E94/D94,1)</f>
        <v/>
      </c>
      <c r="X94" s="141">
        <f>ROUND(MAX(V94+E94-W94,8),0)</f>
        <v/>
      </c>
      <c r="Y94" s="141">
        <f>D94-X94</f>
        <v/>
      </c>
      <c r="Z94" s="141">
        <f>Z93+Y93</f>
        <v/>
      </c>
    </row>
    <row r="95">
      <c r="A95" s="141" t="n">
        <v>33</v>
      </c>
      <c r="B95" s="141">
        <f>YEAR(EDATE(DATE($B$5,$B$6,1),A95-1))</f>
        <v/>
      </c>
      <c r="C95" s="141">
        <f>MONTH(EDATE(DATE($B$5,$B$6,1),A95-1))</f>
        <v/>
      </c>
      <c r="D95" s="141">
        <f>DAY(EOMONTH(DATE(B95,C95,1),0))</f>
        <v/>
      </c>
      <c r="E95" s="141">
        <f>IFERROR(INDEX(법정공휴일!$B$4:$M$20,MATCH(B95,법정공휴일!$A$4:$A$20,0),C95),0)</f>
        <v/>
      </c>
      <c r="F95" s="141">
        <f>F94+D94</f>
        <v/>
      </c>
      <c r="G95" s="141">
        <f>INDEX($G$27:$R$27,C95)</f>
        <v/>
      </c>
      <c r="H95" s="141">
        <f>ROUND(G95*E95/D95,1)</f>
        <v/>
      </c>
      <c r="I95" s="141">
        <f>ROUND(MAX(G95+E95-H95,8),0)</f>
        <v/>
      </c>
      <c r="J95" s="141">
        <f>D95-I95</f>
        <v/>
      </c>
      <c r="K95" s="141">
        <f>K94+J94</f>
        <v/>
      </c>
      <c r="L95" s="141">
        <f>INDEX($G$28:$R$28,C95)</f>
        <v/>
      </c>
      <c r="M95" s="141">
        <f>ROUND(L95*E95/D95,1)</f>
        <v/>
      </c>
      <c r="N95" s="141">
        <f>ROUND(MAX(L95+E95-M95,8),0)</f>
        <v/>
      </c>
      <c r="O95" s="141">
        <f>D95-N95</f>
        <v/>
      </c>
      <c r="P95" s="141">
        <f>P94+O94</f>
        <v/>
      </c>
      <c r="Q95" s="141">
        <f>INDEX($G$29:$R$29,C95)</f>
        <v/>
      </c>
      <c r="R95" s="141">
        <f>ROUND(Q95*E95/D95,1)</f>
        <v/>
      </c>
      <c r="S95" s="141">
        <f>ROUND(MAX(Q95+E95-R95,8),0)</f>
        <v/>
      </c>
      <c r="T95" s="141">
        <f>D95-S95</f>
        <v/>
      </c>
      <c r="U95" s="141">
        <f>U94+T94</f>
        <v/>
      </c>
      <c r="V95" s="141">
        <f>INDEX($G$30:$R$30,C95)</f>
        <v/>
      </c>
      <c r="W95" s="141">
        <f>ROUND(V95*E95/D95,1)</f>
        <v/>
      </c>
      <c r="X95" s="141">
        <f>ROUND(MAX(V95+E95-W95,8),0)</f>
        <v/>
      </c>
      <c r="Y95" s="141">
        <f>D95-X95</f>
        <v/>
      </c>
      <c r="Z95" s="141">
        <f>Z94+Y94</f>
        <v/>
      </c>
    </row>
    <row r="96">
      <c r="A96" s="141" t="n">
        <v>34</v>
      </c>
      <c r="B96" s="141">
        <f>YEAR(EDATE(DATE($B$5,$B$6,1),A96-1))</f>
        <v/>
      </c>
      <c r="C96" s="141">
        <f>MONTH(EDATE(DATE($B$5,$B$6,1),A96-1))</f>
        <v/>
      </c>
      <c r="D96" s="141">
        <f>DAY(EOMONTH(DATE(B96,C96,1),0))</f>
        <v/>
      </c>
      <c r="E96" s="141">
        <f>IFERROR(INDEX(법정공휴일!$B$4:$M$20,MATCH(B96,법정공휴일!$A$4:$A$20,0),C96),0)</f>
        <v/>
      </c>
      <c r="F96" s="141">
        <f>F95+D95</f>
        <v/>
      </c>
      <c r="G96" s="141">
        <f>INDEX($G$27:$R$27,C96)</f>
        <v/>
      </c>
      <c r="H96" s="141">
        <f>ROUND(G96*E96/D96,1)</f>
        <v/>
      </c>
      <c r="I96" s="141">
        <f>ROUND(MAX(G96+E96-H96,8),0)</f>
        <v/>
      </c>
      <c r="J96" s="141">
        <f>D96-I96</f>
        <v/>
      </c>
      <c r="K96" s="141">
        <f>K95+J95</f>
        <v/>
      </c>
      <c r="L96" s="141">
        <f>INDEX($G$28:$R$28,C96)</f>
        <v/>
      </c>
      <c r="M96" s="141">
        <f>ROUND(L96*E96/D96,1)</f>
        <v/>
      </c>
      <c r="N96" s="141">
        <f>ROUND(MAX(L96+E96-M96,8),0)</f>
        <v/>
      </c>
      <c r="O96" s="141">
        <f>D96-N96</f>
        <v/>
      </c>
      <c r="P96" s="141">
        <f>P95+O95</f>
        <v/>
      </c>
      <c r="Q96" s="141">
        <f>INDEX($G$29:$R$29,C96)</f>
        <v/>
      </c>
      <c r="R96" s="141">
        <f>ROUND(Q96*E96/D96,1)</f>
        <v/>
      </c>
      <c r="S96" s="141">
        <f>ROUND(MAX(Q96+E96-R96,8),0)</f>
        <v/>
      </c>
      <c r="T96" s="141">
        <f>D96-S96</f>
        <v/>
      </c>
      <c r="U96" s="141">
        <f>U95+T95</f>
        <v/>
      </c>
      <c r="V96" s="141">
        <f>INDEX($G$30:$R$30,C96)</f>
        <v/>
      </c>
      <c r="W96" s="141">
        <f>ROUND(V96*E96/D96,1)</f>
        <v/>
      </c>
      <c r="X96" s="141">
        <f>ROUND(MAX(V96+E96-W96,8),0)</f>
        <v/>
      </c>
      <c r="Y96" s="141">
        <f>D96-X96</f>
        <v/>
      </c>
      <c r="Z96" s="141">
        <f>Z95+Y95</f>
        <v/>
      </c>
    </row>
    <row r="97">
      <c r="A97" s="141" t="n">
        <v>35</v>
      </c>
      <c r="B97" s="141">
        <f>YEAR(EDATE(DATE($B$5,$B$6,1),A97-1))</f>
        <v/>
      </c>
      <c r="C97" s="141">
        <f>MONTH(EDATE(DATE($B$5,$B$6,1),A97-1))</f>
        <v/>
      </c>
      <c r="D97" s="141">
        <f>DAY(EOMONTH(DATE(B97,C97,1),0))</f>
        <v/>
      </c>
      <c r="E97" s="141">
        <f>IFERROR(INDEX(법정공휴일!$B$4:$M$20,MATCH(B97,법정공휴일!$A$4:$A$20,0),C97),0)</f>
        <v/>
      </c>
      <c r="F97" s="141">
        <f>F96+D96</f>
        <v/>
      </c>
      <c r="G97" s="141">
        <f>INDEX($G$27:$R$27,C97)</f>
        <v/>
      </c>
      <c r="H97" s="141">
        <f>ROUND(G97*E97/D97,1)</f>
        <v/>
      </c>
      <c r="I97" s="141">
        <f>ROUND(MAX(G97+E97-H97,8),0)</f>
        <v/>
      </c>
      <c r="J97" s="141">
        <f>D97-I97</f>
        <v/>
      </c>
      <c r="K97" s="141">
        <f>K96+J96</f>
        <v/>
      </c>
      <c r="L97" s="141">
        <f>INDEX($G$28:$R$28,C97)</f>
        <v/>
      </c>
      <c r="M97" s="141">
        <f>ROUND(L97*E97/D97,1)</f>
        <v/>
      </c>
      <c r="N97" s="141">
        <f>ROUND(MAX(L97+E97-M97,8),0)</f>
        <v/>
      </c>
      <c r="O97" s="141">
        <f>D97-N97</f>
        <v/>
      </c>
      <c r="P97" s="141">
        <f>P96+O96</f>
        <v/>
      </c>
      <c r="Q97" s="141">
        <f>INDEX($G$29:$R$29,C97)</f>
        <v/>
      </c>
      <c r="R97" s="141">
        <f>ROUND(Q97*E97/D97,1)</f>
        <v/>
      </c>
      <c r="S97" s="141">
        <f>ROUND(MAX(Q97+E97-R97,8),0)</f>
        <v/>
      </c>
      <c r="T97" s="141">
        <f>D97-S97</f>
        <v/>
      </c>
      <c r="U97" s="141">
        <f>U96+T96</f>
        <v/>
      </c>
      <c r="V97" s="141">
        <f>INDEX($G$30:$R$30,C97)</f>
        <v/>
      </c>
      <c r="W97" s="141">
        <f>ROUND(V97*E97/D97,1)</f>
        <v/>
      </c>
      <c r="X97" s="141">
        <f>ROUND(MAX(V97+E97-W97,8),0)</f>
        <v/>
      </c>
      <c r="Y97" s="141">
        <f>D97-X97</f>
        <v/>
      </c>
      <c r="Z97" s="141">
        <f>Z96+Y96</f>
        <v/>
      </c>
    </row>
    <row r="98">
      <c r="A98" s="141" t="n">
        <v>36</v>
      </c>
      <c r="B98" s="141">
        <f>YEAR(EDATE(DATE($B$5,$B$6,1),A98-1))</f>
        <v/>
      </c>
      <c r="C98" s="141">
        <f>MONTH(EDATE(DATE($B$5,$B$6,1),A98-1))</f>
        <v/>
      </c>
      <c r="D98" s="141">
        <f>DAY(EOMONTH(DATE(B98,C98,1),0))</f>
        <v/>
      </c>
      <c r="E98" s="141">
        <f>IFERROR(INDEX(법정공휴일!$B$4:$M$20,MATCH(B98,법정공휴일!$A$4:$A$20,0),C98),0)</f>
        <v/>
      </c>
      <c r="F98" s="141">
        <f>F97+D97</f>
        <v/>
      </c>
      <c r="G98" s="141">
        <f>INDEX($G$27:$R$27,C98)</f>
        <v/>
      </c>
      <c r="H98" s="141">
        <f>ROUND(G98*E98/D98,1)</f>
        <v/>
      </c>
      <c r="I98" s="141">
        <f>ROUND(MAX(G98+E98-H98,8),0)</f>
        <v/>
      </c>
      <c r="J98" s="141">
        <f>D98-I98</f>
        <v/>
      </c>
      <c r="K98" s="141">
        <f>K97+J97</f>
        <v/>
      </c>
      <c r="L98" s="141">
        <f>INDEX($G$28:$R$28,C98)</f>
        <v/>
      </c>
      <c r="M98" s="141">
        <f>ROUND(L98*E98/D98,1)</f>
        <v/>
      </c>
      <c r="N98" s="141">
        <f>ROUND(MAX(L98+E98-M98,8),0)</f>
        <v/>
      </c>
      <c r="O98" s="141">
        <f>D98-N98</f>
        <v/>
      </c>
      <c r="P98" s="141">
        <f>P97+O97</f>
        <v/>
      </c>
      <c r="Q98" s="141">
        <f>INDEX($G$29:$R$29,C98)</f>
        <v/>
      </c>
      <c r="R98" s="141">
        <f>ROUND(Q98*E98/D98,1)</f>
        <v/>
      </c>
      <c r="S98" s="141">
        <f>ROUND(MAX(Q98+E98-R98,8),0)</f>
        <v/>
      </c>
      <c r="T98" s="141">
        <f>D98-S98</f>
        <v/>
      </c>
      <c r="U98" s="141">
        <f>U97+T97</f>
        <v/>
      </c>
      <c r="V98" s="141">
        <f>INDEX($G$30:$R$30,C98)</f>
        <v/>
      </c>
      <c r="W98" s="141">
        <f>ROUND(V98*E98/D98,1)</f>
        <v/>
      </c>
      <c r="X98" s="141">
        <f>ROUND(MAX(V98+E98-W98,8),0)</f>
        <v/>
      </c>
      <c r="Y98" s="141">
        <f>D98-X98</f>
        <v/>
      </c>
      <c r="Z98" s="141">
        <f>Z97+Y97</f>
        <v/>
      </c>
    </row>
    <row r="99">
      <c r="A99" s="141" t="n">
        <v>37</v>
      </c>
      <c r="B99" s="141">
        <f>YEAR(EDATE(DATE($B$5,$B$6,1),A99-1))</f>
        <v/>
      </c>
      <c r="C99" s="141">
        <f>MONTH(EDATE(DATE($B$5,$B$6,1),A99-1))</f>
        <v/>
      </c>
      <c r="D99" s="141">
        <f>DAY(EOMONTH(DATE(B99,C99,1),0))</f>
        <v/>
      </c>
      <c r="E99" s="141">
        <f>IFERROR(INDEX(법정공휴일!$B$4:$M$20,MATCH(B99,법정공휴일!$A$4:$A$20,0),C99),0)</f>
        <v/>
      </c>
      <c r="F99" s="141">
        <f>F98+D98</f>
        <v/>
      </c>
      <c r="G99" s="141">
        <f>INDEX($G$27:$R$27,C99)</f>
        <v/>
      </c>
      <c r="H99" s="141">
        <f>ROUND(G99*E99/D99,1)</f>
        <v/>
      </c>
      <c r="I99" s="141">
        <f>ROUND(MAX(G99+E99-H99,8),0)</f>
        <v/>
      </c>
      <c r="J99" s="141">
        <f>D99-I99</f>
        <v/>
      </c>
      <c r="K99" s="141">
        <f>K98+J98</f>
        <v/>
      </c>
      <c r="L99" s="141">
        <f>INDEX($G$28:$R$28,C99)</f>
        <v/>
      </c>
      <c r="M99" s="141">
        <f>ROUND(L99*E99/D99,1)</f>
        <v/>
      </c>
      <c r="N99" s="141">
        <f>ROUND(MAX(L99+E99-M99,8),0)</f>
        <v/>
      </c>
      <c r="O99" s="141">
        <f>D99-N99</f>
        <v/>
      </c>
      <c r="P99" s="141">
        <f>P98+O98</f>
        <v/>
      </c>
      <c r="Q99" s="141">
        <f>INDEX($G$29:$R$29,C99)</f>
        <v/>
      </c>
      <c r="R99" s="141">
        <f>ROUND(Q99*E99/D99,1)</f>
        <v/>
      </c>
      <c r="S99" s="141">
        <f>ROUND(MAX(Q99+E99-R99,8),0)</f>
        <v/>
      </c>
      <c r="T99" s="141">
        <f>D99-S99</f>
        <v/>
      </c>
      <c r="U99" s="141">
        <f>U98+T98</f>
        <v/>
      </c>
      <c r="V99" s="141">
        <f>INDEX($G$30:$R$30,C99)</f>
        <v/>
      </c>
      <c r="W99" s="141">
        <f>ROUND(V99*E99/D99,1)</f>
        <v/>
      </c>
      <c r="X99" s="141">
        <f>ROUND(MAX(V99+E99-W99,8),0)</f>
        <v/>
      </c>
      <c r="Y99" s="141">
        <f>D99-X99</f>
        <v/>
      </c>
      <c r="Z99" s="141">
        <f>Z98+Y98</f>
        <v/>
      </c>
    </row>
    <row r="100">
      <c r="A100" s="141" t="n">
        <v>38</v>
      </c>
      <c r="B100" s="141">
        <f>YEAR(EDATE(DATE($B$5,$B$6,1),A100-1))</f>
        <v/>
      </c>
      <c r="C100" s="141">
        <f>MONTH(EDATE(DATE($B$5,$B$6,1),A100-1))</f>
        <v/>
      </c>
      <c r="D100" s="141">
        <f>DAY(EOMONTH(DATE(B100,C100,1),0))</f>
        <v/>
      </c>
      <c r="E100" s="141">
        <f>IFERROR(INDEX(법정공휴일!$B$4:$M$20,MATCH(B100,법정공휴일!$A$4:$A$20,0),C100),0)</f>
        <v/>
      </c>
      <c r="F100" s="141">
        <f>F99+D99</f>
        <v/>
      </c>
      <c r="G100" s="141">
        <f>INDEX($G$27:$R$27,C100)</f>
        <v/>
      </c>
      <c r="H100" s="141">
        <f>ROUND(G100*E100/D100,1)</f>
        <v/>
      </c>
      <c r="I100" s="141">
        <f>ROUND(MAX(G100+E100-H100,8),0)</f>
        <v/>
      </c>
      <c r="J100" s="141">
        <f>D100-I100</f>
        <v/>
      </c>
      <c r="K100" s="141">
        <f>K99+J99</f>
        <v/>
      </c>
      <c r="L100" s="141">
        <f>INDEX($G$28:$R$28,C100)</f>
        <v/>
      </c>
      <c r="M100" s="141">
        <f>ROUND(L100*E100/D100,1)</f>
        <v/>
      </c>
      <c r="N100" s="141">
        <f>ROUND(MAX(L100+E100-M100,8),0)</f>
        <v/>
      </c>
      <c r="O100" s="141">
        <f>D100-N100</f>
        <v/>
      </c>
      <c r="P100" s="141">
        <f>P99+O99</f>
        <v/>
      </c>
      <c r="Q100" s="141">
        <f>INDEX($G$29:$R$29,C100)</f>
        <v/>
      </c>
      <c r="R100" s="141">
        <f>ROUND(Q100*E100/D100,1)</f>
        <v/>
      </c>
      <c r="S100" s="141">
        <f>ROUND(MAX(Q100+E100-R100,8),0)</f>
        <v/>
      </c>
      <c r="T100" s="141">
        <f>D100-S100</f>
        <v/>
      </c>
      <c r="U100" s="141">
        <f>U99+T99</f>
        <v/>
      </c>
      <c r="V100" s="141">
        <f>INDEX($G$30:$R$30,C100)</f>
        <v/>
      </c>
      <c r="W100" s="141">
        <f>ROUND(V100*E100/D100,1)</f>
        <v/>
      </c>
      <c r="X100" s="141">
        <f>ROUND(MAX(V100+E100-W100,8),0)</f>
        <v/>
      </c>
      <c r="Y100" s="141">
        <f>D100-X100</f>
        <v/>
      </c>
      <c r="Z100" s="141">
        <f>Z99+Y99</f>
        <v/>
      </c>
    </row>
    <row r="101">
      <c r="A101" s="141" t="n">
        <v>39</v>
      </c>
      <c r="B101" s="141">
        <f>YEAR(EDATE(DATE($B$5,$B$6,1),A101-1))</f>
        <v/>
      </c>
      <c r="C101" s="141">
        <f>MONTH(EDATE(DATE($B$5,$B$6,1),A101-1))</f>
        <v/>
      </c>
      <c r="D101" s="141">
        <f>DAY(EOMONTH(DATE(B101,C101,1),0))</f>
        <v/>
      </c>
      <c r="E101" s="141">
        <f>IFERROR(INDEX(법정공휴일!$B$4:$M$20,MATCH(B101,법정공휴일!$A$4:$A$20,0),C101),0)</f>
        <v/>
      </c>
      <c r="F101" s="141">
        <f>F100+D100</f>
        <v/>
      </c>
      <c r="G101" s="141">
        <f>INDEX($G$27:$R$27,C101)</f>
        <v/>
      </c>
      <c r="H101" s="141">
        <f>ROUND(G101*E101/D101,1)</f>
        <v/>
      </c>
      <c r="I101" s="141">
        <f>ROUND(MAX(G101+E101-H101,8),0)</f>
        <v/>
      </c>
      <c r="J101" s="141">
        <f>D101-I101</f>
        <v/>
      </c>
      <c r="K101" s="141">
        <f>K100+J100</f>
        <v/>
      </c>
      <c r="L101" s="141">
        <f>INDEX($G$28:$R$28,C101)</f>
        <v/>
      </c>
      <c r="M101" s="141">
        <f>ROUND(L101*E101/D101,1)</f>
        <v/>
      </c>
      <c r="N101" s="141">
        <f>ROUND(MAX(L101+E101-M101,8),0)</f>
        <v/>
      </c>
      <c r="O101" s="141">
        <f>D101-N101</f>
        <v/>
      </c>
      <c r="P101" s="141">
        <f>P100+O100</f>
        <v/>
      </c>
      <c r="Q101" s="141">
        <f>INDEX($G$29:$R$29,C101)</f>
        <v/>
      </c>
      <c r="R101" s="141">
        <f>ROUND(Q101*E101/D101,1)</f>
        <v/>
      </c>
      <c r="S101" s="141">
        <f>ROUND(MAX(Q101+E101-R101,8),0)</f>
        <v/>
      </c>
      <c r="T101" s="141">
        <f>D101-S101</f>
        <v/>
      </c>
      <c r="U101" s="141">
        <f>U100+T100</f>
        <v/>
      </c>
      <c r="V101" s="141">
        <f>INDEX($G$30:$R$30,C101)</f>
        <v/>
      </c>
      <c r="W101" s="141">
        <f>ROUND(V101*E101/D101,1)</f>
        <v/>
      </c>
      <c r="X101" s="141">
        <f>ROUND(MAX(V101+E101-W101,8),0)</f>
        <v/>
      </c>
      <c r="Y101" s="141">
        <f>D101-X101</f>
        <v/>
      </c>
      <c r="Z101" s="141">
        <f>Z100+Y100</f>
        <v/>
      </c>
    </row>
    <row r="102">
      <c r="A102" s="141" t="n">
        <v>40</v>
      </c>
      <c r="B102" s="141">
        <f>YEAR(EDATE(DATE($B$5,$B$6,1),A102-1))</f>
        <v/>
      </c>
      <c r="C102" s="141">
        <f>MONTH(EDATE(DATE($B$5,$B$6,1),A102-1))</f>
        <v/>
      </c>
      <c r="D102" s="141">
        <f>DAY(EOMONTH(DATE(B102,C102,1),0))</f>
        <v/>
      </c>
      <c r="E102" s="141">
        <f>IFERROR(INDEX(법정공휴일!$B$4:$M$20,MATCH(B102,법정공휴일!$A$4:$A$20,0),C102),0)</f>
        <v/>
      </c>
      <c r="F102" s="141">
        <f>F101+D101</f>
        <v/>
      </c>
      <c r="G102" s="141">
        <f>INDEX($G$27:$R$27,C102)</f>
        <v/>
      </c>
      <c r="H102" s="141">
        <f>ROUND(G102*E102/D102,1)</f>
        <v/>
      </c>
      <c r="I102" s="141">
        <f>ROUND(MAX(G102+E102-H102,8),0)</f>
        <v/>
      </c>
      <c r="J102" s="141">
        <f>D102-I102</f>
        <v/>
      </c>
      <c r="K102" s="141">
        <f>K101+J101</f>
        <v/>
      </c>
      <c r="L102" s="141">
        <f>INDEX($G$28:$R$28,C102)</f>
        <v/>
      </c>
      <c r="M102" s="141">
        <f>ROUND(L102*E102/D102,1)</f>
        <v/>
      </c>
      <c r="N102" s="141">
        <f>ROUND(MAX(L102+E102-M102,8),0)</f>
        <v/>
      </c>
      <c r="O102" s="141">
        <f>D102-N102</f>
        <v/>
      </c>
      <c r="P102" s="141">
        <f>P101+O101</f>
        <v/>
      </c>
      <c r="Q102" s="141">
        <f>INDEX($G$29:$R$29,C102)</f>
        <v/>
      </c>
      <c r="R102" s="141">
        <f>ROUND(Q102*E102/D102,1)</f>
        <v/>
      </c>
      <c r="S102" s="141">
        <f>ROUND(MAX(Q102+E102-R102,8),0)</f>
        <v/>
      </c>
      <c r="T102" s="141">
        <f>D102-S102</f>
        <v/>
      </c>
      <c r="U102" s="141">
        <f>U101+T101</f>
        <v/>
      </c>
      <c r="V102" s="141">
        <f>INDEX($G$30:$R$30,C102)</f>
        <v/>
      </c>
      <c r="W102" s="141">
        <f>ROUND(V102*E102/D102,1)</f>
        <v/>
      </c>
      <c r="X102" s="141">
        <f>ROUND(MAX(V102+E102-W102,8),0)</f>
        <v/>
      </c>
      <c r="Y102" s="141">
        <f>D102-X102</f>
        <v/>
      </c>
      <c r="Z102" s="141">
        <f>Z101+Y101</f>
        <v/>
      </c>
    </row>
    <row r="103">
      <c r="A103" s="141" t="n">
        <v>41</v>
      </c>
      <c r="B103" s="141">
        <f>YEAR(EDATE(DATE($B$5,$B$6,1),A103-1))</f>
        <v/>
      </c>
      <c r="C103" s="141">
        <f>MONTH(EDATE(DATE($B$5,$B$6,1),A103-1))</f>
        <v/>
      </c>
      <c r="D103" s="141">
        <f>DAY(EOMONTH(DATE(B103,C103,1),0))</f>
        <v/>
      </c>
      <c r="E103" s="141">
        <f>IFERROR(INDEX(법정공휴일!$B$4:$M$20,MATCH(B103,법정공휴일!$A$4:$A$20,0),C103),0)</f>
        <v/>
      </c>
      <c r="F103" s="141">
        <f>F102+D102</f>
        <v/>
      </c>
      <c r="G103" s="141">
        <f>INDEX($G$27:$R$27,C103)</f>
        <v/>
      </c>
      <c r="H103" s="141">
        <f>ROUND(G103*E103/D103,1)</f>
        <v/>
      </c>
      <c r="I103" s="141">
        <f>ROUND(MAX(G103+E103-H103,8),0)</f>
        <v/>
      </c>
      <c r="J103" s="141">
        <f>D103-I103</f>
        <v/>
      </c>
      <c r="K103" s="141">
        <f>K102+J102</f>
        <v/>
      </c>
      <c r="L103" s="141">
        <f>INDEX($G$28:$R$28,C103)</f>
        <v/>
      </c>
      <c r="M103" s="141">
        <f>ROUND(L103*E103/D103,1)</f>
        <v/>
      </c>
      <c r="N103" s="141">
        <f>ROUND(MAX(L103+E103-M103,8),0)</f>
        <v/>
      </c>
      <c r="O103" s="141">
        <f>D103-N103</f>
        <v/>
      </c>
      <c r="P103" s="141">
        <f>P102+O102</f>
        <v/>
      </c>
      <c r="Q103" s="141">
        <f>INDEX($G$29:$R$29,C103)</f>
        <v/>
      </c>
      <c r="R103" s="141">
        <f>ROUND(Q103*E103/D103,1)</f>
        <v/>
      </c>
      <c r="S103" s="141">
        <f>ROUND(MAX(Q103+E103-R103,8),0)</f>
        <v/>
      </c>
      <c r="T103" s="141">
        <f>D103-S103</f>
        <v/>
      </c>
      <c r="U103" s="141">
        <f>U102+T102</f>
        <v/>
      </c>
      <c r="V103" s="141">
        <f>INDEX($G$30:$R$30,C103)</f>
        <v/>
      </c>
      <c r="W103" s="141">
        <f>ROUND(V103*E103/D103,1)</f>
        <v/>
      </c>
      <c r="X103" s="141">
        <f>ROUND(MAX(V103+E103-W103,8),0)</f>
        <v/>
      </c>
      <c r="Y103" s="141">
        <f>D103-X103</f>
        <v/>
      </c>
      <c r="Z103" s="141">
        <f>Z102+Y102</f>
        <v/>
      </c>
    </row>
    <row r="104">
      <c r="A104" s="141" t="n">
        <v>42</v>
      </c>
      <c r="B104" s="141">
        <f>YEAR(EDATE(DATE($B$5,$B$6,1),A104-1))</f>
        <v/>
      </c>
      <c r="C104" s="141">
        <f>MONTH(EDATE(DATE($B$5,$B$6,1),A104-1))</f>
        <v/>
      </c>
      <c r="D104" s="141">
        <f>DAY(EOMONTH(DATE(B104,C104,1),0))</f>
        <v/>
      </c>
      <c r="E104" s="141">
        <f>IFERROR(INDEX(법정공휴일!$B$4:$M$20,MATCH(B104,법정공휴일!$A$4:$A$20,0),C104),0)</f>
        <v/>
      </c>
      <c r="F104" s="141">
        <f>F103+D103</f>
        <v/>
      </c>
      <c r="G104" s="141">
        <f>INDEX($G$27:$R$27,C104)</f>
        <v/>
      </c>
      <c r="H104" s="141">
        <f>ROUND(G104*E104/D104,1)</f>
        <v/>
      </c>
      <c r="I104" s="141">
        <f>ROUND(MAX(G104+E104-H104,8),0)</f>
        <v/>
      </c>
      <c r="J104" s="141">
        <f>D104-I104</f>
        <v/>
      </c>
      <c r="K104" s="141">
        <f>K103+J103</f>
        <v/>
      </c>
      <c r="L104" s="141">
        <f>INDEX($G$28:$R$28,C104)</f>
        <v/>
      </c>
      <c r="M104" s="141">
        <f>ROUND(L104*E104/D104,1)</f>
        <v/>
      </c>
      <c r="N104" s="141">
        <f>ROUND(MAX(L104+E104-M104,8),0)</f>
        <v/>
      </c>
      <c r="O104" s="141">
        <f>D104-N104</f>
        <v/>
      </c>
      <c r="P104" s="141">
        <f>P103+O103</f>
        <v/>
      </c>
      <c r="Q104" s="141">
        <f>INDEX($G$29:$R$29,C104)</f>
        <v/>
      </c>
      <c r="R104" s="141">
        <f>ROUND(Q104*E104/D104,1)</f>
        <v/>
      </c>
      <c r="S104" s="141">
        <f>ROUND(MAX(Q104+E104-R104,8),0)</f>
        <v/>
      </c>
      <c r="T104" s="141">
        <f>D104-S104</f>
        <v/>
      </c>
      <c r="U104" s="141">
        <f>U103+T103</f>
        <v/>
      </c>
      <c r="V104" s="141">
        <f>INDEX($G$30:$R$30,C104)</f>
        <v/>
      </c>
      <c r="W104" s="141">
        <f>ROUND(V104*E104/D104,1)</f>
        <v/>
      </c>
      <c r="X104" s="141">
        <f>ROUND(MAX(V104+E104-W104,8),0)</f>
        <v/>
      </c>
      <c r="Y104" s="141">
        <f>D104-X104</f>
        <v/>
      </c>
      <c r="Z104" s="141">
        <f>Z103+Y103</f>
        <v/>
      </c>
    </row>
    <row r="105">
      <c r="A105" s="141" t="n">
        <v>43</v>
      </c>
      <c r="B105" s="141">
        <f>YEAR(EDATE(DATE($B$5,$B$6,1),A105-1))</f>
        <v/>
      </c>
      <c r="C105" s="141">
        <f>MONTH(EDATE(DATE($B$5,$B$6,1),A105-1))</f>
        <v/>
      </c>
      <c r="D105" s="141">
        <f>DAY(EOMONTH(DATE(B105,C105,1),0))</f>
        <v/>
      </c>
      <c r="E105" s="141">
        <f>IFERROR(INDEX(법정공휴일!$B$4:$M$20,MATCH(B105,법정공휴일!$A$4:$A$20,0),C105),0)</f>
        <v/>
      </c>
      <c r="F105" s="141">
        <f>F104+D104</f>
        <v/>
      </c>
      <c r="G105" s="141">
        <f>INDEX($G$27:$R$27,C105)</f>
        <v/>
      </c>
      <c r="H105" s="141">
        <f>ROUND(G105*E105/D105,1)</f>
        <v/>
      </c>
      <c r="I105" s="141">
        <f>ROUND(MAX(G105+E105-H105,8),0)</f>
        <v/>
      </c>
      <c r="J105" s="141">
        <f>D105-I105</f>
        <v/>
      </c>
      <c r="K105" s="141">
        <f>K104+J104</f>
        <v/>
      </c>
      <c r="L105" s="141">
        <f>INDEX($G$28:$R$28,C105)</f>
        <v/>
      </c>
      <c r="M105" s="141">
        <f>ROUND(L105*E105/D105,1)</f>
        <v/>
      </c>
      <c r="N105" s="141">
        <f>ROUND(MAX(L105+E105-M105,8),0)</f>
        <v/>
      </c>
      <c r="O105" s="141">
        <f>D105-N105</f>
        <v/>
      </c>
      <c r="P105" s="141">
        <f>P104+O104</f>
        <v/>
      </c>
      <c r="Q105" s="141">
        <f>INDEX($G$29:$R$29,C105)</f>
        <v/>
      </c>
      <c r="R105" s="141">
        <f>ROUND(Q105*E105/D105,1)</f>
        <v/>
      </c>
      <c r="S105" s="141">
        <f>ROUND(MAX(Q105+E105-R105,8),0)</f>
        <v/>
      </c>
      <c r="T105" s="141">
        <f>D105-S105</f>
        <v/>
      </c>
      <c r="U105" s="141">
        <f>U104+T104</f>
        <v/>
      </c>
      <c r="V105" s="141">
        <f>INDEX($G$30:$R$30,C105)</f>
        <v/>
      </c>
      <c r="W105" s="141">
        <f>ROUND(V105*E105/D105,1)</f>
        <v/>
      </c>
      <c r="X105" s="141">
        <f>ROUND(MAX(V105+E105-W105,8),0)</f>
        <v/>
      </c>
      <c r="Y105" s="141">
        <f>D105-X105</f>
        <v/>
      </c>
      <c r="Z105" s="141">
        <f>Z104+Y104</f>
        <v/>
      </c>
    </row>
    <row r="106">
      <c r="A106" s="141" t="n">
        <v>44</v>
      </c>
      <c r="B106" s="141">
        <f>YEAR(EDATE(DATE($B$5,$B$6,1),A106-1))</f>
        <v/>
      </c>
      <c r="C106" s="141">
        <f>MONTH(EDATE(DATE($B$5,$B$6,1),A106-1))</f>
        <v/>
      </c>
      <c r="D106" s="141">
        <f>DAY(EOMONTH(DATE(B106,C106,1),0))</f>
        <v/>
      </c>
      <c r="E106" s="141">
        <f>IFERROR(INDEX(법정공휴일!$B$4:$M$20,MATCH(B106,법정공휴일!$A$4:$A$20,0),C106),0)</f>
        <v/>
      </c>
      <c r="F106" s="141">
        <f>F105+D105</f>
        <v/>
      </c>
      <c r="G106" s="141">
        <f>INDEX($G$27:$R$27,C106)</f>
        <v/>
      </c>
      <c r="H106" s="141">
        <f>ROUND(G106*E106/D106,1)</f>
        <v/>
      </c>
      <c r="I106" s="141">
        <f>ROUND(MAX(G106+E106-H106,8),0)</f>
        <v/>
      </c>
      <c r="J106" s="141">
        <f>D106-I106</f>
        <v/>
      </c>
      <c r="K106" s="141">
        <f>K105+J105</f>
        <v/>
      </c>
      <c r="L106" s="141">
        <f>INDEX($G$28:$R$28,C106)</f>
        <v/>
      </c>
      <c r="M106" s="141">
        <f>ROUND(L106*E106/D106,1)</f>
        <v/>
      </c>
      <c r="N106" s="141">
        <f>ROUND(MAX(L106+E106-M106,8),0)</f>
        <v/>
      </c>
      <c r="O106" s="141">
        <f>D106-N106</f>
        <v/>
      </c>
      <c r="P106" s="141">
        <f>P105+O105</f>
        <v/>
      </c>
      <c r="Q106" s="141">
        <f>INDEX($G$29:$R$29,C106)</f>
        <v/>
      </c>
      <c r="R106" s="141">
        <f>ROUND(Q106*E106/D106,1)</f>
        <v/>
      </c>
      <c r="S106" s="141">
        <f>ROUND(MAX(Q106+E106-R106,8),0)</f>
        <v/>
      </c>
      <c r="T106" s="141">
        <f>D106-S106</f>
        <v/>
      </c>
      <c r="U106" s="141">
        <f>U105+T105</f>
        <v/>
      </c>
      <c r="V106" s="141">
        <f>INDEX($G$30:$R$30,C106)</f>
        <v/>
      </c>
      <c r="W106" s="141">
        <f>ROUND(V106*E106/D106,1)</f>
        <v/>
      </c>
      <c r="X106" s="141">
        <f>ROUND(MAX(V106+E106-W106,8),0)</f>
        <v/>
      </c>
      <c r="Y106" s="141">
        <f>D106-X106</f>
        <v/>
      </c>
      <c r="Z106" s="141">
        <f>Z105+Y105</f>
        <v/>
      </c>
    </row>
    <row r="107">
      <c r="A107" s="141" t="n">
        <v>45</v>
      </c>
      <c r="B107" s="141">
        <f>YEAR(EDATE(DATE($B$5,$B$6,1),A107-1))</f>
        <v/>
      </c>
      <c r="C107" s="141">
        <f>MONTH(EDATE(DATE($B$5,$B$6,1),A107-1))</f>
        <v/>
      </c>
      <c r="D107" s="141">
        <f>DAY(EOMONTH(DATE(B107,C107,1),0))</f>
        <v/>
      </c>
      <c r="E107" s="141">
        <f>IFERROR(INDEX(법정공휴일!$B$4:$M$20,MATCH(B107,법정공휴일!$A$4:$A$20,0),C107),0)</f>
        <v/>
      </c>
      <c r="F107" s="141">
        <f>F106+D106</f>
        <v/>
      </c>
      <c r="G107" s="141">
        <f>INDEX($G$27:$R$27,C107)</f>
        <v/>
      </c>
      <c r="H107" s="141">
        <f>ROUND(G107*E107/D107,1)</f>
        <v/>
      </c>
      <c r="I107" s="141">
        <f>ROUND(MAX(G107+E107-H107,8),0)</f>
        <v/>
      </c>
      <c r="J107" s="141">
        <f>D107-I107</f>
        <v/>
      </c>
      <c r="K107" s="141">
        <f>K106+J106</f>
        <v/>
      </c>
      <c r="L107" s="141">
        <f>INDEX($G$28:$R$28,C107)</f>
        <v/>
      </c>
      <c r="M107" s="141">
        <f>ROUND(L107*E107/D107,1)</f>
        <v/>
      </c>
      <c r="N107" s="141">
        <f>ROUND(MAX(L107+E107-M107,8),0)</f>
        <v/>
      </c>
      <c r="O107" s="141">
        <f>D107-N107</f>
        <v/>
      </c>
      <c r="P107" s="141">
        <f>P106+O106</f>
        <v/>
      </c>
      <c r="Q107" s="141">
        <f>INDEX($G$29:$R$29,C107)</f>
        <v/>
      </c>
      <c r="R107" s="141">
        <f>ROUND(Q107*E107/D107,1)</f>
        <v/>
      </c>
      <c r="S107" s="141">
        <f>ROUND(MAX(Q107+E107-R107,8),0)</f>
        <v/>
      </c>
      <c r="T107" s="141">
        <f>D107-S107</f>
        <v/>
      </c>
      <c r="U107" s="141">
        <f>U106+T106</f>
        <v/>
      </c>
      <c r="V107" s="141">
        <f>INDEX($G$30:$R$30,C107)</f>
        <v/>
      </c>
      <c r="W107" s="141">
        <f>ROUND(V107*E107/D107,1)</f>
        <v/>
      </c>
      <c r="X107" s="141">
        <f>ROUND(MAX(V107+E107-W107,8),0)</f>
        <v/>
      </c>
      <c r="Y107" s="141">
        <f>D107-X107</f>
        <v/>
      </c>
      <c r="Z107" s="141">
        <f>Z106+Y106</f>
        <v/>
      </c>
    </row>
    <row r="108">
      <c r="A108" s="141" t="n">
        <v>46</v>
      </c>
      <c r="B108" s="141">
        <f>YEAR(EDATE(DATE($B$5,$B$6,1),A108-1))</f>
        <v/>
      </c>
      <c r="C108" s="141">
        <f>MONTH(EDATE(DATE($B$5,$B$6,1),A108-1))</f>
        <v/>
      </c>
      <c r="D108" s="141">
        <f>DAY(EOMONTH(DATE(B108,C108,1),0))</f>
        <v/>
      </c>
      <c r="E108" s="141">
        <f>IFERROR(INDEX(법정공휴일!$B$4:$M$20,MATCH(B108,법정공휴일!$A$4:$A$20,0),C108),0)</f>
        <v/>
      </c>
      <c r="F108" s="141">
        <f>F107+D107</f>
        <v/>
      </c>
      <c r="G108" s="141">
        <f>INDEX($G$27:$R$27,C108)</f>
        <v/>
      </c>
      <c r="H108" s="141">
        <f>ROUND(G108*E108/D108,1)</f>
        <v/>
      </c>
      <c r="I108" s="141">
        <f>ROUND(MAX(G108+E108-H108,8),0)</f>
        <v/>
      </c>
      <c r="J108" s="141">
        <f>D108-I108</f>
        <v/>
      </c>
      <c r="K108" s="141">
        <f>K107+J107</f>
        <v/>
      </c>
      <c r="L108" s="141">
        <f>INDEX($G$28:$R$28,C108)</f>
        <v/>
      </c>
      <c r="M108" s="141">
        <f>ROUND(L108*E108/D108,1)</f>
        <v/>
      </c>
      <c r="N108" s="141">
        <f>ROUND(MAX(L108+E108-M108,8),0)</f>
        <v/>
      </c>
      <c r="O108" s="141">
        <f>D108-N108</f>
        <v/>
      </c>
      <c r="P108" s="141">
        <f>P107+O107</f>
        <v/>
      </c>
      <c r="Q108" s="141">
        <f>INDEX($G$29:$R$29,C108)</f>
        <v/>
      </c>
      <c r="R108" s="141">
        <f>ROUND(Q108*E108/D108,1)</f>
        <v/>
      </c>
      <c r="S108" s="141">
        <f>ROUND(MAX(Q108+E108-R108,8),0)</f>
        <v/>
      </c>
      <c r="T108" s="141">
        <f>D108-S108</f>
        <v/>
      </c>
      <c r="U108" s="141">
        <f>U107+T107</f>
        <v/>
      </c>
      <c r="V108" s="141">
        <f>INDEX($G$30:$R$30,C108)</f>
        <v/>
      </c>
      <c r="W108" s="141">
        <f>ROUND(V108*E108/D108,1)</f>
        <v/>
      </c>
      <c r="X108" s="141">
        <f>ROUND(MAX(V108+E108-W108,8),0)</f>
        <v/>
      </c>
      <c r="Y108" s="141">
        <f>D108-X108</f>
        <v/>
      </c>
      <c r="Z108" s="141">
        <f>Z107+Y107</f>
        <v/>
      </c>
    </row>
    <row r="109">
      <c r="A109" s="141" t="n">
        <v>47</v>
      </c>
      <c r="B109" s="141">
        <f>YEAR(EDATE(DATE($B$5,$B$6,1),A109-1))</f>
        <v/>
      </c>
      <c r="C109" s="141">
        <f>MONTH(EDATE(DATE($B$5,$B$6,1),A109-1))</f>
        <v/>
      </c>
      <c r="D109" s="141">
        <f>DAY(EOMONTH(DATE(B109,C109,1),0))</f>
        <v/>
      </c>
      <c r="E109" s="141">
        <f>IFERROR(INDEX(법정공휴일!$B$4:$M$20,MATCH(B109,법정공휴일!$A$4:$A$20,0),C109),0)</f>
        <v/>
      </c>
      <c r="F109" s="141">
        <f>F108+D108</f>
        <v/>
      </c>
      <c r="G109" s="141">
        <f>INDEX($G$27:$R$27,C109)</f>
        <v/>
      </c>
      <c r="H109" s="141">
        <f>ROUND(G109*E109/D109,1)</f>
        <v/>
      </c>
      <c r="I109" s="141">
        <f>ROUND(MAX(G109+E109-H109,8),0)</f>
        <v/>
      </c>
      <c r="J109" s="141">
        <f>D109-I109</f>
        <v/>
      </c>
      <c r="K109" s="141">
        <f>K108+J108</f>
        <v/>
      </c>
      <c r="L109" s="141">
        <f>INDEX($G$28:$R$28,C109)</f>
        <v/>
      </c>
      <c r="M109" s="141">
        <f>ROUND(L109*E109/D109,1)</f>
        <v/>
      </c>
      <c r="N109" s="141">
        <f>ROUND(MAX(L109+E109-M109,8),0)</f>
        <v/>
      </c>
      <c r="O109" s="141">
        <f>D109-N109</f>
        <v/>
      </c>
      <c r="P109" s="141">
        <f>P108+O108</f>
        <v/>
      </c>
      <c r="Q109" s="141">
        <f>INDEX($G$29:$R$29,C109)</f>
        <v/>
      </c>
      <c r="R109" s="141">
        <f>ROUND(Q109*E109/D109,1)</f>
        <v/>
      </c>
      <c r="S109" s="141">
        <f>ROUND(MAX(Q109+E109-R109,8),0)</f>
        <v/>
      </c>
      <c r="T109" s="141">
        <f>D109-S109</f>
        <v/>
      </c>
      <c r="U109" s="141">
        <f>U108+T108</f>
        <v/>
      </c>
      <c r="V109" s="141">
        <f>INDEX($G$30:$R$30,C109)</f>
        <v/>
      </c>
      <c r="W109" s="141">
        <f>ROUND(V109*E109/D109,1)</f>
        <v/>
      </c>
      <c r="X109" s="141">
        <f>ROUND(MAX(V109+E109-W109,8),0)</f>
        <v/>
      </c>
      <c r="Y109" s="141">
        <f>D109-X109</f>
        <v/>
      </c>
      <c r="Z109" s="141">
        <f>Z108+Y108</f>
        <v/>
      </c>
    </row>
    <row r="110">
      <c r="A110" s="141" t="n">
        <v>48</v>
      </c>
      <c r="B110" s="141">
        <f>YEAR(EDATE(DATE($B$5,$B$6,1),A110-1))</f>
        <v/>
      </c>
      <c r="C110" s="141">
        <f>MONTH(EDATE(DATE($B$5,$B$6,1),A110-1))</f>
        <v/>
      </c>
      <c r="D110" s="141">
        <f>DAY(EOMONTH(DATE(B110,C110,1),0))</f>
        <v/>
      </c>
      <c r="E110" s="141">
        <f>IFERROR(INDEX(법정공휴일!$B$4:$M$20,MATCH(B110,법정공휴일!$A$4:$A$20,0),C110),0)</f>
        <v/>
      </c>
      <c r="F110" s="141">
        <f>F109+D109</f>
        <v/>
      </c>
      <c r="G110" s="141">
        <f>INDEX($G$27:$R$27,C110)</f>
        <v/>
      </c>
      <c r="H110" s="141">
        <f>ROUND(G110*E110/D110,1)</f>
        <v/>
      </c>
      <c r="I110" s="141">
        <f>ROUND(MAX(G110+E110-H110,8),0)</f>
        <v/>
      </c>
      <c r="J110" s="141">
        <f>D110-I110</f>
        <v/>
      </c>
      <c r="K110" s="141">
        <f>K109+J109</f>
        <v/>
      </c>
      <c r="L110" s="141">
        <f>INDEX($G$28:$R$28,C110)</f>
        <v/>
      </c>
      <c r="M110" s="141">
        <f>ROUND(L110*E110/D110,1)</f>
        <v/>
      </c>
      <c r="N110" s="141">
        <f>ROUND(MAX(L110+E110-M110,8),0)</f>
        <v/>
      </c>
      <c r="O110" s="141">
        <f>D110-N110</f>
        <v/>
      </c>
      <c r="P110" s="141">
        <f>P109+O109</f>
        <v/>
      </c>
      <c r="Q110" s="141">
        <f>INDEX($G$29:$R$29,C110)</f>
        <v/>
      </c>
      <c r="R110" s="141">
        <f>ROUND(Q110*E110/D110,1)</f>
        <v/>
      </c>
      <c r="S110" s="141">
        <f>ROUND(MAX(Q110+E110-R110,8),0)</f>
        <v/>
      </c>
      <c r="T110" s="141">
        <f>D110-S110</f>
        <v/>
      </c>
      <c r="U110" s="141">
        <f>U109+T109</f>
        <v/>
      </c>
      <c r="V110" s="141">
        <f>INDEX($G$30:$R$30,C110)</f>
        <v/>
      </c>
      <c r="W110" s="141">
        <f>ROUND(V110*E110/D110,1)</f>
        <v/>
      </c>
      <c r="X110" s="141">
        <f>ROUND(MAX(V110+E110-W110,8),0)</f>
        <v/>
      </c>
      <c r="Y110" s="141">
        <f>D110-X110</f>
        <v/>
      </c>
      <c r="Z110" s="141">
        <f>Z109+Y109</f>
        <v/>
      </c>
    </row>
    <row r="111">
      <c r="A111" s="141" t="n">
        <v>49</v>
      </c>
      <c r="B111" s="141">
        <f>YEAR(EDATE(DATE($B$5,$B$6,1),A111-1))</f>
        <v/>
      </c>
      <c r="C111" s="141">
        <f>MONTH(EDATE(DATE($B$5,$B$6,1),A111-1))</f>
        <v/>
      </c>
      <c r="D111" s="141">
        <f>DAY(EOMONTH(DATE(B111,C111,1),0))</f>
        <v/>
      </c>
      <c r="E111" s="141">
        <f>IFERROR(INDEX(법정공휴일!$B$4:$M$20,MATCH(B111,법정공휴일!$A$4:$A$20,0),C111),0)</f>
        <v/>
      </c>
      <c r="F111" s="141">
        <f>F110+D110</f>
        <v/>
      </c>
      <c r="G111" s="141">
        <f>INDEX($G$27:$R$27,C111)</f>
        <v/>
      </c>
      <c r="H111" s="141">
        <f>ROUND(G111*E111/D111,1)</f>
        <v/>
      </c>
      <c r="I111" s="141">
        <f>ROUND(MAX(G111+E111-H111,8),0)</f>
        <v/>
      </c>
      <c r="J111" s="141">
        <f>D111-I111</f>
        <v/>
      </c>
      <c r="K111" s="141">
        <f>K110+J110</f>
        <v/>
      </c>
      <c r="L111" s="141">
        <f>INDEX($G$28:$R$28,C111)</f>
        <v/>
      </c>
      <c r="M111" s="141">
        <f>ROUND(L111*E111/D111,1)</f>
        <v/>
      </c>
      <c r="N111" s="141">
        <f>ROUND(MAX(L111+E111-M111,8),0)</f>
        <v/>
      </c>
      <c r="O111" s="141">
        <f>D111-N111</f>
        <v/>
      </c>
      <c r="P111" s="141">
        <f>P110+O110</f>
        <v/>
      </c>
      <c r="Q111" s="141">
        <f>INDEX($G$29:$R$29,C111)</f>
        <v/>
      </c>
      <c r="R111" s="141">
        <f>ROUND(Q111*E111/D111,1)</f>
        <v/>
      </c>
      <c r="S111" s="141">
        <f>ROUND(MAX(Q111+E111-R111,8),0)</f>
        <v/>
      </c>
      <c r="T111" s="141">
        <f>D111-S111</f>
        <v/>
      </c>
      <c r="U111" s="141">
        <f>U110+T110</f>
        <v/>
      </c>
      <c r="V111" s="141">
        <f>INDEX($G$30:$R$30,C111)</f>
        <v/>
      </c>
      <c r="W111" s="141">
        <f>ROUND(V111*E111/D111,1)</f>
        <v/>
      </c>
      <c r="X111" s="141">
        <f>ROUND(MAX(V111+E111-W111,8),0)</f>
        <v/>
      </c>
      <c r="Y111" s="141">
        <f>D111-X111</f>
        <v/>
      </c>
      <c r="Z111" s="141">
        <f>Z110+Y110</f>
        <v/>
      </c>
    </row>
    <row r="112">
      <c r="A112" s="141" t="n">
        <v>50</v>
      </c>
      <c r="B112" s="141">
        <f>YEAR(EDATE(DATE($B$5,$B$6,1),A112-1))</f>
        <v/>
      </c>
      <c r="C112" s="141">
        <f>MONTH(EDATE(DATE($B$5,$B$6,1),A112-1))</f>
        <v/>
      </c>
      <c r="D112" s="141">
        <f>DAY(EOMONTH(DATE(B112,C112,1),0))</f>
        <v/>
      </c>
      <c r="E112" s="141">
        <f>IFERROR(INDEX(법정공휴일!$B$4:$M$20,MATCH(B112,법정공휴일!$A$4:$A$20,0),C112),0)</f>
        <v/>
      </c>
      <c r="F112" s="141">
        <f>F111+D111</f>
        <v/>
      </c>
      <c r="G112" s="141">
        <f>INDEX($G$27:$R$27,C112)</f>
        <v/>
      </c>
      <c r="H112" s="141">
        <f>ROUND(G112*E112/D112,1)</f>
        <v/>
      </c>
      <c r="I112" s="141">
        <f>ROUND(MAX(G112+E112-H112,8),0)</f>
        <v/>
      </c>
      <c r="J112" s="141">
        <f>D112-I112</f>
        <v/>
      </c>
      <c r="K112" s="141">
        <f>K111+J111</f>
        <v/>
      </c>
      <c r="L112" s="141">
        <f>INDEX($G$28:$R$28,C112)</f>
        <v/>
      </c>
      <c r="M112" s="141">
        <f>ROUND(L112*E112/D112,1)</f>
        <v/>
      </c>
      <c r="N112" s="141">
        <f>ROUND(MAX(L112+E112-M112,8),0)</f>
        <v/>
      </c>
      <c r="O112" s="141">
        <f>D112-N112</f>
        <v/>
      </c>
      <c r="P112" s="141">
        <f>P111+O111</f>
        <v/>
      </c>
      <c r="Q112" s="141">
        <f>INDEX($G$29:$R$29,C112)</f>
        <v/>
      </c>
      <c r="R112" s="141">
        <f>ROUND(Q112*E112/D112,1)</f>
        <v/>
      </c>
      <c r="S112" s="141">
        <f>ROUND(MAX(Q112+E112-R112,8),0)</f>
        <v/>
      </c>
      <c r="T112" s="141">
        <f>D112-S112</f>
        <v/>
      </c>
      <c r="U112" s="141">
        <f>U111+T111</f>
        <v/>
      </c>
      <c r="V112" s="141">
        <f>INDEX($G$30:$R$30,C112)</f>
        <v/>
      </c>
      <c r="W112" s="141">
        <f>ROUND(V112*E112/D112,1)</f>
        <v/>
      </c>
      <c r="X112" s="141">
        <f>ROUND(MAX(V112+E112-W112,8),0)</f>
        <v/>
      </c>
      <c r="Y112" s="141">
        <f>D112-X112</f>
        <v/>
      </c>
      <c r="Z112" s="141">
        <f>Z111+Y111</f>
        <v/>
      </c>
    </row>
    <row r="113">
      <c r="A113" s="141" t="n">
        <v>51</v>
      </c>
      <c r="B113" s="141">
        <f>YEAR(EDATE(DATE($B$5,$B$6,1),A113-1))</f>
        <v/>
      </c>
      <c r="C113" s="141">
        <f>MONTH(EDATE(DATE($B$5,$B$6,1),A113-1))</f>
        <v/>
      </c>
      <c r="D113" s="141">
        <f>DAY(EOMONTH(DATE(B113,C113,1),0))</f>
        <v/>
      </c>
      <c r="E113" s="141">
        <f>IFERROR(INDEX(법정공휴일!$B$4:$M$20,MATCH(B113,법정공휴일!$A$4:$A$20,0),C113),0)</f>
        <v/>
      </c>
      <c r="F113" s="141">
        <f>F112+D112</f>
        <v/>
      </c>
      <c r="G113" s="141">
        <f>INDEX($G$27:$R$27,C113)</f>
        <v/>
      </c>
      <c r="H113" s="141">
        <f>ROUND(G113*E113/D113,1)</f>
        <v/>
      </c>
      <c r="I113" s="141">
        <f>ROUND(MAX(G113+E113-H113,8),0)</f>
        <v/>
      </c>
      <c r="J113" s="141">
        <f>D113-I113</f>
        <v/>
      </c>
      <c r="K113" s="141">
        <f>K112+J112</f>
        <v/>
      </c>
      <c r="L113" s="141">
        <f>INDEX($G$28:$R$28,C113)</f>
        <v/>
      </c>
      <c r="M113" s="141">
        <f>ROUND(L113*E113/D113,1)</f>
        <v/>
      </c>
      <c r="N113" s="141">
        <f>ROUND(MAX(L113+E113-M113,8),0)</f>
        <v/>
      </c>
      <c r="O113" s="141">
        <f>D113-N113</f>
        <v/>
      </c>
      <c r="P113" s="141">
        <f>P112+O112</f>
        <v/>
      </c>
      <c r="Q113" s="141">
        <f>INDEX($G$29:$R$29,C113)</f>
        <v/>
      </c>
      <c r="R113" s="141">
        <f>ROUND(Q113*E113/D113,1)</f>
        <v/>
      </c>
      <c r="S113" s="141">
        <f>ROUND(MAX(Q113+E113-R113,8),0)</f>
        <v/>
      </c>
      <c r="T113" s="141">
        <f>D113-S113</f>
        <v/>
      </c>
      <c r="U113" s="141">
        <f>U112+T112</f>
        <v/>
      </c>
      <c r="V113" s="141">
        <f>INDEX($G$30:$R$30,C113)</f>
        <v/>
      </c>
      <c r="W113" s="141">
        <f>ROUND(V113*E113/D113,1)</f>
        <v/>
      </c>
      <c r="X113" s="141">
        <f>ROUND(MAX(V113+E113-W113,8),0)</f>
        <v/>
      </c>
      <c r="Y113" s="141">
        <f>D113-X113</f>
        <v/>
      </c>
      <c r="Z113" s="141">
        <f>Z112+Y112</f>
        <v/>
      </c>
    </row>
    <row r="114">
      <c r="A114" s="141" t="n">
        <v>52</v>
      </c>
      <c r="B114" s="141">
        <f>YEAR(EDATE(DATE($B$5,$B$6,1),A114-1))</f>
        <v/>
      </c>
      <c r="C114" s="141">
        <f>MONTH(EDATE(DATE($B$5,$B$6,1),A114-1))</f>
        <v/>
      </c>
      <c r="D114" s="141">
        <f>DAY(EOMONTH(DATE(B114,C114,1),0))</f>
        <v/>
      </c>
      <c r="E114" s="141">
        <f>IFERROR(INDEX(법정공휴일!$B$4:$M$20,MATCH(B114,법정공휴일!$A$4:$A$20,0),C114),0)</f>
        <v/>
      </c>
      <c r="F114" s="141">
        <f>F113+D113</f>
        <v/>
      </c>
      <c r="G114" s="141">
        <f>INDEX($G$27:$R$27,C114)</f>
        <v/>
      </c>
      <c r="H114" s="141">
        <f>ROUND(G114*E114/D114,1)</f>
        <v/>
      </c>
      <c r="I114" s="141">
        <f>ROUND(MAX(G114+E114-H114,8),0)</f>
        <v/>
      </c>
      <c r="J114" s="141">
        <f>D114-I114</f>
        <v/>
      </c>
      <c r="K114" s="141">
        <f>K113+J113</f>
        <v/>
      </c>
      <c r="L114" s="141">
        <f>INDEX($G$28:$R$28,C114)</f>
        <v/>
      </c>
      <c r="M114" s="141">
        <f>ROUND(L114*E114/D114,1)</f>
        <v/>
      </c>
      <c r="N114" s="141">
        <f>ROUND(MAX(L114+E114-M114,8),0)</f>
        <v/>
      </c>
      <c r="O114" s="141">
        <f>D114-N114</f>
        <v/>
      </c>
      <c r="P114" s="141">
        <f>P113+O113</f>
        <v/>
      </c>
      <c r="Q114" s="141">
        <f>INDEX($G$29:$R$29,C114)</f>
        <v/>
      </c>
      <c r="R114" s="141">
        <f>ROUND(Q114*E114/D114,1)</f>
        <v/>
      </c>
      <c r="S114" s="141">
        <f>ROUND(MAX(Q114+E114-R114,8),0)</f>
        <v/>
      </c>
      <c r="T114" s="141">
        <f>D114-S114</f>
        <v/>
      </c>
      <c r="U114" s="141">
        <f>U113+T113</f>
        <v/>
      </c>
      <c r="V114" s="141">
        <f>INDEX($G$30:$R$30,C114)</f>
        <v/>
      </c>
      <c r="W114" s="141">
        <f>ROUND(V114*E114/D114,1)</f>
        <v/>
      </c>
      <c r="X114" s="141">
        <f>ROUND(MAX(V114+E114-W114,8),0)</f>
        <v/>
      </c>
      <c r="Y114" s="141">
        <f>D114-X114</f>
        <v/>
      </c>
      <c r="Z114" s="141">
        <f>Z113+Y113</f>
        <v/>
      </c>
    </row>
    <row r="115">
      <c r="A115" s="141" t="n">
        <v>53</v>
      </c>
      <c r="B115" s="141">
        <f>YEAR(EDATE(DATE($B$5,$B$6,1),A115-1))</f>
        <v/>
      </c>
      <c r="C115" s="141">
        <f>MONTH(EDATE(DATE($B$5,$B$6,1),A115-1))</f>
        <v/>
      </c>
      <c r="D115" s="141">
        <f>DAY(EOMONTH(DATE(B115,C115,1),0))</f>
        <v/>
      </c>
      <c r="E115" s="141">
        <f>IFERROR(INDEX(법정공휴일!$B$4:$M$20,MATCH(B115,법정공휴일!$A$4:$A$20,0),C115),0)</f>
        <v/>
      </c>
      <c r="F115" s="141">
        <f>F114+D114</f>
        <v/>
      </c>
      <c r="G115" s="141">
        <f>INDEX($G$27:$R$27,C115)</f>
        <v/>
      </c>
      <c r="H115" s="141">
        <f>ROUND(G115*E115/D115,1)</f>
        <v/>
      </c>
      <c r="I115" s="141">
        <f>ROUND(MAX(G115+E115-H115,8),0)</f>
        <v/>
      </c>
      <c r="J115" s="141">
        <f>D115-I115</f>
        <v/>
      </c>
      <c r="K115" s="141">
        <f>K114+J114</f>
        <v/>
      </c>
      <c r="L115" s="141">
        <f>INDEX($G$28:$R$28,C115)</f>
        <v/>
      </c>
      <c r="M115" s="141">
        <f>ROUND(L115*E115/D115,1)</f>
        <v/>
      </c>
      <c r="N115" s="141">
        <f>ROUND(MAX(L115+E115-M115,8),0)</f>
        <v/>
      </c>
      <c r="O115" s="141">
        <f>D115-N115</f>
        <v/>
      </c>
      <c r="P115" s="141">
        <f>P114+O114</f>
        <v/>
      </c>
      <c r="Q115" s="141">
        <f>INDEX($G$29:$R$29,C115)</f>
        <v/>
      </c>
      <c r="R115" s="141">
        <f>ROUND(Q115*E115/D115,1)</f>
        <v/>
      </c>
      <c r="S115" s="141">
        <f>ROUND(MAX(Q115+E115-R115,8),0)</f>
        <v/>
      </c>
      <c r="T115" s="141">
        <f>D115-S115</f>
        <v/>
      </c>
      <c r="U115" s="141">
        <f>U114+T114</f>
        <v/>
      </c>
      <c r="V115" s="141">
        <f>INDEX($G$30:$R$30,C115)</f>
        <v/>
      </c>
      <c r="W115" s="141">
        <f>ROUND(V115*E115/D115,1)</f>
        <v/>
      </c>
      <c r="X115" s="141">
        <f>ROUND(MAX(V115+E115-W115,8),0)</f>
        <v/>
      </c>
      <c r="Y115" s="141">
        <f>D115-X115</f>
        <v/>
      </c>
      <c r="Z115" s="141">
        <f>Z114+Y114</f>
        <v/>
      </c>
    </row>
    <row r="116">
      <c r="A116" s="141" t="n">
        <v>54</v>
      </c>
      <c r="B116" s="141">
        <f>YEAR(EDATE(DATE($B$5,$B$6,1),A116-1))</f>
        <v/>
      </c>
      <c r="C116" s="141">
        <f>MONTH(EDATE(DATE($B$5,$B$6,1),A116-1))</f>
        <v/>
      </c>
      <c r="D116" s="141">
        <f>DAY(EOMONTH(DATE(B116,C116,1),0))</f>
        <v/>
      </c>
      <c r="E116" s="141">
        <f>IFERROR(INDEX(법정공휴일!$B$4:$M$20,MATCH(B116,법정공휴일!$A$4:$A$20,0),C116),0)</f>
        <v/>
      </c>
      <c r="F116" s="141">
        <f>F115+D115</f>
        <v/>
      </c>
      <c r="G116" s="141">
        <f>INDEX($G$27:$R$27,C116)</f>
        <v/>
      </c>
      <c r="H116" s="141">
        <f>ROUND(G116*E116/D116,1)</f>
        <v/>
      </c>
      <c r="I116" s="141">
        <f>ROUND(MAX(G116+E116-H116,8),0)</f>
        <v/>
      </c>
      <c r="J116" s="141">
        <f>D116-I116</f>
        <v/>
      </c>
      <c r="K116" s="141">
        <f>K115+J115</f>
        <v/>
      </c>
      <c r="L116" s="141">
        <f>INDEX($G$28:$R$28,C116)</f>
        <v/>
      </c>
      <c r="M116" s="141">
        <f>ROUND(L116*E116/D116,1)</f>
        <v/>
      </c>
      <c r="N116" s="141">
        <f>ROUND(MAX(L116+E116-M116,8),0)</f>
        <v/>
      </c>
      <c r="O116" s="141">
        <f>D116-N116</f>
        <v/>
      </c>
      <c r="P116" s="141">
        <f>P115+O115</f>
        <v/>
      </c>
      <c r="Q116" s="141">
        <f>INDEX($G$29:$R$29,C116)</f>
        <v/>
      </c>
      <c r="R116" s="141">
        <f>ROUND(Q116*E116/D116,1)</f>
        <v/>
      </c>
      <c r="S116" s="141">
        <f>ROUND(MAX(Q116+E116-R116,8),0)</f>
        <v/>
      </c>
      <c r="T116" s="141">
        <f>D116-S116</f>
        <v/>
      </c>
      <c r="U116" s="141">
        <f>U115+T115</f>
        <v/>
      </c>
      <c r="V116" s="141">
        <f>INDEX($G$30:$R$30,C116)</f>
        <v/>
      </c>
      <c r="W116" s="141">
        <f>ROUND(V116*E116/D116,1)</f>
        <v/>
      </c>
      <c r="X116" s="141">
        <f>ROUND(MAX(V116+E116-W116,8),0)</f>
        <v/>
      </c>
      <c r="Y116" s="141">
        <f>D116-X116</f>
        <v/>
      </c>
      <c r="Z116" s="141">
        <f>Z115+Y115</f>
        <v/>
      </c>
    </row>
    <row r="117">
      <c r="A117" s="141" t="n">
        <v>55</v>
      </c>
      <c r="B117" s="141">
        <f>YEAR(EDATE(DATE($B$5,$B$6,1),A117-1))</f>
        <v/>
      </c>
      <c r="C117" s="141">
        <f>MONTH(EDATE(DATE($B$5,$B$6,1),A117-1))</f>
        <v/>
      </c>
      <c r="D117" s="141">
        <f>DAY(EOMONTH(DATE(B117,C117,1),0))</f>
        <v/>
      </c>
      <c r="E117" s="141">
        <f>IFERROR(INDEX(법정공휴일!$B$4:$M$20,MATCH(B117,법정공휴일!$A$4:$A$20,0),C117),0)</f>
        <v/>
      </c>
      <c r="F117" s="141">
        <f>F116+D116</f>
        <v/>
      </c>
      <c r="G117" s="141">
        <f>INDEX($G$27:$R$27,C117)</f>
        <v/>
      </c>
      <c r="H117" s="141">
        <f>ROUND(G117*E117/D117,1)</f>
        <v/>
      </c>
      <c r="I117" s="141">
        <f>ROUND(MAX(G117+E117-H117,8),0)</f>
        <v/>
      </c>
      <c r="J117" s="141">
        <f>D117-I117</f>
        <v/>
      </c>
      <c r="K117" s="141">
        <f>K116+J116</f>
        <v/>
      </c>
      <c r="L117" s="141">
        <f>INDEX($G$28:$R$28,C117)</f>
        <v/>
      </c>
      <c r="M117" s="141">
        <f>ROUND(L117*E117/D117,1)</f>
        <v/>
      </c>
      <c r="N117" s="141">
        <f>ROUND(MAX(L117+E117-M117,8),0)</f>
        <v/>
      </c>
      <c r="O117" s="141">
        <f>D117-N117</f>
        <v/>
      </c>
      <c r="P117" s="141">
        <f>P116+O116</f>
        <v/>
      </c>
      <c r="Q117" s="141">
        <f>INDEX($G$29:$R$29,C117)</f>
        <v/>
      </c>
      <c r="R117" s="141">
        <f>ROUND(Q117*E117/D117,1)</f>
        <v/>
      </c>
      <c r="S117" s="141">
        <f>ROUND(MAX(Q117+E117-R117,8),0)</f>
        <v/>
      </c>
      <c r="T117" s="141">
        <f>D117-S117</f>
        <v/>
      </c>
      <c r="U117" s="141">
        <f>U116+T116</f>
        <v/>
      </c>
      <c r="V117" s="141">
        <f>INDEX($G$30:$R$30,C117)</f>
        <v/>
      </c>
      <c r="W117" s="141">
        <f>ROUND(V117*E117/D117,1)</f>
        <v/>
      </c>
      <c r="X117" s="141">
        <f>ROUND(MAX(V117+E117-W117,8),0)</f>
        <v/>
      </c>
      <c r="Y117" s="141">
        <f>D117-X117</f>
        <v/>
      </c>
      <c r="Z117" s="141">
        <f>Z116+Y116</f>
        <v/>
      </c>
    </row>
    <row r="118">
      <c r="A118" s="141" t="n">
        <v>56</v>
      </c>
      <c r="B118" s="141">
        <f>YEAR(EDATE(DATE($B$5,$B$6,1),A118-1))</f>
        <v/>
      </c>
      <c r="C118" s="141">
        <f>MONTH(EDATE(DATE($B$5,$B$6,1),A118-1))</f>
        <v/>
      </c>
      <c r="D118" s="141">
        <f>DAY(EOMONTH(DATE(B118,C118,1),0))</f>
        <v/>
      </c>
      <c r="E118" s="141">
        <f>IFERROR(INDEX(법정공휴일!$B$4:$M$20,MATCH(B118,법정공휴일!$A$4:$A$20,0),C118),0)</f>
        <v/>
      </c>
      <c r="F118" s="141">
        <f>F117+D117</f>
        <v/>
      </c>
      <c r="G118" s="141">
        <f>INDEX($G$27:$R$27,C118)</f>
        <v/>
      </c>
      <c r="H118" s="141">
        <f>ROUND(G118*E118/D118,1)</f>
        <v/>
      </c>
      <c r="I118" s="141">
        <f>ROUND(MAX(G118+E118-H118,8),0)</f>
        <v/>
      </c>
      <c r="J118" s="141">
        <f>D118-I118</f>
        <v/>
      </c>
      <c r="K118" s="141">
        <f>K117+J117</f>
        <v/>
      </c>
      <c r="L118" s="141">
        <f>INDEX($G$28:$R$28,C118)</f>
        <v/>
      </c>
      <c r="M118" s="141">
        <f>ROUND(L118*E118/D118,1)</f>
        <v/>
      </c>
      <c r="N118" s="141">
        <f>ROUND(MAX(L118+E118-M118,8),0)</f>
        <v/>
      </c>
      <c r="O118" s="141">
        <f>D118-N118</f>
        <v/>
      </c>
      <c r="P118" s="141">
        <f>P117+O117</f>
        <v/>
      </c>
      <c r="Q118" s="141">
        <f>INDEX($G$29:$R$29,C118)</f>
        <v/>
      </c>
      <c r="R118" s="141">
        <f>ROUND(Q118*E118/D118,1)</f>
        <v/>
      </c>
      <c r="S118" s="141">
        <f>ROUND(MAX(Q118+E118-R118,8),0)</f>
        <v/>
      </c>
      <c r="T118" s="141">
        <f>D118-S118</f>
        <v/>
      </c>
      <c r="U118" s="141">
        <f>U117+T117</f>
        <v/>
      </c>
      <c r="V118" s="141">
        <f>INDEX($G$30:$R$30,C118)</f>
        <v/>
      </c>
      <c r="W118" s="141">
        <f>ROUND(V118*E118/D118,1)</f>
        <v/>
      </c>
      <c r="X118" s="141">
        <f>ROUND(MAX(V118+E118-W118,8),0)</f>
        <v/>
      </c>
      <c r="Y118" s="141">
        <f>D118-X118</f>
        <v/>
      </c>
      <c r="Z118" s="141">
        <f>Z117+Y117</f>
        <v/>
      </c>
    </row>
    <row r="119">
      <c r="A119" s="141" t="n">
        <v>57</v>
      </c>
      <c r="B119" s="141">
        <f>YEAR(EDATE(DATE($B$5,$B$6,1),A119-1))</f>
        <v/>
      </c>
      <c r="C119" s="141">
        <f>MONTH(EDATE(DATE($B$5,$B$6,1),A119-1))</f>
        <v/>
      </c>
      <c r="D119" s="141">
        <f>DAY(EOMONTH(DATE(B119,C119,1),0))</f>
        <v/>
      </c>
      <c r="E119" s="141">
        <f>IFERROR(INDEX(법정공휴일!$B$4:$M$20,MATCH(B119,법정공휴일!$A$4:$A$20,0),C119),0)</f>
        <v/>
      </c>
      <c r="F119" s="141">
        <f>F118+D118</f>
        <v/>
      </c>
      <c r="G119" s="141">
        <f>INDEX($G$27:$R$27,C119)</f>
        <v/>
      </c>
      <c r="H119" s="141">
        <f>ROUND(G119*E119/D119,1)</f>
        <v/>
      </c>
      <c r="I119" s="141">
        <f>ROUND(MAX(G119+E119-H119,8),0)</f>
        <v/>
      </c>
      <c r="J119" s="141">
        <f>D119-I119</f>
        <v/>
      </c>
      <c r="K119" s="141">
        <f>K118+J118</f>
        <v/>
      </c>
      <c r="L119" s="141">
        <f>INDEX($G$28:$R$28,C119)</f>
        <v/>
      </c>
      <c r="M119" s="141">
        <f>ROUND(L119*E119/D119,1)</f>
        <v/>
      </c>
      <c r="N119" s="141">
        <f>ROUND(MAX(L119+E119-M119,8),0)</f>
        <v/>
      </c>
      <c r="O119" s="141">
        <f>D119-N119</f>
        <v/>
      </c>
      <c r="P119" s="141">
        <f>P118+O118</f>
        <v/>
      </c>
      <c r="Q119" s="141">
        <f>INDEX($G$29:$R$29,C119)</f>
        <v/>
      </c>
      <c r="R119" s="141">
        <f>ROUND(Q119*E119/D119,1)</f>
        <v/>
      </c>
      <c r="S119" s="141">
        <f>ROUND(MAX(Q119+E119-R119,8),0)</f>
        <v/>
      </c>
      <c r="T119" s="141">
        <f>D119-S119</f>
        <v/>
      </c>
      <c r="U119" s="141">
        <f>U118+T118</f>
        <v/>
      </c>
      <c r="V119" s="141">
        <f>INDEX($G$30:$R$30,C119)</f>
        <v/>
      </c>
      <c r="W119" s="141">
        <f>ROUND(V119*E119/D119,1)</f>
        <v/>
      </c>
      <c r="X119" s="141">
        <f>ROUND(MAX(V119+E119-W119,8),0)</f>
        <v/>
      </c>
      <c r="Y119" s="141">
        <f>D119-X119</f>
        <v/>
      </c>
      <c r="Z119" s="141">
        <f>Z118+Y118</f>
        <v/>
      </c>
    </row>
    <row r="120">
      <c r="A120" s="141" t="n">
        <v>58</v>
      </c>
      <c r="B120" s="141">
        <f>YEAR(EDATE(DATE($B$5,$B$6,1),A120-1))</f>
        <v/>
      </c>
      <c r="C120" s="141">
        <f>MONTH(EDATE(DATE($B$5,$B$6,1),A120-1))</f>
        <v/>
      </c>
      <c r="D120" s="141">
        <f>DAY(EOMONTH(DATE(B120,C120,1),0))</f>
        <v/>
      </c>
      <c r="E120" s="141">
        <f>IFERROR(INDEX(법정공휴일!$B$4:$M$20,MATCH(B120,법정공휴일!$A$4:$A$20,0),C120),0)</f>
        <v/>
      </c>
      <c r="F120" s="141">
        <f>F119+D119</f>
        <v/>
      </c>
      <c r="G120" s="141">
        <f>INDEX($G$27:$R$27,C120)</f>
        <v/>
      </c>
      <c r="H120" s="141">
        <f>ROUND(G120*E120/D120,1)</f>
        <v/>
      </c>
      <c r="I120" s="141">
        <f>ROUND(MAX(G120+E120-H120,8),0)</f>
        <v/>
      </c>
      <c r="J120" s="141">
        <f>D120-I120</f>
        <v/>
      </c>
      <c r="K120" s="141">
        <f>K119+J119</f>
        <v/>
      </c>
      <c r="L120" s="141">
        <f>INDEX($G$28:$R$28,C120)</f>
        <v/>
      </c>
      <c r="M120" s="141">
        <f>ROUND(L120*E120/D120,1)</f>
        <v/>
      </c>
      <c r="N120" s="141">
        <f>ROUND(MAX(L120+E120-M120,8),0)</f>
        <v/>
      </c>
      <c r="O120" s="141">
        <f>D120-N120</f>
        <v/>
      </c>
      <c r="P120" s="141">
        <f>P119+O119</f>
        <v/>
      </c>
      <c r="Q120" s="141">
        <f>INDEX($G$29:$R$29,C120)</f>
        <v/>
      </c>
      <c r="R120" s="141">
        <f>ROUND(Q120*E120/D120,1)</f>
        <v/>
      </c>
      <c r="S120" s="141">
        <f>ROUND(MAX(Q120+E120-R120,8),0)</f>
        <v/>
      </c>
      <c r="T120" s="141">
        <f>D120-S120</f>
        <v/>
      </c>
      <c r="U120" s="141">
        <f>U119+T119</f>
        <v/>
      </c>
      <c r="V120" s="141">
        <f>INDEX($G$30:$R$30,C120)</f>
        <v/>
      </c>
      <c r="W120" s="141">
        <f>ROUND(V120*E120/D120,1)</f>
        <v/>
      </c>
      <c r="X120" s="141">
        <f>ROUND(MAX(V120+E120-W120,8),0)</f>
        <v/>
      </c>
      <c r="Y120" s="141">
        <f>D120-X120</f>
        <v/>
      </c>
      <c r="Z120" s="141">
        <f>Z119+Y119</f>
        <v/>
      </c>
    </row>
    <row r="121">
      <c r="A121" s="141" t="n">
        <v>59</v>
      </c>
      <c r="B121" s="141">
        <f>YEAR(EDATE(DATE($B$5,$B$6,1),A121-1))</f>
        <v/>
      </c>
      <c r="C121" s="141">
        <f>MONTH(EDATE(DATE($B$5,$B$6,1),A121-1))</f>
        <v/>
      </c>
      <c r="D121" s="141">
        <f>DAY(EOMONTH(DATE(B121,C121,1),0))</f>
        <v/>
      </c>
      <c r="E121" s="141">
        <f>IFERROR(INDEX(법정공휴일!$B$4:$M$20,MATCH(B121,법정공휴일!$A$4:$A$20,0),C121),0)</f>
        <v/>
      </c>
      <c r="F121" s="141">
        <f>F120+D120</f>
        <v/>
      </c>
      <c r="G121" s="141">
        <f>INDEX($G$27:$R$27,C121)</f>
        <v/>
      </c>
      <c r="H121" s="141">
        <f>ROUND(G121*E121/D121,1)</f>
        <v/>
      </c>
      <c r="I121" s="141">
        <f>ROUND(MAX(G121+E121-H121,8),0)</f>
        <v/>
      </c>
      <c r="J121" s="141">
        <f>D121-I121</f>
        <v/>
      </c>
      <c r="K121" s="141">
        <f>K120+J120</f>
        <v/>
      </c>
      <c r="L121" s="141">
        <f>INDEX($G$28:$R$28,C121)</f>
        <v/>
      </c>
      <c r="M121" s="141">
        <f>ROUND(L121*E121/D121,1)</f>
        <v/>
      </c>
      <c r="N121" s="141">
        <f>ROUND(MAX(L121+E121-M121,8),0)</f>
        <v/>
      </c>
      <c r="O121" s="141">
        <f>D121-N121</f>
        <v/>
      </c>
      <c r="P121" s="141">
        <f>P120+O120</f>
        <v/>
      </c>
      <c r="Q121" s="141">
        <f>INDEX($G$29:$R$29,C121)</f>
        <v/>
      </c>
      <c r="R121" s="141">
        <f>ROUND(Q121*E121/D121,1)</f>
        <v/>
      </c>
      <c r="S121" s="141">
        <f>ROUND(MAX(Q121+E121-R121,8),0)</f>
        <v/>
      </c>
      <c r="T121" s="141">
        <f>D121-S121</f>
        <v/>
      </c>
      <c r="U121" s="141">
        <f>U120+T120</f>
        <v/>
      </c>
      <c r="V121" s="141">
        <f>INDEX($G$30:$R$30,C121)</f>
        <v/>
      </c>
      <c r="W121" s="141">
        <f>ROUND(V121*E121/D121,1)</f>
        <v/>
      </c>
      <c r="X121" s="141">
        <f>ROUND(MAX(V121+E121-W121,8),0)</f>
        <v/>
      </c>
      <c r="Y121" s="141">
        <f>D121-X121</f>
        <v/>
      </c>
      <c r="Z121" s="141">
        <f>Z120+Y120</f>
        <v/>
      </c>
    </row>
    <row r="122">
      <c r="A122" s="141" t="n">
        <v>60</v>
      </c>
      <c r="B122" s="141">
        <f>YEAR(EDATE(DATE($B$5,$B$6,1),A122-1))</f>
        <v/>
      </c>
      <c r="C122" s="141">
        <f>MONTH(EDATE(DATE($B$5,$B$6,1),A122-1))</f>
        <v/>
      </c>
      <c r="D122" s="141">
        <f>DAY(EOMONTH(DATE(B122,C122,1),0))</f>
        <v/>
      </c>
      <c r="E122" s="141">
        <f>IFERROR(INDEX(법정공휴일!$B$4:$M$20,MATCH(B122,법정공휴일!$A$4:$A$20,0),C122),0)</f>
        <v/>
      </c>
      <c r="F122" s="141">
        <f>F121+D121</f>
        <v/>
      </c>
      <c r="G122" s="141">
        <f>INDEX($G$27:$R$27,C122)</f>
        <v/>
      </c>
      <c r="H122" s="141">
        <f>ROUND(G122*E122/D122,1)</f>
        <v/>
      </c>
      <c r="I122" s="141">
        <f>ROUND(MAX(G122+E122-H122,8),0)</f>
        <v/>
      </c>
      <c r="J122" s="141">
        <f>D122-I122</f>
        <v/>
      </c>
      <c r="K122" s="141">
        <f>K121+J121</f>
        <v/>
      </c>
      <c r="L122" s="141">
        <f>INDEX($G$28:$R$28,C122)</f>
        <v/>
      </c>
      <c r="M122" s="141">
        <f>ROUND(L122*E122/D122,1)</f>
        <v/>
      </c>
      <c r="N122" s="141">
        <f>ROUND(MAX(L122+E122-M122,8),0)</f>
        <v/>
      </c>
      <c r="O122" s="141">
        <f>D122-N122</f>
        <v/>
      </c>
      <c r="P122" s="141">
        <f>P121+O121</f>
        <v/>
      </c>
      <c r="Q122" s="141">
        <f>INDEX($G$29:$R$29,C122)</f>
        <v/>
      </c>
      <c r="R122" s="141">
        <f>ROUND(Q122*E122/D122,1)</f>
        <v/>
      </c>
      <c r="S122" s="141">
        <f>ROUND(MAX(Q122+E122-R122,8),0)</f>
        <v/>
      </c>
      <c r="T122" s="141">
        <f>D122-S122</f>
        <v/>
      </c>
      <c r="U122" s="141">
        <f>U121+T121</f>
        <v/>
      </c>
      <c r="V122" s="141">
        <f>INDEX($G$30:$R$30,C122)</f>
        <v/>
      </c>
      <c r="W122" s="141">
        <f>ROUND(V122*E122/D122,1)</f>
        <v/>
      </c>
      <c r="X122" s="141">
        <f>ROUND(MAX(V122+E122-W122,8),0)</f>
        <v/>
      </c>
      <c r="Y122" s="141">
        <f>D122-X122</f>
        <v/>
      </c>
      <c r="Z122" s="141">
        <f>Z121+Y121</f>
        <v/>
      </c>
    </row>
    <row r="124">
      <c r="A124" t="inlineStr">
        <is>
          <t>※ 각 공종은 앞 공종이 끝난 시점에서 시작하며, 그 공종의 기상세트 표로 작업가능일수를 채워 종료 시점을 찾습니다. 한 달 안에서는 작업가능일수가 고르게 분포한다고 보고 안분합니다(가이드라인 1150행 규칙과 같은 방식).</t>
        </is>
      </c>
    </row>
  </sheetData>
  <mergeCells count="1">
    <mergeCell ref="A2:L2"/>
  </mergeCells>
  <dataValidations count="7">
    <dataValidation sqref="B9" showDropDown="0" showInputMessage="0" showErrorMessage="0" allowBlank="0" type="list">
      <formula1>=공종프리셋!$A$1:$F$1</formula1>
    </dataValidation>
    <dataValidation sqref="B4" showDropDown="0" showInputMessage="0" showErrorMessage="0" allowBlank="0" type="list">
      <formula1>=지점목록!$A$2:$A$96</formula1>
    </dataValidation>
    <dataValidation sqref="C14 C15 C16 C17 C18 C19 C20 C21 C22 C23 C24 C25 C26 D14 D15 D16 D17 D18 D19 D20 D21 D22 D23 D24 D25 D26 E14 E15 E16 E17 E18 E19 E20 E21 E22 E23 E24 E25 E26 F14 F15 F16 F17 F18 F19 F20 F21 F22 F23 F24 F25 F26" showDropDown="0" showInputMessage="0" showErrorMessage="0" allowBlank="0" type="list">
      <formula1>"O,X"</formula1>
    </dataValidation>
    <dataValidation sqref="B32" showDropDown="0" showInputMessage="0" showErrorMessage="0" allowBlank="0" type="list">
      <formula1>='1일작업량(토목)'!$F$2:$F$9</formula1>
    </dataValidation>
    <dataValidation sqref="E35 E36 E37 E38 E39 E40 E41 E42 E43 E44 E45 E46 E47 E48 E49" showDropDown="0" showInputMessage="0" showErrorMessage="0" allowBlank="0" type="list">
      <formula1>"Y,N"</formula1>
    </dataValidation>
    <dataValidation sqref="F35 F36 F37 F38 F39 F40 F41 F42 F43 F44 F45 F46 F47 F48 F49" showDropDown="0" showInputMessage="0" showErrorMessage="0" allowBlank="1" type="list">
      <formula1>=$C$13:$F$13</formula1>
    </dataValidation>
    <dataValidation sqref="A35 A36 A37 A38 A39 A40 A41 A42 A43 A44 A45 A46 A47 A48 A49" showDropDown="0" showInputMessage="0" showErrorMessage="0" allowBlank="1" type="list">
      <formula1>='1일작업량(토목)'!$J$2:$J$115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4" customWidth="1" style="92" min="1" max="1"/>
    <col width="44" customWidth="1" style="92" min="2" max="2"/>
    <col width="18" customWidth="1" style="92" min="3" max="3"/>
    <col width="46" customWidth="1" style="92" min="4" max="4"/>
  </cols>
  <sheetData>
    <row r="1">
      <c r="A1" s="147" t="inlineStr">
        <is>
          <t>작업제한 기상조건 참고표 (가이드라인 부록 2에서 발췌) — 기상조건 세트를 정할 때 참고하세요</t>
        </is>
      </c>
    </row>
    <row r="2" ht="62" customHeight="1" s="92">
      <c r="A2" s="138" t="inlineStr">
        <is>
          <t>부록 2의 기준값은 작업마다 다르고(4℃, 5℃, 10 m/s 등) 부록 3에서 미리 계산된 13개 조건과 딱 맞지 않는 경우가 많습니다. 정확히 맞는 조건이 없으면 가장 가까운 조건을 고르고, 산정 근거에 그렇게 판단한 이유를 적으세요. 아래는 일부 발췌이며 전체는 부록 2(원문 1355~1937행)를 확인하세요.</t>
        </is>
      </c>
    </row>
    <row r="4">
      <c r="A4" s="134" t="inlineStr">
        <is>
          <t>작업</t>
        </is>
      </c>
      <c r="B4" s="134" t="inlineStr">
        <is>
          <t>작업제한 기상조건 (부록 2)</t>
        </is>
      </c>
      <c r="C4" s="134" t="inlineStr">
        <is>
          <t>출처</t>
        </is>
      </c>
      <c r="D4" s="134" t="inlineStr">
        <is>
          <t>공기산정 시트에서 고를 조건 번호</t>
        </is>
      </c>
    </row>
    <row r="5">
      <c r="A5" s="148" t="inlineStr">
        <is>
          <t>연약지반 고결공</t>
        </is>
      </c>
      <c r="B5" s="148" t="inlineStr">
        <is>
          <t>동절기 4℃ 이하, 바람 15km/h 이상</t>
        </is>
      </c>
      <c r="C5" s="148" t="inlineStr">
        <is>
          <t>KCS 11 30 30</t>
        </is>
      </c>
      <c r="D5" s="148" t="inlineStr">
        <is>
          <t>가까운 조건 없음 (직접 검토)</t>
        </is>
      </c>
    </row>
    <row r="6">
      <c r="A6" s="148" t="inlineStr">
        <is>
          <t>비탈면 녹화</t>
        </is>
      </c>
      <c r="B6" s="148" t="inlineStr">
        <is>
          <t>10℃ 이하, 혹서기 25℃ 이상</t>
        </is>
      </c>
      <c r="C6" s="148" t="inlineStr">
        <is>
          <t>KCS 11 73 15</t>
        </is>
      </c>
      <c r="D6" s="148" t="inlineStr">
        <is>
          <t>가까운 조건 없음 (직접 검토)</t>
        </is>
      </c>
    </row>
    <row r="7">
      <c r="A7" s="148" t="inlineStr">
        <is>
          <t>보강토 옹벽 뒷채움·블록 속채움</t>
        </is>
      </c>
      <c r="B7" s="148" t="inlineStr">
        <is>
          <t>1.5℃ 미만, 강우 시, 강설 시</t>
        </is>
      </c>
      <c r="C7" s="148" t="inlineStr">
        <is>
          <t>KCS 11 80 10</t>
        </is>
      </c>
      <c r="D7" s="148" t="inlineStr">
        <is>
          <t>5(최고 0℃↓), 9~12(강우), 6(신적설)</t>
        </is>
      </c>
    </row>
    <row r="8">
      <c r="A8" s="148" t="inlineStr">
        <is>
          <t>굴착 및 복구공사 다짐</t>
        </is>
      </c>
      <c r="B8" s="148" t="inlineStr">
        <is>
          <t>0℃ 이하, 강우 시</t>
        </is>
      </c>
      <c r="C8" s="148" t="inlineStr">
        <is>
          <t>SMCS 11 85 10</t>
        </is>
      </c>
      <c r="D8" s="148" t="inlineStr">
        <is>
          <t>5(최고 0℃↓), 9(강우 3mm)</t>
        </is>
      </c>
    </row>
    <row r="9">
      <c r="A9" s="148" t="inlineStr">
        <is>
          <t>일반 콘크리트 타설</t>
        </is>
      </c>
      <c r="B9" s="148" t="inlineStr">
        <is>
          <t>강우·강설 시 원칙적으로 타설 금지</t>
        </is>
      </c>
      <c r="C9" s="148" t="inlineStr">
        <is>
          <t>KCS 14 20 10</t>
        </is>
      </c>
      <c r="D9" s="148" t="inlineStr">
        <is>
          <t>9(강우 3mm), 6(신적설)</t>
        </is>
      </c>
    </row>
    <row r="10">
      <c r="A10" s="148" t="inlineStr">
        <is>
          <t>한중 콘크리트</t>
        </is>
      </c>
      <c r="B10" s="148" t="inlineStr">
        <is>
          <t>일평균 기온 -3℃ 이하</t>
        </is>
      </c>
      <c r="C10" s="148" t="inlineStr">
        <is>
          <t>EXCS 14 20 40</t>
        </is>
      </c>
      <c r="D10" s="148" t="inlineStr">
        <is>
          <t>5(최고 0℃↓)로 근사</t>
        </is>
      </c>
    </row>
    <row r="11">
      <c r="A11" s="148" t="inlineStr">
        <is>
          <t>숏 콘크리트</t>
        </is>
      </c>
      <c r="B11" s="148" t="inlineStr">
        <is>
          <t>혹서기 32℃ 이상</t>
        </is>
      </c>
      <c r="C11" s="148" t="inlineStr">
        <is>
          <t>KCS 14 20 51</t>
        </is>
      </c>
      <c r="D11" s="148" t="inlineStr">
        <is>
          <t>3(일최고 33℃)으로 근사</t>
        </is>
      </c>
    </row>
    <row r="12">
      <c r="A12" s="148" t="inlineStr">
        <is>
          <t>프리캐스트 콘크리트</t>
        </is>
      </c>
      <c r="B12" s="148" t="inlineStr">
        <is>
          <t>-5℃ 이하, 풍속 10 m/s 이상</t>
        </is>
      </c>
      <c r="C12" s="148" t="inlineStr">
        <is>
          <t>SMCS 14 20 52</t>
        </is>
      </c>
      <c r="D12" s="148" t="inlineStr">
        <is>
          <t>5(최고 0℃↓), 13(순간풍속 15m/s)으로 근사</t>
        </is>
      </c>
    </row>
    <row r="13">
      <c r="A13" s="148" t="inlineStr">
        <is>
          <t>이동식 크레인</t>
        </is>
      </c>
      <c r="B13" s="148" t="inlineStr">
        <is>
          <t>평균풍속 10 m/s</t>
        </is>
      </c>
      <c r="C13" s="148" t="inlineStr">
        <is>
          <t>KCS 21 20 10</t>
        </is>
      </c>
      <c r="D13" s="148" t="inlineStr">
        <is>
          <t>13(순간풍속 15m/s)으로 근사, 타워크레인은 본문 758행 참고</t>
        </is>
      </c>
    </row>
    <row r="14">
      <c r="A14" s="148" t="inlineStr">
        <is>
          <t>강구조 도장</t>
        </is>
      </c>
      <c r="B14" s="148" t="inlineStr">
        <is>
          <t>5℃ 미만, 강우 시, 강풍, 강설 시, 43℃ 이상</t>
        </is>
      </c>
      <c r="C14" s="148" t="inlineStr">
        <is>
          <t>KCS 14 31 40</t>
        </is>
      </c>
      <c r="D14" s="148" t="inlineStr">
        <is>
          <t>9(강우), 6(신적설), 13(바람)</t>
        </is>
      </c>
    </row>
    <row r="16">
      <c r="A16" s="131" t="inlineStr">
        <is>
          <t>▼ 공사기간 산정 시트의 조건 번호</t>
        </is>
      </c>
    </row>
    <row r="17">
      <c r="A17" t="n">
        <v>1</v>
      </c>
      <c r="B17" t="inlineStr">
        <is>
          <t>혹서기：체감온도 33°C 이상</t>
        </is>
      </c>
    </row>
    <row r="18">
      <c r="A18" t="n">
        <v>2</v>
      </c>
      <c r="B18" t="inlineStr">
        <is>
          <t>혹서기：체감온도 35°C 이상</t>
        </is>
      </c>
    </row>
    <row r="19">
      <c r="A19" t="n">
        <v>3</v>
      </c>
      <c r="B19" t="inlineStr">
        <is>
          <t>혹서기：일최고온도 33°C 이상</t>
        </is>
      </c>
    </row>
    <row r="20">
      <c r="A20" t="n">
        <v>4</v>
      </c>
      <c r="B20" t="inlineStr">
        <is>
          <t>혹서기：일최고온도 35°C 이상</t>
        </is>
      </c>
    </row>
    <row r="21">
      <c r="A21" t="n">
        <v>5</v>
      </c>
      <c r="B21" t="inlineStr">
        <is>
          <t>동절기：일최고기온 0°C 이하</t>
        </is>
      </c>
    </row>
    <row r="22">
      <c r="A22" t="n">
        <v>6</v>
      </c>
      <c r="B22" t="inlineStr">
        <is>
          <t>동절기：일최심신적설 5㎝ 이상</t>
        </is>
      </c>
    </row>
    <row r="23">
      <c r="A23" t="n">
        <v>7</v>
      </c>
      <c r="B23" t="inlineStr">
        <is>
          <t>동절기：일최고기온 0°C 이하 이거나 일최심신적설 5㎝ 이상</t>
        </is>
      </c>
    </row>
    <row r="24">
      <c r="A24" t="n">
        <v>8</v>
      </c>
      <c r="B24" t="inlineStr">
        <is>
          <t>동절기：일최저기온 -12°C 이하</t>
        </is>
      </c>
    </row>
    <row r="25">
      <c r="A25" t="n">
        <v>9</v>
      </c>
      <c r="B25" t="inlineStr">
        <is>
          <t>일강수량：3㎜ 이상</t>
        </is>
      </c>
    </row>
    <row r="26">
      <c r="A26" t="n">
        <v>10</v>
      </c>
      <c r="B26" t="inlineStr">
        <is>
          <t>일강수량：5㎜ 이상</t>
        </is>
      </c>
    </row>
    <row r="27">
      <c r="A27" t="n">
        <v>11</v>
      </c>
      <c r="B27" t="inlineStr">
        <is>
          <t>일강수량：10㎜ 이상</t>
        </is>
      </c>
    </row>
    <row r="28">
      <c r="A28" t="n">
        <v>12</v>
      </c>
      <c r="B28" t="inlineStr">
        <is>
          <t>일강수량：20㎜ 이상</t>
        </is>
      </c>
    </row>
    <row r="29">
      <c r="A29" t="n">
        <v>13</v>
      </c>
      <c r="B29" t="inlineStr">
        <is>
          <t>일최대순간풍속：15m/s 이상</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2026-09-30T00:17:16Z</dcterms:modified>
  <cp:lastModifiedBy>user</cp:lastModifiedBy>
  <cp:lastPrinted>2024-05-24T02:13:20Z</cp:lastPrinted>
</cp:coreProperties>
</file>